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1" sheetId="1" r:id="rId5"/>
    <sheet state="visible" name="Raw Data 2" sheetId="2" r:id="rId6"/>
    <sheet state="visible" name="Range Tables" sheetId="3" r:id="rId7"/>
    <sheet state="visible" name="Simulation" sheetId="4" r:id="rId8"/>
  </sheets>
  <definedNames>
    <definedName hidden="1" localSheetId="0" name="_xlnm._FilterDatabase">'Raw Data 1'!$A$1:$V$110</definedName>
    <definedName hidden="1" localSheetId="1" name="_xlnm._FilterDatabase">'Raw Data 2'!$A$1:$AC$997</definedName>
  </definedNames>
  <calcPr/>
</workbook>
</file>

<file path=xl/sharedStrings.xml><?xml version="1.0" encoding="utf-8"?>
<sst xmlns="http://schemas.openxmlformats.org/spreadsheetml/2006/main" count="3260" uniqueCount="512">
  <si>
    <t>Sl. No.</t>
  </si>
  <si>
    <t>Arrival Time</t>
  </si>
  <si>
    <t>Vehicle Type</t>
  </si>
  <si>
    <t>State Registered</t>
  </si>
  <si>
    <t>Car No.</t>
  </si>
  <si>
    <t>Pump No.</t>
  </si>
  <si>
    <t>Service Starting</t>
  </si>
  <si>
    <t>Fuel Type</t>
  </si>
  <si>
    <t>Gender of Driver</t>
  </si>
  <si>
    <t>Amount Filled</t>
  </si>
  <si>
    <t>Payment Mode</t>
  </si>
  <si>
    <t>Air filled?</t>
  </si>
  <si>
    <t>Service Completion</t>
  </si>
  <si>
    <t>vechile info link</t>
  </si>
  <si>
    <t>Registration type</t>
  </si>
  <si>
    <t>No. of Chalans</t>
  </si>
  <si>
    <t>Insurance Status</t>
  </si>
  <si>
    <t>City Name</t>
  </si>
  <si>
    <t>BRAND</t>
  </si>
  <si>
    <t>MODEL</t>
  </si>
  <si>
    <t>vehicle details</t>
  </si>
  <si>
    <t>Fuel type</t>
  </si>
  <si>
    <t>No. of vehicle</t>
  </si>
  <si>
    <t>Bike</t>
  </si>
  <si>
    <t>J&amp;K</t>
  </si>
  <si>
    <t>JK 02 BJ 6083</t>
  </si>
  <si>
    <t>Petrol</t>
  </si>
  <si>
    <t>male</t>
  </si>
  <si>
    <t>Offline</t>
  </si>
  <si>
    <t>NO</t>
  </si>
  <si>
    <t>https://vehicleinfo.app/rc-details/JK02BJ6083?rc_no=JK02BJ6083</t>
  </si>
  <si>
    <t>Private</t>
  </si>
  <si>
    <t>Expired</t>
  </si>
  <si>
    <t>JAMMU</t>
  </si>
  <si>
    <t>HERO</t>
  </si>
  <si>
    <t>SUPER SPLENDER</t>
  </si>
  <si>
    <t>Diesel</t>
  </si>
  <si>
    <t>Car</t>
  </si>
  <si>
    <t>JK 02 CG 5449</t>
  </si>
  <si>
    <t>Online</t>
  </si>
  <si>
    <t>https://vehicleinfo.app/rc-details/JK02CG5449?rc_no=JK02CG5449</t>
  </si>
  <si>
    <t>Valid</t>
  </si>
  <si>
    <t>MARUTI SUZUKI INDIA LTD</t>
  </si>
  <si>
    <t>MARUTI ALTO K10 VXI</t>
  </si>
  <si>
    <t>Scooter</t>
  </si>
  <si>
    <t>JK 02 CN 9553</t>
  </si>
  <si>
    <t>https://vehicleinfo.app/rc-details/JK02CN9553?rc_no=JK02CN9553</t>
  </si>
  <si>
    <t>HONDA MOTORCYCLE AND SCOOTER INDIA (P) LTD</t>
  </si>
  <si>
    <t>ACTIVA 6G DLX</t>
  </si>
  <si>
    <t>auto</t>
  </si>
  <si>
    <t>JK 02 BD 4552</t>
  </si>
  <si>
    <t>https://vehicleinfo.app/rc-details/JK02BD4552?rc_no=JK02BD4552</t>
  </si>
  <si>
    <t>Taxi</t>
  </si>
  <si>
    <t>TATA MOTORS LTD</t>
  </si>
  <si>
    <t>ACE MAGIC EII HT 275</t>
  </si>
  <si>
    <t>JK 20 C 4975</t>
  </si>
  <si>
    <t>https://vehicleinfo.app/rc-details/JK20C4975?rc_no=JK20C4975</t>
  </si>
  <si>
    <t>RESAI</t>
  </si>
  <si>
    <t>TVS</t>
  </si>
  <si>
    <t>TVS RADEON</t>
  </si>
  <si>
    <t>JK 20 B 0450</t>
  </si>
  <si>
    <t>https://vehicleinfo.app/rc-details/JK20B0450?rc_no=JK20B0450</t>
  </si>
  <si>
    <t>MARUTI SWIFT VXI</t>
  </si>
  <si>
    <t>JK 02 C 0391</t>
  </si>
  <si>
    <t>https://vehicleinfo.app/rc-details/JK02C0391?rc_no=JK02C0391</t>
  </si>
  <si>
    <t>NO INFO</t>
  </si>
  <si>
    <t>JK 02 AU 2174</t>
  </si>
  <si>
    <t>CARD</t>
  </si>
  <si>
    <t>https://vehicleinfo.app/rc-details/JK02AU2174?rc_no=JK02AU2174</t>
  </si>
  <si>
    <t>ALTO K10B VXI</t>
  </si>
  <si>
    <t>JK 02 CT 3239</t>
  </si>
  <si>
    <t>https://vehicleinfo.app/rc-details/JK02CT3239?rc_no=JK02CT3239</t>
  </si>
  <si>
    <t>HERO MOTOCORP LTD</t>
  </si>
  <si>
    <t>SPLENDOR</t>
  </si>
  <si>
    <t>JK 20 L 9880</t>
  </si>
  <si>
    <t>https://vehicleinfo.app/rc-details/JK020L9880?rc_no=JK020L9880</t>
  </si>
  <si>
    <t>JK 20 C 1155</t>
  </si>
  <si>
    <t>https://vehicleinfo.app/rc-details/JK20C1155?rc_no=JK20C1155</t>
  </si>
  <si>
    <t>ROYAL-ENFIELD (UNIT OF EICHER LTD)</t>
  </si>
  <si>
    <t>BULLET 350 EFI</t>
  </si>
  <si>
    <t>JK 02 AT 2503</t>
  </si>
  <si>
    <t>https://vehicleinfo.app/rc-details/JK02AT2503?rc_no=JK02AT2503</t>
  </si>
  <si>
    <t>ALTO LXI</t>
  </si>
  <si>
    <t>JK 02 DL 4581</t>
  </si>
  <si>
    <t>https://vehicleinfo.app/rc-details/JK02DL4581?rc_no=JK02DL4581</t>
  </si>
  <si>
    <t>SUPER SPLENDOR XTEC DR</t>
  </si>
  <si>
    <t>JK 02 DR 5589</t>
  </si>
  <si>
    <t>https://vehicleinfo.app/rc-details/JK02DR5589?rc_no=JK02DR5589</t>
  </si>
  <si>
    <t>BALENO DELTA</t>
  </si>
  <si>
    <t>Tractor</t>
  </si>
  <si>
    <t>JK 02 DP 1085</t>
  </si>
  <si>
    <t>https://vehicleinfo.app/rc-details/JK02DP1085?rc_no=JK02DP1085</t>
  </si>
  <si>
    <t>MAHINDRA</t>
  </si>
  <si>
    <t>SWARAJ 735 FE V1</t>
  </si>
  <si>
    <t>PICK UP</t>
  </si>
  <si>
    <t>JK 02 BE 0139</t>
  </si>
  <si>
    <t>https://vehicleinfo.app/rc-details/JK02BE0139?rc_no=JK02BE0139</t>
  </si>
  <si>
    <t>MAHINDRA &amp; MAHINDRA LIMITED</t>
  </si>
  <si>
    <t>BOLERO ZLX</t>
  </si>
  <si>
    <t>JK 14E 0406</t>
  </si>
  <si>
    <t>https://vehicleinfo.app/rc-details/JK14E0406?rc_no=JK14E0406</t>
  </si>
  <si>
    <t>UDHAMPUR</t>
  </si>
  <si>
    <t>SWIFT LXI</t>
  </si>
  <si>
    <t>JK 02 CU 4173</t>
  </si>
  <si>
    <t>https://vehicleinfo.app/rc-details/JK02CU4173?rc_no=JK02CU4173</t>
  </si>
  <si>
    <t>TVS MOTOR COMPANY LTD / TVS APACHE RTR 2 4V</t>
  </si>
  <si>
    <t>TVS APACHE RTR 200 4V</t>
  </si>
  <si>
    <t>JK 02 BQ 2567</t>
  </si>
  <si>
    <t>https://vehicleinfo.app/rc-details/JK02BQ2567?rc_no=JK02BQ2567</t>
  </si>
  <si>
    <t>ALTO 800 LXI</t>
  </si>
  <si>
    <t>JK 02 AD 9993</t>
  </si>
  <si>
    <t>https://vehicleinfo.app/rc-details/JK02AD9993?rc_no=JK02AD9993</t>
  </si>
  <si>
    <t>BAJAJ AUTO LTD</t>
  </si>
  <si>
    <t>PLATINA</t>
  </si>
  <si>
    <t>JK 02 CF 3468</t>
  </si>
  <si>
    <t>https://vehicleinfo.app/rc-details/JK02CF3468?rc_no=JK02CF3468</t>
  </si>
  <si>
    <t>HYUNDAIMOTOR</t>
  </si>
  <si>
    <t>EON ERA+</t>
  </si>
  <si>
    <t>JK 02 DS 7236</t>
  </si>
  <si>
    <t>https://vehicleinfo.app/rc-details/JK02DS7236?rc_no=JK02DS7236</t>
  </si>
  <si>
    <t>ALTO K10 LXI</t>
  </si>
  <si>
    <t>JK 02 CS 5994</t>
  </si>
  <si>
    <t>https://vehicleinfo.app/rc-details/JK02CS5994?rc_no=JK02CS5994</t>
  </si>
  <si>
    <t>SWIFT ZXI</t>
  </si>
  <si>
    <t>JK 02 CF2800</t>
  </si>
  <si>
    <t>https://vehicleinfo.app/rc-details/JK02F2800?rc_no=JK02F2800</t>
  </si>
  <si>
    <t>CLASSIC 350</t>
  </si>
  <si>
    <t>link</t>
  </si>
  <si>
    <t>JK 02 CH 7778</t>
  </si>
  <si>
    <t>https://vehicleinfo.app/rc-details/JK02CH7778?rc_no=JK02CH7778</t>
  </si>
  <si>
    <t>JK 02 AH 0922</t>
  </si>
  <si>
    <t>https://vehicleinfo.app/rc-details/JK02AH0922?rc_no=JK02AH0922</t>
  </si>
  <si>
    <t>HYUNDAIMOTORI</t>
  </si>
  <si>
    <t>i10 ERA</t>
  </si>
  <si>
    <t>JK 02 DG 2001</t>
  </si>
  <si>
    <t>https://vehicleinfo.app/rc-details/JK02DG2001?rc_no=JK02DG2001</t>
  </si>
  <si>
    <t>G VITARA</t>
  </si>
  <si>
    <t>JK 02 BK 4144</t>
  </si>
  <si>
    <t>https://vehicleinfo.app/rc-details/JK02BK4144?rc_no=JK02BK4144</t>
  </si>
  <si>
    <t>SWIFT DZIRE</t>
  </si>
  <si>
    <t>JK 21 F 0277</t>
  </si>
  <si>
    <t>https://vehicleinfo.app/rc-details/JK21F0277?rc_no=JK21F0277</t>
  </si>
  <si>
    <t>SAMBA</t>
  </si>
  <si>
    <t>MAHINDRA BOLERO POWER+ ZLX MH</t>
  </si>
  <si>
    <t>Other</t>
  </si>
  <si>
    <t>HR 26 DA 9335</t>
  </si>
  <si>
    <t>https://vehicleinfo.app/rc-details/HR26DA9335?rc_no=HR26DA9335</t>
  </si>
  <si>
    <t>GURUGAM</t>
  </si>
  <si>
    <t>ROYAL ENFIELD</t>
  </si>
  <si>
    <t>ENFIELD 350 CC</t>
  </si>
  <si>
    <t>JK 02 AH 4611</t>
  </si>
  <si>
    <t>https://vehicleinfo.app/rc-details/JK02AH4611?rc_no=JK02AH4611</t>
  </si>
  <si>
    <t>HERO HONDA MOTORS LTD</t>
  </si>
  <si>
    <t>HERO HONDA PASSION PLUS</t>
  </si>
  <si>
    <t>JK 02 AW 2131</t>
  </si>
  <si>
    <t>https://vehicleinfo.app/rc-details/JK02AW2131?rc_no=JK02AW2131</t>
  </si>
  <si>
    <t>HYUNDAI MOTOR INDIA LTD</t>
  </si>
  <si>
    <t>SANTRO GLS</t>
  </si>
  <si>
    <t>JK 02 DU 0772</t>
  </si>
  <si>
    <t>https://vehicleinfo.app/rc-details/JK02DU0772?rc_no=JK02DU0772</t>
  </si>
  <si>
    <t>TOYOTA KIRLOSKAR MOTOR PVT LTD</t>
  </si>
  <si>
    <t>ETIOS G PETROL KI</t>
  </si>
  <si>
    <t>JK 02 DC 5415</t>
  </si>
  <si>
    <t>https://vehicleinfo.app/rc-details/JK02DC5415?rc_no=JK02DC5415</t>
  </si>
  <si>
    <t>TATA MOTORS PASSENGER VEHICLES LTD</t>
  </si>
  <si>
    <t>TIAGO XT NEW 1.2 RTN BS6</t>
  </si>
  <si>
    <t>JK 02 DN 3352</t>
  </si>
  <si>
    <t>https://vehicleinfo.app/rc-details/JK02DN3352?rc_no=JK02DN3352</t>
  </si>
  <si>
    <t>BREZZA LXI</t>
  </si>
  <si>
    <t>trucks</t>
  </si>
  <si>
    <t>JK 02 DK 0331</t>
  </si>
  <si>
    <t>https://vehicleinfo.app/rc-details/JK02DK0331?rc_no=JK02DK0331</t>
  </si>
  <si>
    <t>407 GOLD SFC DCR33CBC 100B6M5</t>
  </si>
  <si>
    <t>JK 02 BR 0955</t>
  </si>
  <si>
    <t>https://vehicleinfo.app/rc-details/JK02BR0955?rc_no=JK02BR0955</t>
  </si>
  <si>
    <t>Hero MotoCorp Ltd</t>
  </si>
  <si>
    <t>MESTRO EDGE</t>
  </si>
  <si>
    <t>JK 02 BW 6699</t>
  </si>
  <si>
    <t>https://vehicleinfo.app/rc-details/JK02BW6699?rc_no=JK02BW6699</t>
  </si>
  <si>
    <t>I20 ASTA (O) VTVT</t>
  </si>
  <si>
    <t>JK 02 CA 5999</t>
  </si>
  <si>
    <t>Offilne</t>
  </si>
  <si>
    <t>Yes</t>
  </si>
  <si>
    <t>https://vehicleinfo.app/rc-details/JK02CA5999?rc_no=JK02CA5999</t>
  </si>
  <si>
    <t>MARUTI CIAZ ALPHA</t>
  </si>
  <si>
    <t>JK 02 AL 5693</t>
  </si>
  <si>
    <t>https://vehicleinfo.app/rc-details/JK02AL5693?rc_no=JK02AL5693</t>
  </si>
  <si>
    <t>PATINA ALLOY</t>
  </si>
  <si>
    <t>JK 02 AU 3557</t>
  </si>
  <si>
    <t>https://vehicleinfo.app/rc-details/JK02AU3557?rc_no=JK02AU3557</t>
  </si>
  <si>
    <t>800 MPI AC</t>
  </si>
  <si>
    <t>JK 02 8463</t>
  </si>
  <si>
    <t>https://vehicleinfo.app/rc-details/JK028463?rc_no=JK028463</t>
  </si>
  <si>
    <t>NO NUM PLATE</t>
  </si>
  <si>
    <t>https://vehicleinfo.app/rc-details/NONUMPLATE?rc_no=NONUMPLATE</t>
  </si>
  <si>
    <t>JK 02 CV 6368</t>
  </si>
  <si>
    <t>https://vehicleinfo.app/rc-details/JK02CV6368?rc_no=JK02CV6368</t>
  </si>
  <si>
    <t>BALENO DELTA PETROL</t>
  </si>
  <si>
    <t>JK 02 CU 8014</t>
  </si>
  <si>
    <t>https://vehicleinfo.app/rc-details/JK02CU8014?rc_no=JK02CU8014</t>
  </si>
  <si>
    <t>V. BREZZA VXI</t>
  </si>
  <si>
    <t>JK 02 CK 7506</t>
  </si>
  <si>
    <t>https://vehicleinfo.app/rc-details/JK02CK7506?rc_no=JK02CK7506</t>
  </si>
  <si>
    <t>MARUTI EECO 7 SEATER W/O AC</t>
  </si>
  <si>
    <t>JK 02 DK 3213</t>
  </si>
  <si>
    <t>https://vehicleinfo.app/rc-details/JK02DK3213?rc_no=JK02DK3213</t>
  </si>
  <si>
    <t>ROYAL-ENFIELD</t>
  </si>
  <si>
    <t>VAN</t>
  </si>
  <si>
    <t>JK 02 A W 4023</t>
  </si>
  <si>
    <t>https://vehicleinfo.app/rc-details/JK02AW4023?rc_no=JK02AW4023</t>
  </si>
  <si>
    <t>WINGER 32 TC</t>
  </si>
  <si>
    <t>JK 02 AR 5403</t>
  </si>
  <si>
    <t>https://vehicleinfo.app/rc-details/JK02AR5403?rc_no=JK02AR5403</t>
  </si>
  <si>
    <t>SWIFT DESIRE ZXI</t>
  </si>
  <si>
    <t>JK 02 BD 2200</t>
  </si>
  <si>
    <t>https://vehicleinfo.app/rc-details/JK02BD2200?rc_no=JK02BD2200</t>
  </si>
  <si>
    <t>FORD INDIA PVT LTD</t>
  </si>
  <si>
    <t>ECOSPORT</t>
  </si>
  <si>
    <t>JK 08 F 2560</t>
  </si>
  <si>
    <t>https://vehicleinfo.app/rc-details/JK08F2560?rc_no=JK08F2560</t>
  </si>
  <si>
    <t>LAKHANPUR</t>
  </si>
  <si>
    <t>MARUTI WAGON R VXI</t>
  </si>
  <si>
    <t>JK 02 DD 8247</t>
  </si>
  <si>
    <t>RECIPT</t>
  </si>
  <si>
    <t>https://vehicleinfo.app/rc-details/JK02DD8247?rc_no=JK02DD8247</t>
  </si>
  <si>
    <t>SIGNA 2825.TK EBSVI</t>
  </si>
  <si>
    <t>KA 53 ED 1213</t>
  </si>
  <si>
    <t>https://vehicleinfo.app/rc-details/KA53ED1213?rc_no=KA53ED1213</t>
  </si>
  <si>
    <t>KRISHNARAJAPURAM</t>
  </si>
  <si>
    <t>CB UNICORN</t>
  </si>
  <si>
    <t>JK 02 CQ 5189</t>
  </si>
  <si>
    <t>https://vehicleinfo.app/rc-details/JK02CQ5189?rc_no=JK02CQ5189</t>
  </si>
  <si>
    <t>KUV100 NXT K4+ 6S G</t>
  </si>
  <si>
    <t>JK 08 K 3510</t>
  </si>
  <si>
    <t>https://vehicleinfo.app/rc-details/JK08K3510?rc_no=JK08K3510</t>
  </si>
  <si>
    <t>S-CROSS SMART HYBRID ZETA</t>
  </si>
  <si>
    <t>JK 02 BH 4074</t>
  </si>
  <si>
    <t>https://vehicleinfo.app/rc-details/JK02BH4074?rc_no=JK02BH4074</t>
  </si>
  <si>
    <t>JK 14 J 0291</t>
  </si>
  <si>
    <t>https://vehicleinfo.app/rc-details/JK14J0291?rc_no=JK14J0291</t>
  </si>
  <si>
    <t>CLASSIC LEGENDS PVT LTD</t>
  </si>
  <si>
    <t>YEZDI ROADSTER</t>
  </si>
  <si>
    <t>JK 02 CL 8884</t>
  </si>
  <si>
    <t>https://vehicleinfo.app/rc-details/JK02CL8884?rc_no=JK02CL8884</t>
  </si>
  <si>
    <t>TATA TIAGO</t>
  </si>
  <si>
    <t>JK 11 A 6192</t>
  </si>
  <si>
    <t>https://vehicleinfo.app/rc-details/JK11A6192?rc_no=JK11A6192</t>
  </si>
  <si>
    <t>RAJOURI</t>
  </si>
  <si>
    <t>TOYOTA ETIOS G</t>
  </si>
  <si>
    <t>JK 19 A 7383</t>
  </si>
  <si>
    <t>https://vehicleinfo.app/rc-details/JK19A7383?rc_no=JK19A7383</t>
  </si>
  <si>
    <t>RAMBAN</t>
  </si>
  <si>
    <t>BAJAJ</t>
  </si>
  <si>
    <t>PULSAR</t>
  </si>
  <si>
    <t>JK 02 CE 1369</t>
  </si>
  <si>
    <t>https://vehicleinfo.app/rc-details/JK02CE1369?rc_no=JK02CE1369</t>
  </si>
  <si>
    <t>MARUTI ALTO 800</t>
  </si>
  <si>
    <t>JK 02 DD 0637</t>
  </si>
  <si>
    <t>https://vehicleinfo.app/rc-details/JK02DD0637?rc_no=JK02DD0637</t>
  </si>
  <si>
    <t>SHINE 125 DRUM</t>
  </si>
  <si>
    <t>JK 02 BL 1898</t>
  </si>
  <si>
    <t>https://vehicleinfo.app/rc-details/JK02BL1898?rc_no=JK02BL1898</t>
  </si>
  <si>
    <t>ACE MAGIC</t>
  </si>
  <si>
    <t>JK 02 BX 9972</t>
  </si>
  <si>
    <t>https://vehicleinfo.app/rc-details/JK02BX9972?rc_no=JK02BX9972</t>
  </si>
  <si>
    <t>RE COMPACT PETROL 4S</t>
  </si>
  <si>
    <t>JK 02 BH 7117</t>
  </si>
  <si>
    <t>https://vehicleinfo.app/rc-details/JK02BH7117?rc_no=JK02BH7117</t>
  </si>
  <si>
    <t>SWIFT DZIRE VXI</t>
  </si>
  <si>
    <t>PB 02 BA 1945</t>
  </si>
  <si>
    <t>https://vehicleinfo.app/rc-details/PB02BA1945?rc_no=PB02BA1945</t>
  </si>
  <si>
    <t>JK 02 AW 3557</t>
  </si>
  <si>
    <t>https://vehicleinfo.app/rc-details/JK02AW3557?rc_no=JK02AW3557</t>
  </si>
  <si>
    <t>ALTO LX</t>
  </si>
  <si>
    <t>JK 02 CN 2970</t>
  </si>
  <si>
    <t>https://vehicleinfo.app/rc-details/JK02CN2970?rc_no=JK02CN2970</t>
  </si>
  <si>
    <t>TATA</t>
  </si>
  <si>
    <t>MAGIC EXPRESS</t>
  </si>
  <si>
    <t>JK 02 CH 5912</t>
  </si>
  <si>
    <t>https://vehicleinfo.app/rc-details/JK02CH5912?rc_no=JK02CH5912</t>
  </si>
  <si>
    <t>RE COMPACT</t>
  </si>
  <si>
    <t>JK 02 T 6063</t>
  </si>
  <si>
    <t>https://vehicleinfo.app/rc-details/JK02T6063?rc_no=JK02T6063</t>
  </si>
  <si>
    <t>MARUTI CAR</t>
  </si>
  <si>
    <t>JK 08 B 1998</t>
  </si>
  <si>
    <t>https://vehicleinfo.app/rc-details/JK08B1998?rc_no=JK08B1998</t>
  </si>
  <si>
    <t>CBZ</t>
  </si>
  <si>
    <t>JK 02 CG 1125</t>
  </si>
  <si>
    <t>https://vehicleinfo.app/rc-details/JK02CG1125?rc_no=JK02CG1125</t>
  </si>
  <si>
    <t>INDIA YAMAHA MOTOR PVT LTD</t>
  </si>
  <si>
    <t>FASCINO</t>
  </si>
  <si>
    <t>JK 14 K 6100</t>
  </si>
  <si>
    <t>https://vehicleinfo.app/rc-details/JK14K6100?rc_no=JK14K6100</t>
  </si>
  <si>
    <t>TATA NEXON</t>
  </si>
  <si>
    <t>JK 14 E 9455</t>
  </si>
  <si>
    <t>https://vehicleinfo.app/rc-details/JK14E9455?rc_no=JK14E9455</t>
  </si>
  <si>
    <t>SK1613 CRI6 BS-IV</t>
  </si>
  <si>
    <t>HR 26 CL 7209</t>
  </si>
  <si>
    <t>https://vehicleinfo.app/rc-details/HR26CL7209?rc_no=HR26CL7209</t>
  </si>
  <si>
    <t>XUV500</t>
  </si>
  <si>
    <t>JK 02 DC 9262</t>
  </si>
  <si>
    <t>https://vehicleinfo.app/rc-details/JK02DC9262?rc_no=JK02DC9262</t>
  </si>
  <si>
    <t>EECO</t>
  </si>
  <si>
    <t>JK 02 CX 4190</t>
  </si>
  <si>
    <t>https://vehicleinfo.app/rc-details/JK02CX4190?rc_no=JK02CX4190</t>
  </si>
  <si>
    <t>SPLENDOR+</t>
  </si>
  <si>
    <t>Ambulance</t>
  </si>
  <si>
    <t>JK 02 DJ 6747</t>
  </si>
  <si>
    <t>https://vehicleinfo.app/rc-details/JK02DJ6747?rc_no=JK02DJ6747</t>
  </si>
  <si>
    <t>ambulance</t>
  </si>
  <si>
    <t>SUPRO ZX AMBULANCE</t>
  </si>
  <si>
    <t>JK 02 CG 9706</t>
  </si>
  <si>
    <t>https://vehicleinfo.app/rc-details/JK02CG9706?rc_no=JK02CG9706</t>
  </si>
  <si>
    <t>SUPER SPLENDOR</t>
  </si>
  <si>
    <t>JK 02 CX 4206</t>
  </si>
  <si>
    <t>https://vehicleinfo.app/rc-details/JK02CX4206?rc_no=JK02CX4206</t>
  </si>
  <si>
    <t>DOMINAR D 250</t>
  </si>
  <si>
    <t>JK 02 CP 0634</t>
  </si>
  <si>
    <t>https://vehicleinfo.app/rc-details/JK02CP0634?rc_no=JK02CP0634</t>
  </si>
  <si>
    <t>V. BREZZA LXI</t>
  </si>
  <si>
    <t>JK 14 E 3691</t>
  </si>
  <si>
    <t>https://vehicleinfo.app/rc-details/JK14E3691?rc_no=JK14E3691</t>
  </si>
  <si>
    <t>I20 MAGNA VTVT</t>
  </si>
  <si>
    <t>JK 12V 9024</t>
  </si>
  <si>
    <t>NONE</t>
  </si>
  <si>
    <t>https://vehicleinfo.app/rc-details/JK12V9024?rc_no=JK12V9024</t>
  </si>
  <si>
    <t>POONCH</t>
  </si>
  <si>
    <t>JK 02 DB 9207</t>
  </si>
  <si>
    <t>https://vehicleinfo.app/rc-details/JK02DB9207?rc_no=JK02DB9207</t>
  </si>
  <si>
    <t>BULLET 350</t>
  </si>
  <si>
    <t>JK 02 DC 6141</t>
  </si>
  <si>
    <t>https://vehicleinfo.app/rc-details/JK02DC6141?rc_no=JK02DC6141</t>
  </si>
  <si>
    <t>ALTO</t>
  </si>
  <si>
    <t>JK 20 3913</t>
  </si>
  <si>
    <t>https://vehicleinfo.app/rc-details/JK203913?rc_no=JK203913</t>
  </si>
  <si>
    <t>HR 21 M 9657</t>
  </si>
  <si>
    <t>https://vehicleinfo.app/rc-details/HR21M9657?rc_no=HR21M9657</t>
  </si>
  <si>
    <t>BAJAJAUTO LTD</t>
  </si>
  <si>
    <t>CT 100</t>
  </si>
  <si>
    <t>RJ 37 UA 8388</t>
  </si>
  <si>
    <t>https://vehicleinfo.app/rc-details/RJ37UA8388?rc_no=RJ37UA8388</t>
  </si>
  <si>
    <t>DIDWANA</t>
  </si>
  <si>
    <t>SCORPIO CLASSIC S11 MT 7S</t>
  </si>
  <si>
    <t>JK 02 CW 4196</t>
  </si>
  <si>
    <t>https://vehicleinfo.app/rc-details/JK02CW4196?rc_no=JK02CW4196</t>
  </si>
  <si>
    <t>pick up</t>
  </si>
  <si>
    <t>BOLERO PIK-UP</t>
  </si>
  <si>
    <t>JK 02 DG 9342</t>
  </si>
  <si>
    <t>https://vehicleinfo.app/rc-details/JK02DG9342?rc_no=JK02DG9342</t>
  </si>
  <si>
    <t>JK 14 J 3520</t>
  </si>
  <si>
    <t>https://vehicleinfo.app/rc-details/JK14J3520?rc_no=JK14J3520</t>
  </si>
  <si>
    <t>JK 02 CJ 2449</t>
  </si>
  <si>
    <t>https://vehicleinfo.app/rc-details/JK02CJ2449?rc_no=JK02CJ2449</t>
  </si>
  <si>
    <t>ACTIVA 5G</t>
  </si>
  <si>
    <t>JK 02 CR 9322</t>
  </si>
  <si>
    <t>https://vehicleinfo.app/rc-details/JK02CR9322?rc_no=JK02CR9322</t>
  </si>
  <si>
    <t>VERNA</t>
  </si>
  <si>
    <t>JK 02 BA 5366</t>
  </si>
  <si>
    <t>https://vehicleinfo.app/rc-details/JK02BA5366?rc_no=JK02BA5366</t>
  </si>
  <si>
    <t>JK 02 DT 5357</t>
  </si>
  <si>
    <t>https://vehicleinfo.app/rc-details/JK02DT5357?rc_no=JK02DT5357</t>
  </si>
  <si>
    <t>FRONX SIGMA 6AB</t>
  </si>
  <si>
    <t>JK 02 DT 5873</t>
  </si>
  <si>
    <t>https://vehicleinfo.app/rc-details/JK02DT5873?rc_no=JK02DT5873</t>
  </si>
  <si>
    <t>BAJAJ MAXIMA CARGO</t>
  </si>
  <si>
    <t>JK 02 AX 6954</t>
  </si>
  <si>
    <t>https://vehicleinfo.app/rc-details/JK02AX6954?rc_no=JK02AX6954</t>
  </si>
  <si>
    <t>MAGIC</t>
  </si>
  <si>
    <t>JK 02 BU 6102</t>
  </si>
  <si>
    <t>https://vehicleinfo.app/rc-details/JK02BU6102?rc_no=JK02BU6102</t>
  </si>
  <si>
    <t>MAHINDRA BOLERO PICK UP FB PS</t>
  </si>
  <si>
    <t>JK 02 DP 6481</t>
  </si>
  <si>
    <t>https://vehicleinfo.app/rc-details/JK02DP6481?rc_no=JK02DP6481</t>
  </si>
  <si>
    <t>TOUR S</t>
  </si>
  <si>
    <t>DL 1 CAA 5690</t>
  </si>
  <si>
    <t>https://vehicleinfo.app/rc-details/DL1CAA5690?rc_no=DL1CAA5690</t>
  </si>
  <si>
    <t>North Delhi</t>
  </si>
  <si>
    <t>ERTIGA</t>
  </si>
  <si>
    <t>JK 02 BY 7434</t>
  </si>
  <si>
    <t>https://vehicleinfo.app/rc-details/JK02BY7434?rc_no=JK02BY7434</t>
  </si>
  <si>
    <t>JK 02 DJ 1441</t>
  </si>
  <si>
    <t>https://vehicleinfo.app/rc-details/JK02DJ1441?rc_no=JK02DJ1441</t>
  </si>
  <si>
    <t>Hero Motocorp</t>
  </si>
  <si>
    <t>JK 02 BJ 0366</t>
  </si>
  <si>
    <t>https://vehicleinfo.app/rc-details/JK02BJ0366?rc_no=JK02BJ0366</t>
  </si>
  <si>
    <t>GRAND I 10</t>
  </si>
  <si>
    <t>JK 02 CQ 8989</t>
  </si>
  <si>
    <t>https://vehicleinfo.app/rc-details/JK02CQ8989?rc_no=JK02CQ8989</t>
  </si>
  <si>
    <t>TOYOTA</t>
  </si>
  <si>
    <t>FORTUNER SIGMA</t>
  </si>
  <si>
    <t>JK 02 CH 8695</t>
  </si>
  <si>
    <t>https://vehicleinfo.app/rc-details/JK02CH8695?rc_no=JK02CH8695</t>
  </si>
  <si>
    <t>DESTINI</t>
  </si>
  <si>
    <t>JK 02 DN 0293</t>
  </si>
  <si>
    <t>https://vehicleinfo.app/rc-details/JK02DN0293?rc_no=JK02DN0293</t>
  </si>
  <si>
    <t>IAT</t>
  </si>
  <si>
    <t xml:space="preserve">Duration start time </t>
  </si>
  <si>
    <t>SST</t>
  </si>
  <si>
    <t>Amount Paid</t>
  </si>
  <si>
    <t>SCT</t>
  </si>
  <si>
    <t>service Time</t>
  </si>
  <si>
    <t>Pump Number Distribution</t>
  </si>
  <si>
    <t>Sl.no</t>
  </si>
  <si>
    <t>Pump Number</t>
  </si>
  <si>
    <t>Frequency</t>
  </si>
  <si>
    <t>Probability</t>
  </si>
  <si>
    <t>Cumulative Probability</t>
  </si>
  <si>
    <t>Lower range</t>
  </si>
  <si>
    <t>Higher range</t>
  </si>
  <si>
    <t>Total</t>
  </si>
  <si>
    <t>Vehicle to Fuel Distribution</t>
  </si>
  <si>
    <t>Fuel Type Distribution</t>
  </si>
  <si>
    <t xml:space="preserve">fuel type </t>
  </si>
  <si>
    <t xml:space="preserve">frequency </t>
  </si>
  <si>
    <t xml:space="preserve">probality </t>
  </si>
  <si>
    <t>cumulative probility</t>
  </si>
  <si>
    <t>petrol</t>
  </si>
  <si>
    <t>desiel</t>
  </si>
  <si>
    <t>total</t>
  </si>
  <si>
    <t>Auto</t>
  </si>
  <si>
    <t>–</t>
  </si>
  <si>
    <t>Carriers*</t>
  </si>
  <si>
    <t>Van*</t>
  </si>
  <si>
    <t>Van</t>
  </si>
  <si>
    <t>Interarrival Time</t>
  </si>
  <si>
    <t>Inter arrival time(sec)</t>
  </si>
  <si>
    <t>Cumilative Probability</t>
  </si>
  <si>
    <t>0 - 30</t>
  </si>
  <si>
    <t xml:space="preserve">30 - 60 </t>
  </si>
  <si>
    <t>60 - 90</t>
  </si>
  <si>
    <t>90 - 120</t>
  </si>
  <si>
    <t>120 - 150</t>
  </si>
  <si>
    <t>150 - 180</t>
  </si>
  <si>
    <t>180 - 210</t>
  </si>
  <si>
    <t>210 - 240</t>
  </si>
  <si>
    <t>240 - 270</t>
  </si>
  <si>
    <t>270 - 300</t>
  </si>
  <si>
    <t>300 - 330</t>
  </si>
  <si>
    <t>330 - 360</t>
  </si>
  <si>
    <t>360 - 390</t>
  </si>
  <si>
    <t>Service Time</t>
  </si>
  <si>
    <t>Service Time(Sec)</t>
  </si>
  <si>
    <t>40 - 60</t>
  </si>
  <si>
    <t>60 - 120</t>
  </si>
  <si>
    <t>120 - 180</t>
  </si>
  <si>
    <t>180 - 240</t>
  </si>
  <si>
    <t>240 - 300</t>
  </si>
  <si>
    <t>300 - 360</t>
  </si>
  <si>
    <t>360 - 420</t>
  </si>
  <si>
    <t>420 - 480</t>
  </si>
  <si>
    <t>Mode of Payment</t>
  </si>
  <si>
    <t>Online*</t>
  </si>
  <si>
    <t>Offline*</t>
  </si>
  <si>
    <t>vehicle Distribution</t>
  </si>
  <si>
    <t>Registed City Frequency</t>
  </si>
  <si>
    <t>Registered City</t>
  </si>
  <si>
    <t>Jammu</t>
  </si>
  <si>
    <t>Other State Cities</t>
  </si>
  <si>
    <t>Udhampur</t>
  </si>
  <si>
    <t>Resai</t>
  </si>
  <si>
    <t>Lakhanpur</t>
  </si>
  <si>
    <t>Rajouri</t>
  </si>
  <si>
    <t>Ramban</t>
  </si>
  <si>
    <t>Samba</t>
  </si>
  <si>
    <t>Old vehicle/ no. number plate</t>
  </si>
  <si>
    <t>Air Filled Status</t>
  </si>
  <si>
    <t>YES</t>
  </si>
  <si>
    <t>0</t>
  </si>
  <si>
    <t>1-5</t>
  </si>
  <si>
    <t>6+</t>
  </si>
  <si>
    <t>Insurance Validity Status</t>
  </si>
  <si>
    <t>Car to Service Time range</t>
  </si>
  <si>
    <t>0 - 60</t>
  </si>
  <si>
    <t>Bike to Service Time range</t>
  </si>
  <si>
    <t>30 - 60</t>
  </si>
  <si>
    <t>Scooter to Service Time range</t>
  </si>
  <si>
    <t>Auto to Service Time range</t>
  </si>
  <si>
    <t>Carriers* to Service Time range</t>
  </si>
  <si>
    <t>Van* to Service Time range</t>
  </si>
  <si>
    <t>PCT PROJECT — Monte Carlo Simulation (200 Customers)</t>
  </si>
  <si>
    <t>No.</t>
  </si>
  <si>
    <t>Inter-Arrival Time</t>
  </si>
  <si>
    <t>Pump</t>
  </si>
  <si>
    <t>Clock</t>
  </si>
  <si>
    <t>Pump1</t>
  </si>
  <si>
    <t>Pump 2</t>
  </si>
  <si>
    <t>pump 3</t>
  </si>
  <si>
    <t>pump 4</t>
  </si>
  <si>
    <t>pump5</t>
  </si>
  <si>
    <t>mode of payment</t>
  </si>
  <si>
    <t>City of Registration</t>
  </si>
  <si>
    <t>No. of Chalans Pending</t>
  </si>
  <si>
    <t>Rand</t>
  </si>
  <si>
    <t>Range</t>
  </si>
  <si>
    <t>a</t>
  </si>
  <si>
    <t>b</t>
  </si>
  <si>
    <t>Seconds</t>
  </si>
  <si>
    <t xml:space="preserve">Rand </t>
  </si>
  <si>
    <t>Vehicle</t>
  </si>
  <si>
    <t>rand</t>
  </si>
  <si>
    <t xml:space="preserve">Time </t>
  </si>
  <si>
    <t xml:space="preserve">time </t>
  </si>
  <si>
    <t>Status</t>
  </si>
  <si>
    <t>Waiting Time</t>
  </si>
  <si>
    <t xml:space="preserve">waiting </t>
  </si>
  <si>
    <t>Service Start Time</t>
  </si>
  <si>
    <t xml:space="preserve">sst </t>
  </si>
  <si>
    <t>Service End Time</t>
  </si>
  <si>
    <t>set</t>
  </si>
  <si>
    <t>status</t>
  </si>
  <si>
    <t>City</t>
  </si>
  <si>
    <t xml:space="preserve">No. Chalans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</si>
</sst>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&quot;:&quot;mm&quot;:&quot;ss"/>
    <numFmt numFmtId="165" formatCode="0.000"/>
    <numFmt numFmtId="166" formatCode="hh:mm:ss"/>
  </numFmts>
  <fonts count="20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Arial"/>
      <scheme val="minor"/>
    </font>
    <font/>
    <font>
      <color rgb="FFFFFFFF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rgb="FFFFFFFF"/>
      <name val="Arial"/>
    </font>
    <font>
      <b/>
      <color theme="1"/>
      <name val="Arial"/>
      <scheme val="minor"/>
    </font>
    <font>
      <b/>
      <sz val="13.0"/>
      <color rgb="FFFFFFFF"/>
      <name val="Arial"/>
    </font>
    <font>
      <b/>
      <color rgb="FFFFFFFF"/>
      <name val="Arial"/>
    </font>
    <font>
      <b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B7B7B7"/>
        <bgColor rgb="FFB7B7B7"/>
      </patternFill>
    </fill>
    <fill>
      <patternFill patternType="solid">
        <fgColor rgb="FFFFDA66"/>
        <bgColor rgb="FFFFDA66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A64D79"/>
        <bgColor rgb="FFA64D79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</fills>
  <borders count="8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/>
    </xf>
    <xf borderId="0" fillId="4" fontId="4" numFmtId="164" xfId="0" applyAlignment="1" applyFont="1" applyNumberFormat="1">
      <alignment horizontal="right" vertical="bottom"/>
    </xf>
    <xf borderId="1" fillId="4" fontId="3" numFmtId="0" xfId="0" applyAlignment="1" applyBorder="1" applyFont="1">
      <alignment horizontal="left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46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5" fontId="3" numFmtId="0" xfId="0" applyAlignment="1" applyBorder="1" applyFill="1" applyFont="1">
      <alignment horizontal="center" readingOrder="0"/>
    </xf>
    <xf borderId="0" fillId="5" fontId="4" numFmtId="164" xfId="0" applyAlignment="1" applyFont="1" applyNumberFormat="1">
      <alignment horizontal="right" vertical="bottom"/>
    </xf>
    <xf borderId="1" fillId="5" fontId="3" numFmtId="0" xfId="0" applyAlignment="1" applyBorder="1" applyFont="1">
      <alignment horizontal="left" readingOrder="0"/>
    </xf>
    <xf borderId="1" fillId="5" fontId="3" numFmtId="164" xfId="0" applyAlignment="1" applyBorder="1" applyFont="1" applyNumberFormat="1">
      <alignment horizontal="center" readingOrder="0"/>
    </xf>
    <xf borderId="1" fillId="5" fontId="3" numFmtId="46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 readingOrder="0"/>
    </xf>
    <xf borderId="0" fillId="0" fontId="3" numFmtId="0" xfId="0" applyFont="1"/>
    <xf borderId="1" fillId="4" fontId="3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left"/>
    </xf>
    <xf borderId="1" fillId="7" fontId="3" numFmtId="0" xfId="0" applyAlignment="1" applyBorder="1" applyFill="1" applyFont="1">
      <alignment horizontal="center" readingOrder="0"/>
    </xf>
    <xf borderId="1" fillId="7" fontId="3" numFmtId="0" xfId="0" applyAlignment="1" applyBorder="1" applyFont="1">
      <alignment horizontal="left" readingOrder="0"/>
    </xf>
    <xf borderId="1" fillId="7" fontId="3" numFmtId="164" xfId="0" applyAlignment="1" applyBorder="1" applyFont="1" applyNumberFormat="1">
      <alignment horizontal="center" readingOrder="0"/>
    </xf>
    <xf borderId="1" fillId="7" fontId="3" numFmtId="46" xfId="0" applyAlignment="1" applyBorder="1" applyFont="1" applyNumberForma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left"/>
    </xf>
    <xf borderId="1" fillId="8" fontId="3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left" readingOrder="0"/>
    </xf>
    <xf borderId="1" fillId="8" fontId="3" numFmtId="164" xfId="0" applyAlignment="1" applyBorder="1" applyFont="1" applyNumberFormat="1">
      <alignment horizontal="center" readingOrder="0"/>
    </xf>
    <xf borderId="1" fillId="8" fontId="3" numFmtId="46" xfId="0" applyAlignment="1" applyBorder="1" applyFont="1" applyNumberFormat="1">
      <alignment horizontal="center" readingOrder="0"/>
    </xf>
    <xf borderId="1" fillId="8" fontId="8" numFmtId="0" xfId="0" applyAlignment="1" applyBorder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8" fontId="3" numFmtId="46" xfId="0" applyAlignment="1" applyBorder="1" applyFont="1" applyNumberFormat="1">
      <alignment horizontal="center"/>
    </xf>
    <xf borderId="1" fillId="5" fontId="3" numFmtId="21" xfId="0" applyAlignment="1" applyBorder="1" applyFont="1" applyNumberFormat="1">
      <alignment horizontal="center" readingOrder="0"/>
    </xf>
    <xf borderId="1" fillId="8" fontId="3" numFmtId="0" xfId="0" applyAlignment="1" applyBorder="1" applyFont="1">
      <alignment horizontal="center"/>
    </xf>
    <xf borderId="1" fillId="8" fontId="3" numFmtId="0" xfId="0" applyAlignment="1" applyBorder="1" applyFont="1">
      <alignment horizontal="left"/>
    </xf>
    <xf borderId="1" fillId="9" fontId="3" numFmtId="0" xfId="0" applyAlignment="1" applyBorder="1" applyFont="1">
      <alignment horizontal="left" readingOrder="0"/>
    </xf>
    <xf borderId="1" fillId="9" fontId="3" numFmtId="164" xfId="0" applyAlignment="1" applyBorder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left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left" readingOrder="0"/>
    </xf>
    <xf borderId="0" fillId="4" fontId="3" numFmtId="0" xfId="0" applyAlignment="1" applyFont="1">
      <alignment horizontal="center" readingOrder="0"/>
    </xf>
    <xf borderId="0" fillId="0" fontId="3" numFmtId="19" xfId="0" applyAlignment="1" applyFont="1" applyNumberFormat="1">
      <alignment readingOrder="0"/>
    </xf>
    <xf borderId="0" fillId="4" fontId="4" numFmtId="164" xfId="0" applyAlignment="1" applyFont="1" applyNumberFormat="1">
      <alignment horizontal="right" readingOrder="0" vertical="bottom"/>
    </xf>
    <xf borderId="0" fillId="4" fontId="4" numFmtId="46" xfId="0" applyAlignment="1" applyFont="1" applyNumberFormat="1">
      <alignment horizontal="right" readingOrder="0" vertical="bottom"/>
    </xf>
    <xf borderId="1" fillId="4" fontId="3" numFmtId="1" xfId="0" applyAlignment="1" applyBorder="1" applyFont="1" applyNumberFormat="1">
      <alignment horizontal="center" readingOrder="0"/>
    </xf>
    <xf borderId="0" fillId="5" fontId="4" numFmtId="164" xfId="0" applyAlignment="1" applyFont="1" applyNumberFormat="1">
      <alignment horizontal="right" readingOrder="0" vertical="bottom"/>
    </xf>
    <xf borderId="0" fillId="5" fontId="4" numFmtId="46" xfId="0" applyAlignment="1" applyFont="1" applyNumberFormat="1">
      <alignment horizontal="right" readingOrder="0" vertical="bottom"/>
    </xf>
    <xf borderId="1" fillId="5" fontId="3" numFmtId="1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/>
    </xf>
    <xf borderId="0" fillId="4" fontId="4" numFmtId="0" xfId="0" applyAlignment="1" applyFont="1">
      <alignment horizontal="right" readingOrder="0" vertical="bottom"/>
    </xf>
    <xf borderId="0" fillId="10" fontId="10" numFmtId="0" xfId="0" applyAlignment="1" applyFill="1" applyFont="1">
      <alignment horizontal="center" readingOrder="0"/>
    </xf>
    <xf borderId="2" fillId="2" fontId="10" numFmtId="0" xfId="0" applyAlignment="1" applyBorder="1" applyFont="1">
      <alignment horizontal="center" readingOrder="0"/>
    </xf>
    <xf borderId="3" fillId="0" fontId="11" numFmtId="0" xfId="0" applyBorder="1" applyFont="1"/>
    <xf borderId="4" fillId="0" fontId="11" numFmtId="0" xfId="0" applyBorder="1" applyFont="1"/>
    <xf borderId="5" fillId="2" fontId="12" numFmtId="0" xfId="0" applyAlignment="1" applyBorder="1" applyFont="1">
      <alignment readingOrder="0"/>
    </xf>
    <xf borderId="5" fillId="2" fontId="12" numFmtId="0" xfId="0" applyAlignment="1" applyBorder="1" applyFont="1">
      <alignment readingOrder="0"/>
    </xf>
    <xf borderId="5" fillId="0" fontId="13" numFmtId="0" xfId="0" applyAlignment="1" applyBorder="1" applyFont="1">
      <alignment readingOrder="0"/>
    </xf>
    <xf borderId="5" fillId="0" fontId="13" numFmtId="0" xfId="0" applyAlignment="1" applyBorder="1" applyFont="1">
      <alignment readingOrder="0"/>
    </xf>
    <xf borderId="5" fillId="0" fontId="13" numFmtId="165" xfId="0" applyAlignment="1" applyBorder="1" applyFont="1" applyNumberFormat="1">
      <alignment readingOrder="0"/>
    </xf>
    <xf borderId="5" fillId="0" fontId="3" numFmtId="165" xfId="0" applyBorder="1" applyFont="1" applyNumberFormat="1"/>
    <xf borderId="0" fillId="0" fontId="3" numFmtId="4" xfId="0" applyFont="1" applyNumberFormat="1"/>
    <xf borderId="5" fillId="0" fontId="10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5" fillId="0" fontId="3" numFmtId="0" xfId="0" applyBorder="1" applyFont="1"/>
    <xf borderId="0" fillId="10" fontId="10" numFmtId="0" xfId="0" applyAlignment="1" applyFont="1">
      <alignment readingOrder="0"/>
    </xf>
    <xf borderId="0" fillId="10" fontId="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horizontal="center" vertical="bottom"/>
    </xf>
    <xf borderId="5" fillId="2" fontId="15" numFmtId="0" xfId="0" applyAlignment="1" applyBorder="1" applyFont="1">
      <alignment vertical="bottom"/>
    </xf>
    <xf borderId="5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readingOrder="0"/>
    </xf>
    <xf borderId="5" fillId="0" fontId="4" numFmtId="0" xfId="0" applyAlignment="1" applyBorder="1" applyFont="1">
      <alignment vertical="bottom"/>
    </xf>
    <xf borderId="5" fillId="0" fontId="4" numFmtId="165" xfId="0" applyAlignment="1" applyBorder="1" applyFont="1" applyNumberFormat="1">
      <alignment horizontal="right" vertical="bottom"/>
    </xf>
    <xf borderId="5" fillId="0" fontId="16" numFmtId="0" xfId="0" applyAlignment="1" applyBorder="1" applyFont="1">
      <alignment readingOrder="0"/>
    </xf>
    <xf borderId="5" fillId="0" fontId="1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2" fillId="2" fontId="14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16" numFmtId="0" xfId="0" applyBorder="1" applyFont="1"/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2" fillId="10" fontId="2" numFmtId="0" xfId="0" applyAlignment="1" applyBorder="1" applyFont="1">
      <alignment horizontal="center" readingOrder="0"/>
    </xf>
    <xf borderId="5" fillId="0" fontId="3" numFmtId="49" xfId="0" applyAlignment="1" applyBorder="1" applyFont="1" applyNumberFormat="1">
      <alignment horizontal="right"/>
    </xf>
    <xf borderId="5" fillId="0" fontId="3" numFmtId="165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2" fillId="11" fontId="17" numFmtId="0" xfId="0" applyAlignment="1" applyBorder="1" applyFill="1" applyFont="1">
      <alignment horizontal="center" readingOrder="0" shrinkToFit="0" wrapText="0"/>
    </xf>
    <xf borderId="6" fillId="11" fontId="18" numFmtId="0" xfId="0" applyAlignment="1" applyBorder="1" applyFont="1">
      <alignment horizontal="center" readingOrder="0" shrinkToFit="0" wrapText="0"/>
    </xf>
    <xf borderId="2" fillId="12" fontId="19" numFmtId="0" xfId="0" applyAlignment="1" applyBorder="1" applyFill="1" applyFont="1">
      <alignment horizontal="center" readingOrder="0" shrinkToFit="0" wrapText="0"/>
    </xf>
    <xf borderId="0" fillId="13" fontId="16" numFmtId="0" xfId="0" applyAlignment="1" applyFill="1" applyFont="1">
      <alignment horizontal="center" readingOrder="0"/>
    </xf>
    <xf borderId="0" fillId="14" fontId="16" numFmtId="0" xfId="0" applyAlignment="1" applyFill="1" applyFont="1">
      <alignment horizontal="center" readingOrder="0"/>
    </xf>
    <xf borderId="0" fillId="15" fontId="16" numFmtId="0" xfId="0" applyAlignment="1" applyFill="1" applyFont="1">
      <alignment horizontal="center" readingOrder="0"/>
    </xf>
    <xf borderId="0" fillId="16" fontId="16" numFmtId="0" xfId="0" applyAlignment="1" applyFill="1" applyFont="1">
      <alignment horizontal="center" readingOrder="0"/>
    </xf>
    <xf borderId="0" fillId="17" fontId="16" numFmtId="0" xfId="0" applyAlignment="1" applyFill="1" applyFont="1">
      <alignment horizontal="center" readingOrder="0"/>
    </xf>
    <xf borderId="0" fillId="18" fontId="16" numFmtId="0" xfId="0" applyAlignment="1" applyFill="1" applyFont="1">
      <alignment horizontal="center" readingOrder="0"/>
    </xf>
    <xf borderId="0" fillId="19" fontId="16" numFmtId="0" xfId="0" applyAlignment="1" applyFill="1" applyFont="1">
      <alignment horizontal="center" readingOrder="0"/>
    </xf>
    <xf borderId="0" fillId="20" fontId="16" numFmtId="0" xfId="0" applyAlignment="1" applyFill="1" applyFont="1">
      <alignment horizontal="center" readingOrder="0"/>
    </xf>
    <xf borderId="0" fillId="21" fontId="16" numFmtId="0" xfId="0" applyAlignment="1" applyFill="1" applyFont="1">
      <alignment horizontal="center" readingOrder="0"/>
    </xf>
    <xf borderId="0" fillId="22" fontId="16" numFmtId="0" xfId="0" applyAlignment="1" applyFill="1" applyFont="1">
      <alignment horizontal="center" readingOrder="0"/>
    </xf>
    <xf borderId="0" fillId="23" fontId="16" numFmtId="0" xfId="0" applyAlignment="1" applyFill="1" applyFont="1">
      <alignment horizontal="center" readingOrder="0"/>
    </xf>
    <xf borderId="0" fillId="24" fontId="16" numFmtId="0" xfId="0" applyAlignment="1" applyFill="1" applyFont="1">
      <alignment horizontal="center" readingOrder="0"/>
    </xf>
    <xf borderId="7" fillId="0" fontId="11" numFmtId="0" xfId="0" applyBorder="1" applyFont="1"/>
    <xf borderId="0" fillId="25" fontId="2" numFmtId="0" xfId="0" applyAlignment="1" applyFill="1" applyFont="1">
      <alignment horizontal="center" readingOrder="0"/>
    </xf>
    <xf borderId="0" fillId="25" fontId="2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166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/>
    </xf>
    <xf borderId="0" fillId="0" fontId="4" numFmtId="165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ehicleinfo.app/rc-details/JK02CA5999?rc_no=JK02CA5999" TargetMode="External"/><Relationship Id="rId42" Type="http://schemas.openxmlformats.org/officeDocument/2006/relationships/hyperlink" Target="https://vehicleinfo.app/rc-details/JK02AU3557?rc_no=JK02AU3557" TargetMode="External"/><Relationship Id="rId41" Type="http://schemas.openxmlformats.org/officeDocument/2006/relationships/hyperlink" Target="https://vehicleinfo.app/rc-details/JK02AL5693?rc_no=JK02AL5693" TargetMode="External"/><Relationship Id="rId44" Type="http://schemas.openxmlformats.org/officeDocument/2006/relationships/hyperlink" Target="https://vehicleinfo.app/rc-details/NONUMPLATE?rc_no=NONUMPLATE" TargetMode="External"/><Relationship Id="rId43" Type="http://schemas.openxmlformats.org/officeDocument/2006/relationships/hyperlink" Target="https://vehicleinfo.app/rc-details/JK028463?rc_no=JK028463" TargetMode="External"/><Relationship Id="rId46" Type="http://schemas.openxmlformats.org/officeDocument/2006/relationships/hyperlink" Target="https://vehicleinfo.app/rc-details/JK02CU8014?rc_no=JK02CU8014" TargetMode="External"/><Relationship Id="rId45" Type="http://schemas.openxmlformats.org/officeDocument/2006/relationships/hyperlink" Target="https://vehicleinfo.app/rc-details/JK02CV6368?rc_no=JK02CV6368" TargetMode="External"/><Relationship Id="rId107" Type="http://schemas.openxmlformats.org/officeDocument/2006/relationships/hyperlink" Target="https://vehicleinfo.app/rc-details/JK02DN0293?rc_no=JK02DN0293" TargetMode="External"/><Relationship Id="rId106" Type="http://schemas.openxmlformats.org/officeDocument/2006/relationships/hyperlink" Target="https://vehicleinfo.app/rc-details/JK02CH8695?rc_no=JK02CH8695" TargetMode="External"/><Relationship Id="rId105" Type="http://schemas.openxmlformats.org/officeDocument/2006/relationships/hyperlink" Target="https://vehicleinfo.app/rc-details/JK02CQ8989?rc_no=JK02CQ8989" TargetMode="External"/><Relationship Id="rId104" Type="http://schemas.openxmlformats.org/officeDocument/2006/relationships/hyperlink" Target="https://vehicleinfo.app/rc-details/JK02BJ0366?rc_no=JK02BJ0366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vehicleinfo.app/rc-details/JK02DK3213?rc_no=JK02DK3213" TargetMode="External"/><Relationship Id="rId47" Type="http://schemas.openxmlformats.org/officeDocument/2006/relationships/hyperlink" Target="https://vehicleinfo.app/rc-details/JK02CK7506?rc_no=JK02CK7506" TargetMode="External"/><Relationship Id="rId49" Type="http://schemas.openxmlformats.org/officeDocument/2006/relationships/hyperlink" Target="https://vehicleinfo.app/rc-details/JK02AW4023?rc_no=JK02AW4023" TargetMode="External"/><Relationship Id="rId103" Type="http://schemas.openxmlformats.org/officeDocument/2006/relationships/hyperlink" Target="https://vehicleinfo.app/rc-details/JK02DJ1441?rc_no=JK02DJ1441" TargetMode="External"/><Relationship Id="rId102" Type="http://schemas.openxmlformats.org/officeDocument/2006/relationships/hyperlink" Target="https://vehicleinfo.app/rc-details/JK02BY7434?rc_no=JK02BY7434" TargetMode="External"/><Relationship Id="rId101" Type="http://schemas.openxmlformats.org/officeDocument/2006/relationships/hyperlink" Target="https://vehicleinfo.app/rc-details/DL1CAA5690?rc_no=DL1CAA5690" TargetMode="External"/><Relationship Id="rId100" Type="http://schemas.openxmlformats.org/officeDocument/2006/relationships/hyperlink" Target="https://vehicleinfo.app/rc-details/JK02DP6481?rc_no=JK02DP6481" TargetMode="External"/><Relationship Id="rId31" Type="http://schemas.openxmlformats.org/officeDocument/2006/relationships/hyperlink" Target="https://vehicleinfo.app/rc-details/HR26DA9335?rc_no=HR26DA9335" TargetMode="External"/><Relationship Id="rId30" Type="http://schemas.openxmlformats.org/officeDocument/2006/relationships/hyperlink" Target="https://vehicleinfo.app/rc-details/JK21F0277?rc_no=JK21F0277" TargetMode="External"/><Relationship Id="rId33" Type="http://schemas.openxmlformats.org/officeDocument/2006/relationships/hyperlink" Target="https://vehicleinfo.app/rc-details/JK02AW2131?rc_no=JK02AW2131" TargetMode="External"/><Relationship Id="rId32" Type="http://schemas.openxmlformats.org/officeDocument/2006/relationships/hyperlink" Target="https://vehicleinfo.app/rc-details/JK02AH4611?rc_no=JK02AH4611" TargetMode="External"/><Relationship Id="rId35" Type="http://schemas.openxmlformats.org/officeDocument/2006/relationships/hyperlink" Target="https://vehicleinfo.app/rc-details/JK02DC5415?rc_no=JK02DC5415" TargetMode="External"/><Relationship Id="rId34" Type="http://schemas.openxmlformats.org/officeDocument/2006/relationships/hyperlink" Target="https://vehicleinfo.app/rc-details/JK02DU0772?rc_no=JK02DU0772" TargetMode="External"/><Relationship Id="rId37" Type="http://schemas.openxmlformats.org/officeDocument/2006/relationships/hyperlink" Target="https://vehicleinfo.app/rc-details/JK02DK0331?rc_no=JK02DK0331" TargetMode="External"/><Relationship Id="rId36" Type="http://schemas.openxmlformats.org/officeDocument/2006/relationships/hyperlink" Target="https://vehicleinfo.app/rc-details/JK02DN3352?rc_no=JK02DN3352" TargetMode="External"/><Relationship Id="rId39" Type="http://schemas.openxmlformats.org/officeDocument/2006/relationships/hyperlink" Target="https://vehicleinfo.app/rc-details/JK02BW6699?rc_no=JK02BW6699" TargetMode="External"/><Relationship Id="rId38" Type="http://schemas.openxmlformats.org/officeDocument/2006/relationships/hyperlink" Target="https://vehicleinfo.app/rc-details/JK02BR0955?rc_no=JK02BR0955" TargetMode="External"/><Relationship Id="rId20" Type="http://schemas.openxmlformats.org/officeDocument/2006/relationships/hyperlink" Target="https://vehicleinfo.app/rc-details/JK02AD9993?rc_no=JK02AD9993" TargetMode="External"/><Relationship Id="rId22" Type="http://schemas.openxmlformats.org/officeDocument/2006/relationships/hyperlink" Target="https://vehicleinfo.app/rc-details/JK02DS7236?rc_no=JK02DS7236" TargetMode="External"/><Relationship Id="rId21" Type="http://schemas.openxmlformats.org/officeDocument/2006/relationships/hyperlink" Target="https://vehicleinfo.app/rc-details/JK02CF3468?rc_no=JK02CF3468" TargetMode="External"/><Relationship Id="rId24" Type="http://schemas.openxmlformats.org/officeDocument/2006/relationships/hyperlink" Target="https://vehicleinfo.app/rc-details/JK02F2800?rc_no=JK02F2800" TargetMode="External"/><Relationship Id="rId23" Type="http://schemas.openxmlformats.org/officeDocument/2006/relationships/hyperlink" Target="https://vehicleinfo.app/rc-details/JK02CS5994?rc_no=JK02CS5994" TargetMode="External"/><Relationship Id="rId26" Type="http://schemas.openxmlformats.org/officeDocument/2006/relationships/hyperlink" Target="https://vehicleinfo.app/rc-details/JK02CH7778?rc_no=JK02CH7778" TargetMode="External"/><Relationship Id="rId25" Type="http://schemas.openxmlformats.org/officeDocument/2006/relationships/hyperlink" Target="https://vehicleinfo.app/rc-details/JK02CF2800?rc_no=JK02CF2800" TargetMode="External"/><Relationship Id="rId28" Type="http://schemas.openxmlformats.org/officeDocument/2006/relationships/hyperlink" Target="https://vehicleinfo.app/rc-details/JK02DG2001?rc_no=JK02DG2001" TargetMode="External"/><Relationship Id="rId27" Type="http://schemas.openxmlformats.org/officeDocument/2006/relationships/hyperlink" Target="https://vehicleinfo.app/rc-details/JK02AH0922?rc_no=JK02AH0922" TargetMode="External"/><Relationship Id="rId29" Type="http://schemas.openxmlformats.org/officeDocument/2006/relationships/hyperlink" Target="https://vehicleinfo.app/rc-details/JK02BK4144?rc_no=JK02BK4144" TargetMode="External"/><Relationship Id="rId95" Type="http://schemas.openxmlformats.org/officeDocument/2006/relationships/hyperlink" Target="https://vehicleinfo.app/rc-details/JK02BA5366?rc_no=JK02BA5366" TargetMode="External"/><Relationship Id="rId94" Type="http://schemas.openxmlformats.org/officeDocument/2006/relationships/hyperlink" Target="https://vehicleinfo.app/rc-details/JK02CR9322?rc_no=JK02CR9322" TargetMode="External"/><Relationship Id="rId97" Type="http://schemas.openxmlformats.org/officeDocument/2006/relationships/hyperlink" Target="https://vehicleinfo.app/rc-details/JK02DT5873?rc_no=JK02DT5873" TargetMode="External"/><Relationship Id="rId96" Type="http://schemas.openxmlformats.org/officeDocument/2006/relationships/hyperlink" Target="https://vehicleinfo.app/rc-details/JK02DT5357?rc_no=JK02DT5357" TargetMode="External"/><Relationship Id="rId11" Type="http://schemas.openxmlformats.org/officeDocument/2006/relationships/hyperlink" Target="https://vehicleinfo.app/rc-details/JK20C1155?rc_no=JK20C1155" TargetMode="External"/><Relationship Id="rId99" Type="http://schemas.openxmlformats.org/officeDocument/2006/relationships/hyperlink" Target="https://vehicleinfo.app/rc-details/JK02BU6102?rc_no=JK02BU6102" TargetMode="External"/><Relationship Id="rId10" Type="http://schemas.openxmlformats.org/officeDocument/2006/relationships/hyperlink" Target="https://vehicleinfo.app/rc-details/JK020L9880?rc_no=JK020L9880" TargetMode="External"/><Relationship Id="rId98" Type="http://schemas.openxmlformats.org/officeDocument/2006/relationships/hyperlink" Target="https://vehicleinfo.app/rc-details/JK02AX6954?rc_no=JK02AX6954" TargetMode="External"/><Relationship Id="rId13" Type="http://schemas.openxmlformats.org/officeDocument/2006/relationships/hyperlink" Target="https://vehicleinfo.app/rc-details/JK02DL4581?rc_no=JK02DL4581" TargetMode="External"/><Relationship Id="rId12" Type="http://schemas.openxmlformats.org/officeDocument/2006/relationships/hyperlink" Target="https://vehicleinfo.app/rc-details/JK02AT2503?rc_no=JK02AT2503" TargetMode="External"/><Relationship Id="rId91" Type="http://schemas.openxmlformats.org/officeDocument/2006/relationships/hyperlink" Target="https://vehicleinfo.app/rc-details/JK02DG9342?rc_no=JK02DG9342" TargetMode="External"/><Relationship Id="rId90" Type="http://schemas.openxmlformats.org/officeDocument/2006/relationships/hyperlink" Target="https://vehicleinfo.app/rc-details/JK02CW4196?rc_no=JK02CW4196" TargetMode="External"/><Relationship Id="rId93" Type="http://schemas.openxmlformats.org/officeDocument/2006/relationships/hyperlink" Target="https://vehicleinfo.app/rc-details/JK02CJ2449?rc_no=JK02CJ2449" TargetMode="External"/><Relationship Id="rId92" Type="http://schemas.openxmlformats.org/officeDocument/2006/relationships/hyperlink" Target="https://vehicleinfo.app/rc-details/JK14J3520?rc_no=JK14J3520" TargetMode="External"/><Relationship Id="rId15" Type="http://schemas.openxmlformats.org/officeDocument/2006/relationships/hyperlink" Target="https://vehicleinfo.app/rc-details/JK02DP1085?rc_no=JK02DP1085" TargetMode="External"/><Relationship Id="rId14" Type="http://schemas.openxmlformats.org/officeDocument/2006/relationships/hyperlink" Target="https://vehicleinfo.app/rc-details/JK02DR5589?rc_no=JK02DR5589" TargetMode="External"/><Relationship Id="rId17" Type="http://schemas.openxmlformats.org/officeDocument/2006/relationships/hyperlink" Target="https://vehicleinfo.app/rc-details/JK14E0406?rc_no=JK14E0406" TargetMode="External"/><Relationship Id="rId16" Type="http://schemas.openxmlformats.org/officeDocument/2006/relationships/hyperlink" Target="https://vehicleinfo.app/rc-details/JK02BE0139?rc_no=JK02BE0139" TargetMode="External"/><Relationship Id="rId19" Type="http://schemas.openxmlformats.org/officeDocument/2006/relationships/hyperlink" Target="https://vehicleinfo.app/rc-details/JK02BQ2567?rc_no=JK02BQ2567" TargetMode="External"/><Relationship Id="rId18" Type="http://schemas.openxmlformats.org/officeDocument/2006/relationships/hyperlink" Target="https://vehicleinfo.app/rc-details/JK02CU4173?rc_no=JK02CU4173" TargetMode="External"/><Relationship Id="rId84" Type="http://schemas.openxmlformats.org/officeDocument/2006/relationships/hyperlink" Target="https://vehicleinfo.app/rc-details/JK12V9024?rc_no=JK12V9024" TargetMode="External"/><Relationship Id="rId83" Type="http://schemas.openxmlformats.org/officeDocument/2006/relationships/hyperlink" Target="https://vehicleinfo.app/rc-details/JK14E3691?rc_no=JK14E3691" TargetMode="External"/><Relationship Id="rId86" Type="http://schemas.openxmlformats.org/officeDocument/2006/relationships/hyperlink" Target="https://vehicleinfo.app/rc-details/JK02DC6141?rc_no=JK02DC6141" TargetMode="External"/><Relationship Id="rId85" Type="http://schemas.openxmlformats.org/officeDocument/2006/relationships/hyperlink" Target="https://vehicleinfo.app/rc-details/JK02DB9207?rc_no=JK02DB9207" TargetMode="External"/><Relationship Id="rId88" Type="http://schemas.openxmlformats.org/officeDocument/2006/relationships/hyperlink" Target="https://vehicleinfo.app/rc-details/HR21M9657?rc_no=HR21M9657" TargetMode="External"/><Relationship Id="rId87" Type="http://schemas.openxmlformats.org/officeDocument/2006/relationships/hyperlink" Target="https://vehicleinfo.app/rc-details/JK203913?rc_no=JK203913" TargetMode="External"/><Relationship Id="rId89" Type="http://schemas.openxmlformats.org/officeDocument/2006/relationships/hyperlink" Target="https://vehicleinfo.app/rc-details/RJ37UA8388?rc_no=RJ37UA8388" TargetMode="External"/><Relationship Id="rId80" Type="http://schemas.openxmlformats.org/officeDocument/2006/relationships/hyperlink" Target="https://vehicleinfo.app/rc-details/JK02CG9706?rc_no=JK02CG9706" TargetMode="External"/><Relationship Id="rId82" Type="http://schemas.openxmlformats.org/officeDocument/2006/relationships/hyperlink" Target="https://vehicleinfo.app/rc-details/JK02CP0634?rc_no=JK02CP0634" TargetMode="External"/><Relationship Id="rId81" Type="http://schemas.openxmlformats.org/officeDocument/2006/relationships/hyperlink" Target="https://vehicleinfo.app/rc-details/JK02CX4206?rc_no=JK02CX4206" TargetMode="External"/><Relationship Id="rId1" Type="http://schemas.openxmlformats.org/officeDocument/2006/relationships/hyperlink" Target="https://vehicleinfo.app/rc-details/JK02BJ6083?rc_no=JK02BJ6083" TargetMode="External"/><Relationship Id="rId2" Type="http://schemas.openxmlformats.org/officeDocument/2006/relationships/hyperlink" Target="https://vehicleinfo.app/rc-details/JK02CG5449?rc_no=JK02CG5449" TargetMode="External"/><Relationship Id="rId3" Type="http://schemas.openxmlformats.org/officeDocument/2006/relationships/hyperlink" Target="https://vehicleinfo.app/rc-details/JK02CN9553?rc_no=JK02CN9553" TargetMode="External"/><Relationship Id="rId4" Type="http://schemas.openxmlformats.org/officeDocument/2006/relationships/hyperlink" Target="https://vehicleinfo.app/rc-details/JK02BD4552?rc_no=JK02BD4552" TargetMode="External"/><Relationship Id="rId9" Type="http://schemas.openxmlformats.org/officeDocument/2006/relationships/hyperlink" Target="https://vehicleinfo.app/rc-details/JK02CT3239?rc_no=JK02CT3239" TargetMode="External"/><Relationship Id="rId5" Type="http://schemas.openxmlformats.org/officeDocument/2006/relationships/hyperlink" Target="https://vehicleinfo.app/rc-details/JK20C4975?rc_no=JK20C4975" TargetMode="External"/><Relationship Id="rId6" Type="http://schemas.openxmlformats.org/officeDocument/2006/relationships/hyperlink" Target="https://vehicleinfo.app/rc-details/JK20B0450?rc_no=JK20B0450" TargetMode="External"/><Relationship Id="rId7" Type="http://schemas.openxmlformats.org/officeDocument/2006/relationships/hyperlink" Target="https://vehicleinfo.app/rc-details/JK02C0391?rc_no=JK02C0391" TargetMode="External"/><Relationship Id="rId8" Type="http://schemas.openxmlformats.org/officeDocument/2006/relationships/hyperlink" Target="https://vehicleinfo.app/rc-details/JK02AU2174?rc_no=JK02AU2174" TargetMode="External"/><Relationship Id="rId73" Type="http://schemas.openxmlformats.org/officeDocument/2006/relationships/hyperlink" Target="https://vehicleinfo.app/rc-details/JK02CG1125?rc_no=JK02CG1125" TargetMode="External"/><Relationship Id="rId72" Type="http://schemas.openxmlformats.org/officeDocument/2006/relationships/hyperlink" Target="https://vehicleinfo.app/rc-details/JK08B1998?rc_no=JK08B1998" TargetMode="External"/><Relationship Id="rId75" Type="http://schemas.openxmlformats.org/officeDocument/2006/relationships/hyperlink" Target="https://vehicleinfo.app/rc-details/JK14E9455?rc_no=JK14E9455" TargetMode="External"/><Relationship Id="rId74" Type="http://schemas.openxmlformats.org/officeDocument/2006/relationships/hyperlink" Target="https://vehicleinfo.app/rc-details/JK14K6100?rc_no=JK14K6100" TargetMode="External"/><Relationship Id="rId77" Type="http://schemas.openxmlformats.org/officeDocument/2006/relationships/hyperlink" Target="https://vehicleinfo.app/rc-details/JK02DC9262?rc_no=JK02DC9262" TargetMode="External"/><Relationship Id="rId76" Type="http://schemas.openxmlformats.org/officeDocument/2006/relationships/hyperlink" Target="https://vehicleinfo.app/rc-details/HR26CL7209?rc_no=HR26CL7209" TargetMode="External"/><Relationship Id="rId79" Type="http://schemas.openxmlformats.org/officeDocument/2006/relationships/hyperlink" Target="https://vehicleinfo.app/rc-details/JK02DJ6747?rc_no=JK02DJ6747" TargetMode="External"/><Relationship Id="rId78" Type="http://schemas.openxmlformats.org/officeDocument/2006/relationships/hyperlink" Target="https://vehicleinfo.app/rc-details/JK02CX4190?rc_no=JK02CX4190" TargetMode="External"/><Relationship Id="rId71" Type="http://schemas.openxmlformats.org/officeDocument/2006/relationships/hyperlink" Target="https://vehicleinfo.app/rc-details/JK02T6063?rc_no=JK02T6063" TargetMode="External"/><Relationship Id="rId70" Type="http://schemas.openxmlformats.org/officeDocument/2006/relationships/hyperlink" Target="https://vehicleinfo.app/rc-details/JK02CH5912?rc_no=JK02CH5912" TargetMode="External"/><Relationship Id="rId62" Type="http://schemas.openxmlformats.org/officeDocument/2006/relationships/hyperlink" Target="https://vehicleinfo.app/rc-details/JK02CE1369?rc_no=JK02CE1369" TargetMode="External"/><Relationship Id="rId61" Type="http://schemas.openxmlformats.org/officeDocument/2006/relationships/hyperlink" Target="https://vehicleinfo.app/rc-details/JK19A7383?rc_no=JK19A7383" TargetMode="External"/><Relationship Id="rId64" Type="http://schemas.openxmlformats.org/officeDocument/2006/relationships/hyperlink" Target="https://vehicleinfo.app/rc-details/JK02BL1898?rc_no=JK02BL1898" TargetMode="External"/><Relationship Id="rId63" Type="http://schemas.openxmlformats.org/officeDocument/2006/relationships/hyperlink" Target="https://vehicleinfo.app/rc-details/JK02DD0637?rc_no=JK02DD0637" TargetMode="External"/><Relationship Id="rId66" Type="http://schemas.openxmlformats.org/officeDocument/2006/relationships/hyperlink" Target="https://vehicleinfo.app/rc-details/JK02BH7117?rc_no=JK02BH7117" TargetMode="External"/><Relationship Id="rId65" Type="http://schemas.openxmlformats.org/officeDocument/2006/relationships/hyperlink" Target="https://vehicleinfo.app/rc-details/JK02BX9972?rc_no=JK02BX9972" TargetMode="External"/><Relationship Id="rId68" Type="http://schemas.openxmlformats.org/officeDocument/2006/relationships/hyperlink" Target="https://vehicleinfo.app/rc-details/JK02AW3557?rc_no=JK02AW3557" TargetMode="External"/><Relationship Id="rId67" Type="http://schemas.openxmlformats.org/officeDocument/2006/relationships/hyperlink" Target="https://vehicleinfo.app/rc-details/PB02BA1945?rc_no=PB02BA1945" TargetMode="External"/><Relationship Id="rId60" Type="http://schemas.openxmlformats.org/officeDocument/2006/relationships/hyperlink" Target="https://vehicleinfo.app/rc-details/JK11A6192?rc_no=JK11A6192" TargetMode="External"/><Relationship Id="rId69" Type="http://schemas.openxmlformats.org/officeDocument/2006/relationships/hyperlink" Target="https://vehicleinfo.app/rc-details/JK02CN2970?rc_no=JK02CN2970" TargetMode="External"/><Relationship Id="rId51" Type="http://schemas.openxmlformats.org/officeDocument/2006/relationships/hyperlink" Target="https://vehicleinfo.app/rc-details/JK02BD2200?rc_no=JK02BD2200" TargetMode="External"/><Relationship Id="rId50" Type="http://schemas.openxmlformats.org/officeDocument/2006/relationships/hyperlink" Target="https://vehicleinfo.app/rc-details/JK02AR5403?rc_no=JK02AR5403" TargetMode="External"/><Relationship Id="rId53" Type="http://schemas.openxmlformats.org/officeDocument/2006/relationships/hyperlink" Target="https://vehicleinfo.app/rc-details/JK02DD8247?rc_no=JK02DD8247" TargetMode="External"/><Relationship Id="rId52" Type="http://schemas.openxmlformats.org/officeDocument/2006/relationships/hyperlink" Target="https://vehicleinfo.app/rc-details/JK08F2560?rc_no=JK08F2560" TargetMode="External"/><Relationship Id="rId55" Type="http://schemas.openxmlformats.org/officeDocument/2006/relationships/hyperlink" Target="https://vehicleinfo.app/rc-details/JK02CQ5189?rc_no=JK02CQ5189" TargetMode="External"/><Relationship Id="rId54" Type="http://schemas.openxmlformats.org/officeDocument/2006/relationships/hyperlink" Target="https://vehicleinfo.app/rc-details/KA53ED1213?rc_no=KA53ED1213" TargetMode="External"/><Relationship Id="rId57" Type="http://schemas.openxmlformats.org/officeDocument/2006/relationships/hyperlink" Target="https://vehicleinfo.app/rc-details/JK02BH4074?rc_no=JK02BH4074" TargetMode="External"/><Relationship Id="rId56" Type="http://schemas.openxmlformats.org/officeDocument/2006/relationships/hyperlink" Target="https://vehicleinfo.app/rc-details/JK08K3510?rc_no=JK08K3510" TargetMode="External"/><Relationship Id="rId59" Type="http://schemas.openxmlformats.org/officeDocument/2006/relationships/hyperlink" Target="https://vehicleinfo.app/rc-details/JK02CL8884?rc_no=JK02CL8884" TargetMode="External"/><Relationship Id="rId58" Type="http://schemas.openxmlformats.org/officeDocument/2006/relationships/hyperlink" Target="https://vehicleinfo.app/rc-details/JK14J0291?rc_no=JK14J029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vehicleinfo.app/rc-details/JK02CA5999?rc_no=JK02CA5999" TargetMode="External"/><Relationship Id="rId42" Type="http://schemas.openxmlformats.org/officeDocument/2006/relationships/hyperlink" Target="https://vehicleinfo.app/rc-details/JK028463?rc_no=JK028463" TargetMode="External"/><Relationship Id="rId41" Type="http://schemas.openxmlformats.org/officeDocument/2006/relationships/hyperlink" Target="https://vehicleinfo.app/rc-details/JK02AU3557?rc_no=JK02AU3557" TargetMode="External"/><Relationship Id="rId44" Type="http://schemas.openxmlformats.org/officeDocument/2006/relationships/hyperlink" Target="https://vehicleinfo.app/rc-details/JK02CV6368?rc_no=JK02CV6368" TargetMode="External"/><Relationship Id="rId43" Type="http://schemas.openxmlformats.org/officeDocument/2006/relationships/hyperlink" Target="https://vehicleinfo.app/rc-details/NONUMPLATE?rc_no=NONUMPLATE" TargetMode="External"/><Relationship Id="rId46" Type="http://schemas.openxmlformats.org/officeDocument/2006/relationships/hyperlink" Target="https://vehicleinfo.app/rc-details/JK02CK7506?rc_no=JK02CK7506" TargetMode="External"/><Relationship Id="rId45" Type="http://schemas.openxmlformats.org/officeDocument/2006/relationships/hyperlink" Target="https://vehicleinfo.app/rc-details/JK02CU8014?rc_no=JK02CU8014" TargetMode="External"/><Relationship Id="rId105" Type="http://schemas.openxmlformats.org/officeDocument/2006/relationships/drawing" Target="../drawings/drawing2.xml"/><Relationship Id="rId104" Type="http://schemas.openxmlformats.org/officeDocument/2006/relationships/hyperlink" Target="https://vehicleinfo.app/rc-details/JK02DN0293?rc_no=JK02DN0293" TargetMode="External"/><Relationship Id="rId48" Type="http://schemas.openxmlformats.org/officeDocument/2006/relationships/hyperlink" Target="https://vehicleinfo.app/rc-details/JK02AW4023?rc_no=JK02AW4023" TargetMode="External"/><Relationship Id="rId47" Type="http://schemas.openxmlformats.org/officeDocument/2006/relationships/hyperlink" Target="https://vehicleinfo.app/rc-details/JK02DK3213?rc_no=JK02DK3213" TargetMode="External"/><Relationship Id="rId49" Type="http://schemas.openxmlformats.org/officeDocument/2006/relationships/hyperlink" Target="https://vehicleinfo.app/rc-details/JK02AR5403?rc_no=JK02AR5403" TargetMode="External"/><Relationship Id="rId103" Type="http://schemas.openxmlformats.org/officeDocument/2006/relationships/hyperlink" Target="https://vehicleinfo.app/rc-details/JK02CH8695?rc_no=JK02CH8695" TargetMode="External"/><Relationship Id="rId102" Type="http://schemas.openxmlformats.org/officeDocument/2006/relationships/hyperlink" Target="https://vehicleinfo.app/rc-details/JK02CQ8989?rc_no=JK02CQ8989" TargetMode="External"/><Relationship Id="rId101" Type="http://schemas.openxmlformats.org/officeDocument/2006/relationships/hyperlink" Target="https://vehicleinfo.app/rc-details/JK02BJ0366?rc_no=JK02BJ0366" TargetMode="External"/><Relationship Id="rId100" Type="http://schemas.openxmlformats.org/officeDocument/2006/relationships/hyperlink" Target="https://vehicleinfo.app/rc-details/JK02DJ1441?rc_no=JK02DJ1441" TargetMode="External"/><Relationship Id="rId31" Type="http://schemas.openxmlformats.org/officeDocument/2006/relationships/hyperlink" Target="https://vehicleinfo.app/rc-details/HR26DA9335?rc_no=HR26DA9335" TargetMode="External"/><Relationship Id="rId30" Type="http://schemas.openxmlformats.org/officeDocument/2006/relationships/hyperlink" Target="https://vehicleinfo.app/rc-details/JK21F0277?rc_no=JK21F0277" TargetMode="External"/><Relationship Id="rId33" Type="http://schemas.openxmlformats.org/officeDocument/2006/relationships/hyperlink" Target="https://vehicleinfo.app/rc-details/JK02AW2131?rc_no=JK02AW2131" TargetMode="External"/><Relationship Id="rId32" Type="http://schemas.openxmlformats.org/officeDocument/2006/relationships/hyperlink" Target="https://vehicleinfo.app/rc-details/JK02AH4611?rc_no=JK02AH4611" TargetMode="External"/><Relationship Id="rId35" Type="http://schemas.openxmlformats.org/officeDocument/2006/relationships/hyperlink" Target="https://vehicleinfo.app/rc-details/JK02DC5415?rc_no=JK02DC5415" TargetMode="External"/><Relationship Id="rId34" Type="http://schemas.openxmlformats.org/officeDocument/2006/relationships/hyperlink" Target="https://vehicleinfo.app/rc-details/JK02DU0772?rc_no=JK02DU0772" TargetMode="External"/><Relationship Id="rId37" Type="http://schemas.openxmlformats.org/officeDocument/2006/relationships/hyperlink" Target="https://vehicleinfo.app/rc-details/JK02DK0331?rc_no=JK02DK0331" TargetMode="External"/><Relationship Id="rId36" Type="http://schemas.openxmlformats.org/officeDocument/2006/relationships/hyperlink" Target="https://vehicleinfo.app/rc-details/JK02DN3352?rc_no=JK02DN3352" TargetMode="External"/><Relationship Id="rId39" Type="http://schemas.openxmlformats.org/officeDocument/2006/relationships/hyperlink" Target="https://vehicleinfo.app/rc-details/JK02BW6699?rc_no=JK02BW6699" TargetMode="External"/><Relationship Id="rId38" Type="http://schemas.openxmlformats.org/officeDocument/2006/relationships/hyperlink" Target="https://vehicleinfo.app/rc-details/JK02BR0955?rc_no=JK02BR0955" TargetMode="External"/><Relationship Id="rId20" Type="http://schemas.openxmlformats.org/officeDocument/2006/relationships/hyperlink" Target="https://vehicleinfo.app/rc-details/JK02AD9993?rc_no=JK02AD9993" TargetMode="External"/><Relationship Id="rId22" Type="http://schemas.openxmlformats.org/officeDocument/2006/relationships/hyperlink" Target="https://vehicleinfo.app/rc-details/JK02DS7236?rc_no=JK02DS7236" TargetMode="External"/><Relationship Id="rId21" Type="http://schemas.openxmlformats.org/officeDocument/2006/relationships/hyperlink" Target="https://vehicleinfo.app/rc-details/JK02CF3468?rc_no=JK02CF3468" TargetMode="External"/><Relationship Id="rId24" Type="http://schemas.openxmlformats.org/officeDocument/2006/relationships/hyperlink" Target="https://vehicleinfo.app/rc-details/JK02F2800?rc_no=JK02F2800" TargetMode="External"/><Relationship Id="rId23" Type="http://schemas.openxmlformats.org/officeDocument/2006/relationships/hyperlink" Target="https://vehicleinfo.app/rc-details/JK02CS5994?rc_no=JK02CS5994" TargetMode="External"/><Relationship Id="rId26" Type="http://schemas.openxmlformats.org/officeDocument/2006/relationships/hyperlink" Target="https://vehicleinfo.app/rc-details/JK02CH7778?rc_no=JK02CH7778" TargetMode="External"/><Relationship Id="rId25" Type="http://schemas.openxmlformats.org/officeDocument/2006/relationships/hyperlink" Target="https://vehicleinfo.app/rc-details/JK02CF2800?rc_no=JK02CF2800" TargetMode="External"/><Relationship Id="rId28" Type="http://schemas.openxmlformats.org/officeDocument/2006/relationships/hyperlink" Target="https://vehicleinfo.app/rc-details/JK02DG2001?rc_no=JK02DG2001" TargetMode="External"/><Relationship Id="rId27" Type="http://schemas.openxmlformats.org/officeDocument/2006/relationships/hyperlink" Target="https://vehicleinfo.app/rc-details/JK02AH0922?rc_no=JK02AH0922" TargetMode="External"/><Relationship Id="rId29" Type="http://schemas.openxmlformats.org/officeDocument/2006/relationships/hyperlink" Target="https://vehicleinfo.app/rc-details/JK02BK4144?rc_no=JK02BK4144" TargetMode="External"/><Relationship Id="rId95" Type="http://schemas.openxmlformats.org/officeDocument/2006/relationships/hyperlink" Target="https://vehicleinfo.app/rc-details/JK02AX6954?rc_no=JK02AX6954" TargetMode="External"/><Relationship Id="rId94" Type="http://schemas.openxmlformats.org/officeDocument/2006/relationships/hyperlink" Target="https://vehicleinfo.app/rc-details/JK02DT5873?rc_no=JK02DT5873" TargetMode="External"/><Relationship Id="rId97" Type="http://schemas.openxmlformats.org/officeDocument/2006/relationships/hyperlink" Target="https://vehicleinfo.app/rc-details/JK02DP6481?rc_no=JK02DP6481" TargetMode="External"/><Relationship Id="rId96" Type="http://schemas.openxmlformats.org/officeDocument/2006/relationships/hyperlink" Target="https://vehicleinfo.app/rc-details/JK02BU6102?rc_no=JK02BU6102" TargetMode="External"/><Relationship Id="rId11" Type="http://schemas.openxmlformats.org/officeDocument/2006/relationships/hyperlink" Target="https://vehicleinfo.app/rc-details/JK20C1155?rc_no=JK20C1155" TargetMode="External"/><Relationship Id="rId99" Type="http://schemas.openxmlformats.org/officeDocument/2006/relationships/hyperlink" Target="https://vehicleinfo.app/rc-details/JK02BY7434?rc_no=JK02BY7434" TargetMode="External"/><Relationship Id="rId10" Type="http://schemas.openxmlformats.org/officeDocument/2006/relationships/hyperlink" Target="https://vehicleinfo.app/rc-details/JK020L9880?rc_no=JK020L9880" TargetMode="External"/><Relationship Id="rId98" Type="http://schemas.openxmlformats.org/officeDocument/2006/relationships/hyperlink" Target="https://vehicleinfo.app/rc-details/DL1CAA5690?rc_no=DL1CAA5690" TargetMode="External"/><Relationship Id="rId13" Type="http://schemas.openxmlformats.org/officeDocument/2006/relationships/hyperlink" Target="https://vehicleinfo.app/rc-details/JK02DL4581?rc_no=JK02DL4581" TargetMode="External"/><Relationship Id="rId12" Type="http://schemas.openxmlformats.org/officeDocument/2006/relationships/hyperlink" Target="https://vehicleinfo.app/rc-details/JK02AT2503?rc_no=JK02AT2503" TargetMode="External"/><Relationship Id="rId91" Type="http://schemas.openxmlformats.org/officeDocument/2006/relationships/hyperlink" Target="https://vehicleinfo.app/rc-details/JK02CR9322?rc_no=JK02CR9322" TargetMode="External"/><Relationship Id="rId90" Type="http://schemas.openxmlformats.org/officeDocument/2006/relationships/hyperlink" Target="https://vehicleinfo.app/rc-details/JK02CJ2449?rc_no=JK02CJ2449" TargetMode="External"/><Relationship Id="rId93" Type="http://schemas.openxmlformats.org/officeDocument/2006/relationships/hyperlink" Target="https://vehicleinfo.app/rc-details/JK02DT5357?rc_no=JK02DT5357" TargetMode="External"/><Relationship Id="rId92" Type="http://schemas.openxmlformats.org/officeDocument/2006/relationships/hyperlink" Target="https://vehicleinfo.app/rc-details/JK02BA5366?rc_no=JK02BA5366" TargetMode="External"/><Relationship Id="rId15" Type="http://schemas.openxmlformats.org/officeDocument/2006/relationships/hyperlink" Target="https://vehicleinfo.app/rc-details/JK02DP1085?rc_no=JK02DP1085" TargetMode="External"/><Relationship Id="rId14" Type="http://schemas.openxmlformats.org/officeDocument/2006/relationships/hyperlink" Target="https://vehicleinfo.app/rc-details/JK02DR5589?rc_no=JK02DR5589" TargetMode="External"/><Relationship Id="rId17" Type="http://schemas.openxmlformats.org/officeDocument/2006/relationships/hyperlink" Target="https://vehicleinfo.app/rc-details/JK14E0406?rc_no=JK14E0406" TargetMode="External"/><Relationship Id="rId16" Type="http://schemas.openxmlformats.org/officeDocument/2006/relationships/hyperlink" Target="https://vehicleinfo.app/rc-details/JK02BE0139?rc_no=JK02BE0139" TargetMode="External"/><Relationship Id="rId19" Type="http://schemas.openxmlformats.org/officeDocument/2006/relationships/hyperlink" Target="https://vehicleinfo.app/rc-details/JK02BQ2567?rc_no=JK02BQ2567" TargetMode="External"/><Relationship Id="rId18" Type="http://schemas.openxmlformats.org/officeDocument/2006/relationships/hyperlink" Target="https://vehicleinfo.app/rc-details/JK02CU4173?rc_no=JK02CU4173" TargetMode="External"/><Relationship Id="rId84" Type="http://schemas.openxmlformats.org/officeDocument/2006/relationships/hyperlink" Target="https://vehicleinfo.app/rc-details/JK203913?rc_no=JK203913" TargetMode="External"/><Relationship Id="rId83" Type="http://schemas.openxmlformats.org/officeDocument/2006/relationships/hyperlink" Target="https://vehicleinfo.app/rc-details/JK02DC6141?rc_no=JK02DC6141" TargetMode="External"/><Relationship Id="rId86" Type="http://schemas.openxmlformats.org/officeDocument/2006/relationships/hyperlink" Target="https://vehicleinfo.app/rc-details/RJ37UA8388?rc_no=RJ37UA8388" TargetMode="External"/><Relationship Id="rId85" Type="http://schemas.openxmlformats.org/officeDocument/2006/relationships/hyperlink" Target="https://vehicleinfo.app/rc-details/HR21M9657?rc_no=HR21M9657" TargetMode="External"/><Relationship Id="rId88" Type="http://schemas.openxmlformats.org/officeDocument/2006/relationships/hyperlink" Target="https://vehicleinfo.app/rc-details/JK02DG9342?rc_no=JK02DG9342" TargetMode="External"/><Relationship Id="rId87" Type="http://schemas.openxmlformats.org/officeDocument/2006/relationships/hyperlink" Target="https://vehicleinfo.app/rc-details/JK02CW4196?rc_no=JK02CW4196" TargetMode="External"/><Relationship Id="rId89" Type="http://schemas.openxmlformats.org/officeDocument/2006/relationships/hyperlink" Target="https://vehicleinfo.app/rc-details/JK14J3520?rc_no=JK14J3520" TargetMode="External"/><Relationship Id="rId80" Type="http://schemas.openxmlformats.org/officeDocument/2006/relationships/hyperlink" Target="https://vehicleinfo.app/rc-details/JK02CP0634?rc_no=JK02CP0634" TargetMode="External"/><Relationship Id="rId82" Type="http://schemas.openxmlformats.org/officeDocument/2006/relationships/hyperlink" Target="https://vehicleinfo.app/rc-details/JK02DB9207?rc_no=JK02DB9207" TargetMode="External"/><Relationship Id="rId81" Type="http://schemas.openxmlformats.org/officeDocument/2006/relationships/hyperlink" Target="https://vehicleinfo.app/rc-details/JK14E3691?rc_no=JK14E3691" TargetMode="External"/><Relationship Id="rId1" Type="http://schemas.openxmlformats.org/officeDocument/2006/relationships/hyperlink" Target="https://vehicleinfo.app/rc-details/JK02BJ6083?rc_no=JK02BJ6083" TargetMode="External"/><Relationship Id="rId2" Type="http://schemas.openxmlformats.org/officeDocument/2006/relationships/hyperlink" Target="https://vehicleinfo.app/rc-details/JK02CG5449?rc_no=JK02CG5449" TargetMode="External"/><Relationship Id="rId3" Type="http://schemas.openxmlformats.org/officeDocument/2006/relationships/hyperlink" Target="https://vehicleinfo.app/rc-details/JK02CN9553?rc_no=JK02CN9553" TargetMode="External"/><Relationship Id="rId4" Type="http://schemas.openxmlformats.org/officeDocument/2006/relationships/hyperlink" Target="https://vehicleinfo.app/rc-details/JK02BD4552?rc_no=JK02BD4552" TargetMode="External"/><Relationship Id="rId9" Type="http://schemas.openxmlformats.org/officeDocument/2006/relationships/hyperlink" Target="https://vehicleinfo.app/rc-details/JK02CT3239?rc_no=JK02CT3239" TargetMode="External"/><Relationship Id="rId5" Type="http://schemas.openxmlformats.org/officeDocument/2006/relationships/hyperlink" Target="https://vehicleinfo.app/rc-details/JK20C4975?rc_no=JK20C4975" TargetMode="External"/><Relationship Id="rId6" Type="http://schemas.openxmlformats.org/officeDocument/2006/relationships/hyperlink" Target="https://vehicleinfo.app/rc-details/JK20B0450?rc_no=JK20B0450" TargetMode="External"/><Relationship Id="rId7" Type="http://schemas.openxmlformats.org/officeDocument/2006/relationships/hyperlink" Target="https://vehicleinfo.app/rc-details/JK02C0391?rc_no=JK02C0391" TargetMode="External"/><Relationship Id="rId8" Type="http://schemas.openxmlformats.org/officeDocument/2006/relationships/hyperlink" Target="https://vehicleinfo.app/rc-details/JK02AU2174?rc_no=JK02AU2174" TargetMode="External"/><Relationship Id="rId73" Type="http://schemas.openxmlformats.org/officeDocument/2006/relationships/hyperlink" Target="https://vehicleinfo.app/rc-details/JK14K6100?rc_no=JK14K6100" TargetMode="External"/><Relationship Id="rId72" Type="http://schemas.openxmlformats.org/officeDocument/2006/relationships/hyperlink" Target="https://vehicleinfo.app/rc-details/JK02CG1125?rc_no=JK02CG1125" TargetMode="External"/><Relationship Id="rId75" Type="http://schemas.openxmlformats.org/officeDocument/2006/relationships/hyperlink" Target="https://vehicleinfo.app/rc-details/HR26CL7209?rc_no=HR26CL7209" TargetMode="External"/><Relationship Id="rId74" Type="http://schemas.openxmlformats.org/officeDocument/2006/relationships/hyperlink" Target="https://vehicleinfo.app/rc-details/JK14E9455?rc_no=JK14E9455" TargetMode="External"/><Relationship Id="rId77" Type="http://schemas.openxmlformats.org/officeDocument/2006/relationships/hyperlink" Target="https://vehicleinfo.app/rc-details/JK02DJ6747?rc_no=JK02DJ6747" TargetMode="External"/><Relationship Id="rId76" Type="http://schemas.openxmlformats.org/officeDocument/2006/relationships/hyperlink" Target="https://vehicleinfo.app/rc-details/JK02DC9262?rc_no=JK02DC9262" TargetMode="External"/><Relationship Id="rId79" Type="http://schemas.openxmlformats.org/officeDocument/2006/relationships/hyperlink" Target="https://vehicleinfo.app/rc-details/JK02CX4206?rc_no=JK02CX4206" TargetMode="External"/><Relationship Id="rId78" Type="http://schemas.openxmlformats.org/officeDocument/2006/relationships/hyperlink" Target="https://vehicleinfo.app/rc-details/JK02CG9706?rc_no=JK02CG9706" TargetMode="External"/><Relationship Id="rId71" Type="http://schemas.openxmlformats.org/officeDocument/2006/relationships/hyperlink" Target="https://vehicleinfo.app/rc-details/JK08B1998?rc_no=JK08B1998" TargetMode="External"/><Relationship Id="rId70" Type="http://schemas.openxmlformats.org/officeDocument/2006/relationships/hyperlink" Target="https://vehicleinfo.app/rc-details/JK02T6063?rc_no=JK02T6063" TargetMode="External"/><Relationship Id="rId62" Type="http://schemas.openxmlformats.org/officeDocument/2006/relationships/hyperlink" Target="https://vehicleinfo.app/rc-details/JK02DD0637?rc_no=JK02DD0637" TargetMode="External"/><Relationship Id="rId61" Type="http://schemas.openxmlformats.org/officeDocument/2006/relationships/hyperlink" Target="https://vehicleinfo.app/rc-details/JK02CE1369?rc_no=JK02CE1369" TargetMode="External"/><Relationship Id="rId64" Type="http://schemas.openxmlformats.org/officeDocument/2006/relationships/hyperlink" Target="https://vehicleinfo.app/rc-details/JK02BX9972?rc_no=JK02BX9972" TargetMode="External"/><Relationship Id="rId63" Type="http://schemas.openxmlformats.org/officeDocument/2006/relationships/hyperlink" Target="https://vehicleinfo.app/rc-details/JK02BL1898?rc_no=JK02BL1898" TargetMode="External"/><Relationship Id="rId66" Type="http://schemas.openxmlformats.org/officeDocument/2006/relationships/hyperlink" Target="https://vehicleinfo.app/rc-details/PB02BA1945?rc_no=PB02BA1945" TargetMode="External"/><Relationship Id="rId65" Type="http://schemas.openxmlformats.org/officeDocument/2006/relationships/hyperlink" Target="https://vehicleinfo.app/rc-details/JK02BH7117?rc_no=JK02BH7117" TargetMode="External"/><Relationship Id="rId68" Type="http://schemas.openxmlformats.org/officeDocument/2006/relationships/hyperlink" Target="https://vehicleinfo.app/rc-details/JK02CN2970?rc_no=JK02CN2970" TargetMode="External"/><Relationship Id="rId67" Type="http://schemas.openxmlformats.org/officeDocument/2006/relationships/hyperlink" Target="https://vehicleinfo.app/rc-details/JK02AW3557?rc_no=JK02AW3557" TargetMode="External"/><Relationship Id="rId60" Type="http://schemas.openxmlformats.org/officeDocument/2006/relationships/hyperlink" Target="https://vehicleinfo.app/rc-details/JK19A7383?rc_no=JK19A7383" TargetMode="External"/><Relationship Id="rId69" Type="http://schemas.openxmlformats.org/officeDocument/2006/relationships/hyperlink" Target="https://vehicleinfo.app/rc-details/JK02CH5912?rc_no=JK02CH5912" TargetMode="External"/><Relationship Id="rId51" Type="http://schemas.openxmlformats.org/officeDocument/2006/relationships/hyperlink" Target="https://vehicleinfo.app/rc-details/JK08F2560?rc_no=JK08F2560" TargetMode="External"/><Relationship Id="rId50" Type="http://schemas.openxmlformats.org/officeDocument/2006/relationships/hyperlink" Target="https://vehicleinfo.app/rc-details/JK02BD2200?rc_no=JK02BD2200" TargetMode="External"/><Relationship Id="rId53" Type="http://schemas.openxmlformats.org/officeDocument/2006/relationships/hyperlink" Target="https://vehicleinfo.app/rc-details/KA53ED1213?rc_no=KA53ED1213" TargetMode="External"/><Relationship Id="rId52" Type="http://schemas.openxmlformats.org/officeDocument/2006/relationships/hyperlink" Target="https://vehicleinfo.app/rc-details/JK02DD8247?rc_no=JK02DD8247" TargetMode="External"/><Relationship Id="rId55" Type="http://schemas.openxmlformats.org/officeDocument/2006/relationships/hyperlink" Target="https://vehicleinfo.app/rc-details/JK08K3510?rc_no=JK08K3510" TargetMode="External"/><Relationship Id="rId54" Type="http://schemas.openxmlformats.org/officeDocument/2006/relationships/hyperlink" Target="https://vehicleinfo.app/rc-details/JK02CQ5189?rc_no=JK02CQ5189" TargetMode="External"/><Relationship Id="rId57" Type="http://schemas.openxmlformats.org/officeDocument/2006/relationships/hyperlink" Target="https://vehicleinfo.app/rc-details/JK14J0291?rc_no=JK14J0291" TargetMode="External"/><Relationship Id="rId56" Type="http://schemas.openxmlformats.org/officeDocument/2006/relationships/hyperlink" Target="https://vehicleinfo.app/rc-details/JK02BH4074?rc_no=JK02BH4074" TargetMode="External"/><Relationship Id="rId59" Type="http://schemas.openxmlformats.org/officeDocument/2006/relationships/hyperlink" Target="https://vehicleinfo.app/rc-details/JK11A6192?rc_no=JK11A6192" TargetMode="External"/><Relationship Id="rId58" Type="http://schemas.openxmlformats.org/officeDocument/2006/relationships/hyperlink" Target="https://vehicleinfo.app/rc-details/JK02CL8884?rc_no=JK02CL888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hidden="1" min="2" max="2" width="13.13"/>
    <col customWidth="1" min="3" max="3" width="13.13"/>
    <col customWidth="1" min="4" max="4" width="13.5"/>
    <col customWidth="1" min="5" max="5" width="16.63"/>
    <col customWidth="1" min="6" max="6" width="13.38"/>
    <col customWidth="1" min="7" max="7" width="11.25"/>
    <col customWidth="1" min="8" max="8" width="16.13"/>
    <col customWidth="1" min="9" max="9" width="11.13"/>
    <col customWidth="1" min="10" max="10" width="16.63"/>
    <col customWidth="1" min="11" max="11" width="14.63"/>
    <col customWidth="1" min="12" max="12" width="15.25"/>
    <col customWidth="1" min="13" max="13" width="11.13"/>
    <col customWidth="1" min="14" max="14" width="19.0"/>
    <col hidden="1" min="15" max="15" width="12.63"/>
    <col customWidth="1" min="16" max="16" width="17.13"/>
    <col customWidth="1" min="17" max="17" width="15.13"/>
    <col customWidth="1" min="18" max="18" width="16.88"/>
    <col customWidth="1" min="19" max="19" width="18.63"/>
    <col customWidth="1" min="20" max="20" width="43.0"/>
    <col customWidth="1" min="21" max="21" width="31.63"/>
    <col customWidth="1" min="22" max="22" width="14.88"/>
    <col customWidth="1" min="23" max="24" width="8.75"/>
    <col customWidth="1" min="25" max="25" width="8.38"/>
    <col customWidth="1" min="26" max="30" width="11.88"/>
  </cols>
  <sheetData>
    <row r="1" ht="20.25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3"/>
      <c r="X1" s="3" t="s">
        <v>5</v>
      </c>
      <c r="Y1" s="4" t="s">
        <v>21</v>
      </c>
      <c r="Z1" s="4" t="s">
        <v>22</v>
      </c>
      <c r="AA1" s="5"/>
      <c r="AB1" s="5"/>
      <c r="AC1" s="5"/>
      <c r="AD1" s="5"/>
    </row>
    <row r="2">
      <c r="A2" s="6">
        <v>1.0</v>
      </c>
      <c r="B2" s="7">
        <v>0.7933536226846627</v>
      </c>
      <c r="C2" s="7">
        <v>0.7930064004624404</v>
      </c>
      <c r="D2" s="6" t="s">
        <v>23</v>
      </c>
      <c r="E2" s="6" t="s">
        <v>24</v>
      </c>
      <c r="F2" s="8" t="s">
        <v>25</v>
      </c>
      <c r="G2" s="6">
        <v>2.0</v>
      </c>
      <c r="H2" s="9">
        <v>0.7944444444444444</v>
      </c>
      <c r="I2" s="6" t="s">
        <v>26</v>
      </c>
      <c r="J2" s="6" t="s">
        <v>27</v>
      </c>
      <c r="K2" s="6">
        <v>1.04</v>
      </c>
      <c r="L2" s="6" t="s">
        <v>28</v>
      </c>
      <c r="M2" s="6" t="s">
        <v>29</v>
      </c>
      <c r="N2" s="10">
        <v>0.7948032407407407</v>
      </c>
      <c r="O2" s="11" t="s">
        <v>30</v>
      </c>
      <c r="P2" s="6" t="s">
        <v>31</v>
      </c>
      <c r="Q2" s="6">
        <v>0.0</v>
      </c>
      <c r="R2" s="6" t="s">
        <v>32</v>
      </c>
      <c r="S2" s="6" t="s">
        <v>33</v>
      </c>
      <c r="T2" s="8" t="s">
        <v>34</v>
      </c>
      <c r="U2" s="8" t="s">
        <v>35</v>
      </c>
      <c r="V2" s="11" t="str">
        <f t="shared" ref="V2:V24" si="1">HYPERLINK(O2,"link")</f>
        <v>link</v>
      </c>
      <c r="W2" s="12"/>
      <c r="X2" s="12">
        <v>1.0</v>
      </c>
      <c r="Y2" s="12" t="s">
        <v>36</v>
      </c>
      <c r="Z2" s="12">
        <v>15.0</v>
      </c>
      <c r="AA2" s="12"/>
      <c r="AB2" s="12"/>
      <c r="AC2" s="12"/>
      <c r="AD2" s="12"/>
    </row>
    <row r="3">
      <c r="A3" s="13">
        <v>2.0</v>
      </c>
      <c r="B3" s="14">
        <v>0.793800694445963</v>
      </c>
      <c r="C3" s="14">
        <v>0.7934534722237407</v>
      </c>
      <c r="D3" s="13" t="s">
        <v>37</v>
      </c>
      <c r="E3" s="13" t="s">
        <v>24</v>
      </c>
      <c r="F3" s="15" t="s">
        <v>38</v>
      </c>
      <c r="G3" s="13">
        <v>2.0</v>
      </c>
      <c r="H3" s="16">
        <v>0.7958333333333333</v>
      </c>
      <c r="I3" s="13" t="s">
        <v>26</v>
      </c>
      <c r="J3" s="13" t="s">
        <v>27</v>
      </c>
      <c r="K3" s="13">
        <v>25.9</v>
      </c>
      <c r="L3" s="13" t="s">
        <v>39</v>
      </c>
      <c r="M3" s="13" t="s">
        <v>29</v>
      </c>
      <c r="N3" s="17">
        <v>0.7992824074074074</v>
      </c>
      <c r="O3" s="18" t="s">
        <v>40</v>
      </c>
      <c r="P3" s="13" t="s">
        <v>31</v>
      </c>
      <c r="Q3" s="13">
        <v>0.0</v>
      </c>
      <c r="R3" s="13" t="s">
        <v>41</v>
      </c>
      <c r="S3" s="13" t="s">
        <v>33</v>
      </c>
      <c r="T3" s="15" t="s">
        <v>42</v>
      </c>
      <c r="U3" s="15" t="s">
        <v>43</v>
      </c>
      <c r="V3" s="18" t="str">
        <f t="shared" si="1"/>
        <v>link</v>
      </c>
      <c r="W3" s="12"/>
      <c r="X3" s="12">
        <v>2.0</v>
      </c>
      <c r="Y3" s="12" t="s">
        <v>26</v>
      </c>
      <c r="Z3" s="12">
        <v>45.0</v>
      </c>
      <c r="AA3" s="12"/>
      <c r="AB3" s="12"/>
      <c r="AC3" s="12"/>
      <c r="AD3" s="12"/>
    </row>
    <row r="4">
      <c r="A4" s="6">
        <v>3.0</v>
      </c>
      <c r="B4" s="7">
        <v>0.7942150347225834</v>
      </c>
      <c r="C4" s="7">
        <v>0.7938678125003611</v>
      </c>
      <c r="D4" s="6" t="s">
        <v>44</v>
      </c>
      <c r="E4" s="6" t="s">
        <v>24</v>
      </c>
      <c r="F4" s="8" t="s">
        <v>45</v>
      </c>
      <c r="G4" s="6">
        <v>3.0</v>
      </c>
      <c r="H4" s="9">
        <v>0.79375</v>
      </c>
      <c r="I4" s="6" t="s">
        <v>26</v>
      </c>
      <c r="J4" s="6" t="s">
        <v>27</v>
      </c>
      <c r="K4" s="6">
        <v>1.04</v>
      </c>
      <c r="L4" s="6" t="s">
        <v>28</v>
      </c>
      <c r="M4" s="6" t="s">
        <v>29</v>
      </c>
      <c r="N4" s="10">
        <v>0.7958449074074074</v>
      </c>
      <c r="O4" s="11" t="s">
        <v>46</v>
      </c>
      <c r="P4" s="6" t="s">
        <v>31</v>
      </c>
      <c r="Q4" s="6">
        <v>0.0</v>
      </c>
      <c r="R4" s="6" t="s">
        <v>41</v>
      </c>
      <c r="S4" s="6" t="s">
        <v>33</v>
      </c>
      <c r="T4" s="8" t="s">
        <v>47</v>
      </c>
      <c r="U4" s="8" t="s">
        <v>48</v>
      </c>
      <c r="V4" s="11" t="str">
        <f t="shared" si="1"/>
        <v>link</v>
      </c>
      <c r="W4" s="12"/>
      <c r="X4" s="12">
        <v>3.0</v>
      </c>
      <c r="Y4" s="12" t="s">
        <v>26</v>
      </c>
      <c r="Z4" s="12">
        <v>27.0</v>
      </c>
      <c r="AA4" s="12"/>
      <c r="AB4" s="12"/>
      <c r="AC4" s="12"/>
      <c r="AD4" s="12"/>
    </row>
    <row r="5">
      <c r="A5" s="13">
        <v>4.0</v>
      </c>
      <c r="B5" s="14">
        <v>0.7952399884234183</v>
      </c>
      <c r="C5" s="14">
        <v>0.794892766201196</v>
      </c>
      <c r="D5" s="13" t="s">
        <v>49</v>
      </c>
      <c r="E5" s="13" t="s">
        <v>24</v>
      </c>
      <c r="F5" s="15" t="s">
        <v>50</v>
      </c>
      <c r="G5" s="13">
        <v>1.0</v>
      </c>
      <c r="H5" s="16">
        <v>0.7951388888888888</v>
      </c>
      <c r="I5" s="13" t="s">
        <v>36</v>
      </c>
      <c r="J5" s="13" t="s">
        <v>27</v>
      </c>
      <c r="K5" s="13">
        <v>5.86</v>
      </c>
      <c r="L5" s="13" t="s">
        <v>28</v>
      </c>
      <c r="M5" s="13" t="s">
        <v>29</v>
      </c>
      <c r="N5" s="17">
        <v>0.7974074074074075</v>
      </c>
      <c r="O5" s="18" t="s">
        <v>51</v>
      </c>
      <c r="P5" s="13" t="s">
        <v>52</v>
      </c>
      <c r="Q5" s="13">
        <v>1.0</v>
      </c>
      <c r="R5" s="13" t="s">
        <v>41</v>
      </c>
      <c r="S5" s="13" t="s">
        <v>33</v>
      </c>
      <c r="T5" s="15" t="s">
        <v>53</v>
      </c>
      <c r="U5" s="15" t="s">
        <v>54</v>
      </c>
      <c r="V5" s="18" t="str">
        <f t="shared" si="1"/>
        <v>link</v>
      </c>
      <c r="W5" s="12"/>
      <c r="X5" s="12">
        <v>4.0</v>
      </c>
      <c r="Y5" s="12" t="s">
        <v>26</v>
      </c>
      <c r="Z5" s="12">
        <v>15.0</v>
      </c>
      <c r="AA5" s="12"/>
      <c r="AB5" s="12"/>
      <c r="AC5" s="12"/>
      <c r="AD5" s="12"/>
    </row>
    <row r="6">
      <c r="A6" s="6">
        <v>5.0</v>
      </c>
      <c r="B6" s="7">
        <v>0.7960132986117969</v>
      </c>
      <c r="C6" s="7">
        <v>0.7956660763895747</v>
      </c>
      <c r="D6" s="6" t="s">
        <v>23</v>
      </c>
      <c r="E6" s="6" t="s">
        <v>24</v>
      </c>
      <c r="F6" s="8" t="s">
        <v>55</v>
      </c>
      <c r="G6" s="6">
        <v>2.0</v>
      </c>
      <c r="H6" s="9">
        <v>0.7972222222222223</v>
      </c>
      <c r="I6" s="6" t="s">
        <v>26</v>
      </c>
      <c r="J6" s="6" t="s">
        <v>27</v>
      </c>
      <c r="K6" s="6">
        <v>2.59</v>
      </c>
      <c r="L6" s="6" t="s">
        <v>28</v>
      </c>
      <c r="M6" s="6" t="s">
        <v>29</v>
      </c>
      <c r="N6" s="10">
        <v>0.7977199074074074</v>
      </c>
      <c r="O6" s="11" t="s">
        <v>56</v>
      </c>
      <c r="P6" s="6" t="s">
        <v>31</v>
      </c>
      <c r="Q6" s="6">
        <v>0.0</v>
      </c>
      <c r="R6" s="6" t="s">
        <v>41</v>
      </c>
      <c r="S6" s="6" t="s">
        <v>57</v>
      </c>
      <c r="T6" s="8" t="s">
        <v>58</v>
      </c>
      <c r="U6" s="8" t="s">
        <v>59</v>
      </c>
      <c r="V6" s="11" t="str">
        <f t="shared" si="1"/>
        <v>link</v>
      </c>
      <c r="W6" s="12"/>
      <c r="X6" s="12">
        <v>5.0</v>
      </c>
      <c r="Y6" s="12" t="s">
        <v>36</v>
      </c>
      <c r="Z6" s="12">
        <v>2.0</v>
      </c>
      <c r="AA6" s="12"/>
      <c r="AB6" s="12"/>
      <c r="AC6" s="12"/>
      <c r="AD6" s="12"/>
    </row>
    <row r="7">
      <c r="A7" s="13">
        <v>6.0</v>
      </c>
      <c r="B7" s="14">
        <v>0.7968444097205065</v>
      </c>
      <c r="C7" s="14">
        <v>0.7964971874982842</v>
      </c>
      <c r="D7" s="13" t="s">
        <v>37</v>
      </c>
      <c r="E7" s="13" t="s">
        <v>24</v>
      </c>
      <c r="F7" s="15" t="s">
        <v>60</v>
      </c>
      <c r="G7" s="13">
        <v>3.0</v>
      </c>
      <c r="H7" s="16">
        <v>0.7979166666666667</v>
      </c>
      <c r="I7" s="13" t="s">
        <v>26</v>
      </c>
      <c r="J7" s="13" t="s">
        <v>27</v>
      </c>
      <c r="K7" s="13">
        <v>20.73</v>
      </c>
      <c r="L7" s="13" t="s">
        <v>39</v>
      </c>
      <c r="M7" s="13" t="s">
        <v>29</v>
      </c>
      <c r="N7" s="17">
        <v>0.8000925925925926</v>
      </c>
      <c r="O7" s="18" t="s">
        <v>61</v>
      </c>
      <c r="P7" s="13" t="s">
        <v>31</v>
      </c>
      <c r="Q7" s="13">
        <v>3.0</v>
      </c>
      <c r="R7" s="13" t="s">
        <v>32</v>
      </c>
      <c r="S7" s="13" t="s">
        <v>57</v>
      </c>
      <c r="T7" s="15" t="s">
        <v>42</v>
      </c>
      <c r="U7" s="15" t="s">
        <v>62</v>
      </c>
      <c r="V7" s="18" t="str">
        <f t="shared" si="1"/>
        <v>link</v>
      </c>
      <c r="Z7" s="19">
        <f>sum(Z2:Z6)</f>
        <v>104</v>
      </c>
    </row>
    <row r="8">
      <c r="A8" s="6">
        <v>7.0</v>
      </c>
      <c r="B8" s="7">
        <v>0.7968699884222588</v>
      </c>
      <c r="C8" s="7">
        <v>0.7965227662000365</v>
      </c>
      <c r="D8" s="6" t="s">
        <v>23</v>
      </c>
      <c r="E8" s="6" t="s">
        <v>24</v>
      </c>
      <c r="F8" s="8" t="s">
        <v>63</v>
      </c>
      <c r="G8" s="6">
        <v>4.0</v>
      </c>
      <c r="H8" s="9">
        <v>0.7979166666666667</v>
      </c>
      <c r="I8" s="6" t="s">
        <v>26</v>
      </c>
      <c r="J8" s="6" t="s">
        <v>27</v>
      </c>
      <c r="K8" s="6">
        <v>1.04</v>
      </c>
      <c r="L8" s="6" t="s">
        <v>39</v>
      </c>
      <c r="M8" s="6" t="s">
        <v>29</v>
      </c>
      <c r="N8" s="10">
        <v>0.7983217592592593</v>
      </c>
      <c r="O8" s="11" t="s">
        <v>64</v>
      </c>
      <c r="P8" s="20"/>
      <c r="Q8" s="21" t="s">
        <v>65</v>
      </c>
      <c r="R8" s="21" t="s">
        <v>65</v>
      </c>
      <c r="S8" s="6" t="s">
        <v>33</v>
      </c>
      <c r="T8" s="8" t="s">
        <v>65</v>
      </c>
      <c r="U8" s="22"/>
      <c r="V8" s="11" t="str">
        <f t="shared" si="1"/>
        <v>link</v>
      </c>
    </row>
    <row r="9">
      <c r="A9" s="13">
        <v>8.0</v>
      </c>
      <c r="B9" s="14">
        <v>0.7969254629642819</v>
      </c>
      <c r="C9" s="14">
        <v>0.7965782407420596</v>
      </c>
      <c r="D9" s="13" t="s">
        <v>37</v>
      </c>
      <c r="E9" s="13" t="s">
        <v>24</v>
      </c>
      <c r="F9" s="15" t="s">
        <v>66</v>
      </c>
      <c r="G9" s="13">
        <v>2.0</v>
      </c>
      <c r="H9" s="16">
        <v>0.7979166666666667</v>
      </c>
      <c r="I9" s="13" t="s">
        <v>26</v>
      </c>
      <c r="J9" s="13" t="s">
        <v>27</v>
      </c>
      <c r="K9" s="13">
        <v>19.7</v>
      </c>
      <c r="L9" s="13" t="s">
        <v>67</v>
      </c>
      <c r="M9" s="13" t="s">
        <v>29</v>
      </c>
      <c r="N9" s="17">
        <v>0.8001851851851852</v>
      </c>
      <c r="O9" s="18" t="s">
        <v>68</v>
      </c>
      <c r="P9" s="13" t="s">
        <v>31</v>
      </c>
      <c r="Q9" s="13">
        <v>0.0</v>
      </c>
      <c r="R9" s="13" t="s">
        <v>32</v>
      </c>
      <c r="S9" s="13" t="s">
        <v>33</v>
      </c>
      <c r="T9" s="15" t="s">
        <v>69</v>
      </c>
      <c r="U9" s="15" t="s">
        <v>69</v>
      </c>
      <c r="V9" s="18" t="str">
        <f t="shared" si="1"/>
        <v>link</v>
      </c>
    </row>
    <row r="10">
      <c r="A10" s="6">
        <v>9.0</v>
      </c>
      <c r="B10" s="7">
        <v>0.7984357523164363</v>
      </c>
      <c r="C10" s="7">
        <v>0.798088530094214</v>
      </c>
      <c r="D10" s="6" t="s">
        <v>23</v>
      </c>
      <c r="E10" s="6" t="s">
        <v>24</v>
      </c>
      <c r="F10" s="8" t="s">
        <v>70</v>
      </c>
      <c r="G10" s="6">
        <v>3.0</v>
      </c>
      <c r="H10" s="9">
        <v>0.7993055555555556</v>
      </c>
      <c r="I10" s="6" t="s">
        <v>26</v>
      </c>
      <c r="J10" s="6" t="s">
        <v>27</v>
      </c>
      <c r="K10" s="6">
        <v>3.11</v>
      </c>
      <c r="L10" s="6" t="s">
        <v>28</v>
      </c>
      <c r="M10" s="6" t="s">
        <v>29</v>
      </c>
      <c r="N10" s="10">
        <v>0.7999884259259259</v>
      </c>
      <c r="O10" s="11" t="s">
        <v>71</v>
      </c>
      <c r="P10" s="6" t="s">
        <v>31</v>
      </c>
      <c r="Q10" s="6">
        <v>9.0</v>
      </c>
      <c r="R10" s="6" t="s">
        <v>41</v>
      </c>
      <c r="S10" s="6" t="s">
        <v>33</v>
      </c>
      <c r="T10" s="8" t="s">
        <v>72</v>
      </c>
      <c r="U10" s="8" t="s">
        <v>73</v>
      </c>
      <c r="V10" s="11" t="str">
        <f t="shared" si="1"/>
        <v>link</v>
      </c>
    </row>
    <row r="11">
      <c r="A11" s="23">
        <v>10.0</v>
      </c>
      <c r="B11" s="14">
        <v>0.7986674768471858</v>
      </c>
      <c r="C11" s="14">
        <v>0.7983202546249635</v>
      </c>
      <c r="D11" s="23" t="s">
        <v>44</v>
      </c>
      <c r="E11" s="23" t="s">
        <v>24</v>
      </c>
      <c r="F11" s="24" t="s">
        <v>74</v>
      </c>
      <c r="G11" s="23">
        <v>2.0</v>
      </c>
      <c r="H11" s="25">
        <v>0.7993055555555556</v>
      </c>
      <c r="I11" s="23" t="s">
        <v>26</v>
      </c>
      <c r="J11" s="23" t="s">
        <v>27</v>
      </c>
      <c r="K11" s="23">
        <v>2.07</v>
      </c>
      <c r="L11" s="23" t="s">
        <v>28</v>
      </c>
      <c r="M11" s="23" t="s">
        <v>29</v>
      </c>
      <c r="N11" s="26">
        <v>0.8006365740740741</v>
      </c>
      <c r="O11" s="27" t="s">
        <v>75</v>
      </c>
      <c r="P11" s="23" t="s">
        <v>31</v>
      </c>
      <c r="Q11" s="23" t="s">
        <v>65</v>
      </c>
      <c r="R11" s="23" t="s">
        <v>65</v>
      </c>
      <c r="S11" s="23" t="s">
        <v>57</v>
      </c>
      <c r="T11" s="24" t="s">
        <v>65</v>
      </c>
      <c r="U11" s="28"/>
      <c r="V11" s="27" t="str">
        <f t="shared" si="1"/>
        <v>link</v>
      </c>
    </row>
    <row r="12">
      <c r="A12" s="6">
        <v>11.0</v>
      </c>
      <c r="B12" s="7">
        <v>0.7994153703693883</v>
      </c>
      <c r="C12" s="7">
        <v>0.799068148147166</v>
      </c>
      <c r="D12" s="6" t="s">
        <v>23</v>
      </c>
      <c r="E12" s="6" t="s">
        <v>24</v>
      </c>
      <c r="F12" s="8" t="s">
        <v>76</v>
      </c>
      <c r="G12" s="6">
        <v>3.0</v>
      </c>
      <c r="H12" s="9">
        <v>0.7993055555555556</v>
      </c>
      <c r="I12" s="6" t="s">
        <v>26</v>
      </c>
      <c r="J12" s="6" t="s">
        <v>27</v>
      </c>
      <c r="K12" s="6">
        <v>1.04</v>
      </c>
      <c r="L12" s="6" t="s">
        <v>28</v>
      </c>
      <c r="M12" s="6" t="s">
        <v>29</v>
      </c>
      <c r="N12" s="10">
        <v>0.8009143518518519</v>
      </c>
      <c r="O12" s="11" t="s">
        <v>77</v>
      </c>
      <c r="P12" s="6" t="s">
        <v>31</v>
      </c>
      <c r="Q12" s="6">
        <v>0.0</v>
      </c>
      <c r="R12" s="6" t="s">
        <v>41</v>
      </c>
      <c r="S12" s="6" t="s">
        <v>57</v>
      </c>
      <c r="T12" s="8" t="s">
        <v>78</v>
      </c>
      <c r="U12" s="8" t="s">
        <v>79</v>
      </c>
      <c r="V12" s="11" t="str">
        <f t="shared" si="1"/>
        <v>link</v>
      </c>
    </row>
    <row r="13">
      <c r="A13" s="13">
        <v>12.0</v>
      </c>
      <c r="B13" s="14">
        <v>0.8030125000004773</v>
      </c>
      <c r="C13" s="14">
        <v>0.802665277778255</v>
      </c>
      <c r="D13" s="13" t="s">
        <v>37</v>
      </c>
      <c r="E13" s="13" t="s">
        <v>24</v>
      </c>
      <c r="F13" s="15" t="s">
        <v>80</v>
      </c>
      <c r="G13" s="13">
        <v>2.0</v>
      </c>
      <c r="H13" s="16">
        <v>0.8027777777777778</v>
      </c>
      <c r="I13" s="13" t="s">
        <v>26</v>
      </c>
      <c r="J13" s="13" t="s">
        <v>27</v>
      </c>
      <c r="K13" s="13">
        <v>5.18</v>
      </c>
      <c r="L13" s="13" t="s">
        <v>28</v>
      </c>
      <c r="M13" s="13" t="s">
        <v>29</v>
      </c>
      <c r="N13" s="17">
        <v>0.8039467592592593</v>
      </c>
      <c r="O13" s="18" t="s">
        <v>81</v>
      </c>
      <c r="P13" s="13" t="s">
        <v>31</v>
      </c>
      <c r="Q13" s="13">
        <v>0.0</v>
      </c>
      <c r="R13" s="13" t="s">
        <v>32</v>
      </c>
      <c r="S13" s="13" t="s">
        <v>33</v>
      </c>
      <c r="T13" s="15" t="s">
        <v>42</v>
      </c>
      <c r="U13" s="15" t="s">
        <v>82</v>
      </c>
      <c r="V13" s="18" t="str">
        <f t="shared" si="1"/>
        <v>link</v>
      </c>
    </row>
    <row r="14">
      <c r="A14" s="6">
        <v>13.0</v>
      </c>
      <c r="B14" s="7">
        <v>0.803265821756213</v>
      </c>
      <c r="C14" s="7">
        <v>0.8029185995339907</v>
      </c>
      <c r="D14" s="6" t="s">
        <v>23</v>
      </c>
      <c r="E14" s="6" t="s">
        <v>24</v>
      </c>
      <c r="F14" s="8" t="s">
        <v>83</v>
      </c>
      <c r="G14" s="6">
        <v>3.0</v>
      </c>
      <c r="H14" s="9">
        <v>0.8055555555555556</v>
      </c>
      <c r="I14" s="6" t="s">
        <v>26</v>
      </c>
      <c r="J14" s="6" t="s">
        <v>27</v>
      </c>
      <c r="K14" s="6">
        <v>1.04</v>
      </c>
      <c r="L14" s="6" t="s">
        <v>28</v>
      </c>
      <c r="M14" s="6" t="s">
        <v>29</v>
      </c>
      <c r="N14" s="10">
        <v>0.8067013888888889</v>
      </c>
      <c r="O14" s="11" t="s">
        <v>84</v>
      </c>
      <c r="P14" s="6" t="s">
        <v>31</v>
      </c>
      <c r="Q14" s="6">
        <v>0.0</v>
      </c>
      <c r="R14" s="6" t="s">
        <v>41</v>
      </c>
      <c r="S14" s="6" t="s">
        <v>33</v>
      </c>
      <c r="T14" s="8" t="s">
        <v>34</v>
      </c>
      <c r="U14" s="8" t="s">
        <v>85</v>
      </c>
      <c r="V14" s="11" t="str">
        <f t="shared" si="1"/>
        <v>link</v>
      </c>
    </row>
    <row r="15">
      <c r="A15" s="13">
        <v>14.0</v>
      </c>
      <c r="B15" s="14">
        <v>0.806839629629394</v>
      </c>
      <c r="C15" s="14">
        <v>0.8064924074071718</v>
      </c>
      <c r="D15" s="13" t="s">
        <v>37</v>
      </c>
      <c r="E15" s="13" t="s">
        <v>24</v>
      </c>
      <c r="F15" s="15" t="s">
        <v>86</v>
      </c>
      <c r="G15" s="13">
        <v>3.0</v>
      </c>
      <c r="H15" s="16">
        <v>0.8069444444444445</v>
      </c>
      <c r="I15" s="13" t="s">
        <v>26</v>
      </c>
      <c r="J15" s="13" t="s">
        <v>27</v>
      </c>
      <c r="K15" s="13">
        <v>5.18</v>
      </c>
      <c r="L15" s="13" t="s">
        <v>28</v>
      </c>
      <c r="M15" s="13" t="s">
        <v>29</v>
      </c>
      <c r="N15" s="17">
        <v>0.8078587962962963</v>
      </c>
      <c r="O15" s="18" t="s">
        <v>87</v>
      </c>
      <c r="P15" s="13" t="s">
        <v>31</v>
      </c>
      <c r="Q15" s="13">
        <v>0.0</v>
      </c>
      <c r="R15" s="13" t="s">
        <v>41</v>
      </c>
      <c r="S15" s="13" t="s">
        <v>33</v>
      </c>
      <c r="T15" s="15" t="s">
        <v>42</v>
      </c>
      <c r="U15" s="15" t="s">
        <v>88</v>
      </c>
      <c r="V15" s="18" t="str">
        <f t="shared" si="1"/>
        <v>link</v>
      </c>
    </row>
    <row r="16">
      <c r="A16" s="6">
        <v>15.0</v>
      </c>
      <c r="B16" s="7">
        <v>0.8071062731469283</v>
      </c>
      <c r="C16" s="7">
        <v>0.806759050924706</v>
      </c>
      <c r="D16" s="6" t="s">
        <v>89</v>
      </c>
      <c r="E16" s="6" t="s">
        <v>24</v>
      </c>
      <c r="F16" s="8" t="s">
        <v>90</v>
      </c>
      <c r="G16" s="6">
        <v>1.0</v>
      </c>
      <c r="H16" s="9">
        <v>0.8076388888888889</v>
      </c>
      <c r="I16" s="6" t="s">
        <v>36</v>
      </c>
      <c r="J16" s="6" t="s">
        <v>27</v>
      </c>
      <c r="K16" s="6">
        <v>9.38</v>
      </c>
      <c r="L16" s="6" t="s">
        <v>28</v>
      </c>
      <c r="M16" s="6" t="s">
        <v>29</v>
      </c>
      <c r="N16" s="10">
        <v>0.809537037037037</v>
      </c>
      <c r="O16" s="11" t="s">
        <v>91</v>
      </c>
      <c r="P16" s="6" t="s">
        <v>31</v>
      </c>
      <c r="Q16" s="6">
        <v>0.0</v>
      </c>
      <c r="R16" s="6" t="s">
        <v>32</v>
      </c>
      <c r="S16" s="6" t="s">
        <v>33</v>
      </c>
      <c r="T16" s="8" t="s">
        <v>92</v>
      </c>
      <c r="U16" s="8" t="s">
        <v>93</v>
      </c>
      <c r="V16" s="11" t="str">
        <f t="shared" si="1"/>
        <v>link</v>
      </c>
    </row>
    <row r="17">
      <c r="A17" s="13">
        <v>16.0</v>
      </c>
      <c r="B17" s="14">
        <v>0.8075462962962963</v>
      </c>
      <c r="C17" s="14">
        <v>0.807199074074074</v>
      </c>
      <c r="D17" s="13" t="s">
        <v>94</v>
      </c>
      <c r="E17" s="13" t="s">
        <v>24</v>
      </c>
      <c r="F17" s="15" t="s">
        <v>95</v>
      </c>
      <c r="G17" s="13">
        <v>2.0</v>
      </c>
      <c r="H17" s="16">
        <v>0.8076388888888889</v>
      </c>
      <c r="I17" s="13" t="s">
        <v>26</v>
      </c>
      <c r="J17" s="13" t="s">
        <v>27</v>
      </c>
      <c r="K17" s="13">
        <v>1.04</v>
      </c>
      <c r="L17" s="13" t="s">
        <v>28</v>
      </c>
      <c r="M17" s="13" t="s">
        <v>29</v>
      </c>
      <c r="N17" s="17">
        <v>0.8083912037037037</v>
      </c>
      <c r="O17" s="18" t="s">
        <v>96</v>
      </c>
      <c r="P17" s="13" t="s">
        <v>31</v>
      </c>
      <c r="Q17" s="13">
        <v>0.0</v>
      </c>
      <c r="R17" s="13" t="s">
        <v>41</v>
      </c>
      <c r="S17" s="13" t="s">
        <v>33</v>
      </c>
      <c r="T17" s="15" t="s">
        <v>97</v>
      </c>
      <c r="U17" s="15" t="s">
        <v>98</v>
      </c>
      <c r="V17" s="18" t="str">
        <f t="shared" si="1"/>
        <v>link</v>
      </c>
    </row>
    <row r="18">
      <c r="A18" s="6">
        <v>17.0</v>
      </c>
      <c r="B18" s="7">
        <v>0.8086172453695326</v>
      </c>
      <c r="C18" s="7">
        <v>0.8082700231473103</v>
      </c>
      <c r="D18" s="6" t="s">
        <v>23</v>
      </c>
      <c r="E18" s="6" t="s">
        <v>24</v>
      </c>
      <c r="F18" s="8" t="s">
        <v>99</v>
      </c>
      <c r="G18" s="6">
        <v>2.0</v>
      </c>
      <c r="H18" s="9">
        <v>0.8083333333333333</v>
      </c>
      <c r="I18" s="6" t="s">
        <v>26</v>
      </c>
      <c r="J18" s="6" t="s">
        <v>27</v>
      </c>
      <c r="K18" s="6">
        <v>6.22</v>
      </c>
      <c r="L18" s="6" t="s">
        <v>28</v>
      </c>
      <c r="M18" s="6" t="s">
        <v>29</v>
      </c>
      <c r="N18" s="10">
        <v>0.81</v>
      </c>
      <c r="O18" s="11" t="s">
        <v>100</v>
      </c>
      <c r="P18" s="6" t="s">
        <v>31</v>
      </c>
      <c r="Q18" s="6">
        <v>0.0</v>
      </c>
      <c r="R18" s="6" t="s">
        <v>41</v>
      </c>
      <c r="S18" s="6" t="s">
        <v>101</v>
      </c>
      <c r="T18" s="8" t="s">
        <v>42</v>
      </c>
      <c r="U18" s="8" t="s">
        <v>102</v>
      </c>
      <c r="V18" s="11" t="str">
        <f t="shared" si="1"/>
        <v>link</v>
      </c>
    </row>
    <row r="19">
      <c r="A19" s="13">
        <v>18.0</v>
      </c>
      <c r="B19" s="14">
        <v>0.809931145835435</v>
      </c>
      <c r="C19" s="14">
        <v>0.8095839236132127</v>
      </c>
      <c r="D19" s="13" t="s">
        <v>23</v>
      </c>
      <c r="E19" s="13" t="s">
        <v>24</v>
      </c>
      <c r="F19" s="15" t="s">
        <v>103</v>
      </c>
      <c r="G19" s="13">
        <v>2.0</v>
      </c>
      <c r="H19" s="16">
        <v>0.8090277777777778</v>
      </c>
      <c r="I19" s="13" t="s">
        <v>26</v>
      </c>
      <c r="J19" s="13" t="s">
        <v>27</v>
      </c>
      <c r="K19" s="13">
        <v>1.97</v>
      </c>
      <c r="L19" s="13" t="s">
        <v>28</v>
      </c>
      <c r="M19" s="13" t="s">
        <v>29</v>
      </c>
      <c r="N19" s="17">
        <v>0.81</v>
      </c>
      <c r="O19" s="18" t="s">
        <v>104</v>
      </c>
      <c r="P19" s="13" t="s">
        <v>31</v>
      </c>
      <c r="Q19" s="13">
        <v>0.0</v>
      </c>
      <c r="R19" s="13" t="s">
        <v>41</v>
      </c>
      <c r="S19" s="13" t="s">
        <v>33</v>
      </c>
      <c r="T19" s="15" t="s">
        <v>105</v>
      </c>
      <c r="U19" s="15" t="s">
        <v>106</v>
      </c>
      <c r="V19" s="18" t="str">
        <f t="shared" si="1"/>
        <v>link</v>
      </c>
    </row>
    <row r="20">
      <c r="A20" s="6">
        <v>19.0</v>
      </c>
      <c r="B20" s="7">
        <v>0.8099543402786367</v>
      </c>
      <c r="C20" s="7">
        <v>0.8096071180564144</v>
      </c>
      <c r="D20" s="6" t="s">
        <v>37</v>
      </c>
      <c r="E20" s="6" t="s">
        <v>24</v>
      </c>
      <c r="F20" s="8" t="s">
        <v>107</v>
      </c>
      <c r="G20" s="6">
        <v>2.0</v>
      </c>
      <c r="H20" s="9">
        <v>0.8097222222222222</v>
      </c>
      <c r="I20" s="6" t="s">
        <v>26</v>
      </c>
      <c r="J20" s="6" t="s">
        <v>27</v>
      </c>
      <c r="K20" s="6">
        <v>5.18</v>
      </c>
      <c r="L20" s="6" t="s">
        <v>28</v>
      </c>
      <c r="M20" s="6" t="s">
        <v>29</v>
      </c>
      <c r="N20" s="10">
        <v>0.8109375</v>
      </c>
      <c r="O20" s="11" t="s">
        <v>108</v>
      </c>
      <c r="P20" s="6" t="s">
        <v>31</v>
      </c>
      <c r="Q20" s="6">
        <v>0.0</v>
      </c>
      <c r="R20" s="6" t="s">
        <v>41</v>
      </c>
      <c r="S20" s="6" t="s">
        <v>33</v>
      </c>
      <c r="T20" s="8" t="s">
        <v>42</v>
      </c>
      <c r="U20" s="8" t="s">
        <v>109</v>
      </c>
      <c r="V20" s="11" t="str">
        <f t="shared" si="1"/>
        <v>link</v>
      </c>
    </row>
    <row r="21">
      <c r="A21" s="13">
        <v>20.0</v>
      </c>
      <c r="B21" s="14">
        <v>0.8106060300924582</v>
      </c>
      <c r="C21" s="14">
        <v>0.810258807870236</v>
      </c>
      <c r="D21" s="13" t="s">
        <v>23</v>
      </c>
      <c r="E21" s="13" t="s">
        <v>24</v>
      </c>
      <c r="F21" s="15" t="s">
        <v>110</v>
      </c>
      <c r="G21" s="13">
        <v>2.0</v>
      </c>
      <c r="H21" s="16">
        <v>0.8104166666666667</v>
      </c>
      <c r="I21" s="13" t="s">
        <v>26</v>
      </c>
      <c r="J21" s="13" t="s">
        <v>27</v>
      </c>
      <c r="K21" s="13">
        <v>2.07</v>
      </c>
      <c r="L21" s="13" t="s">
        <v>39</v>
      </c>
      <c r="M21" s="13" t="s">
        <v>29</v>
      </c>
      <c r="N21" s="17">
        <v>0.8120717592592592</v>
      </c>
      <c r="O21" s="18" t="s">
        <v>111</v>
      </c>
      <c r="P21" s="13" t="s">
        <v>31</v>
      </c>
      <c r="Q21" s="13">
        <v>0.0</v>
      </c>
      <c r="R21" s="13" t="s">
        <v>41</v>
      </c>
      <c r="S21" s="13" t="s">
        <v>33</v>
      </c>
      <c r="T21" s="15" t="s">
        <v>112</v>
      </c>
      <c r="U21" s="15" t="s">
        <v>113</v>
      </c>
      <c r="V21" s="18" t="str">
        <f t="shared" si="1"/>
        <v>link</v>
      </c>
    </row>
    <row r="22">
      <c r="A22" s="6">
        <v>21.0</v>
      </c>
      <c r="B22" s="7">
        <v>0.8108603935179417</v>
      </c>
      <c r="C22" s="7">
        <v>0.8105131712957194</v>
      </c>
      <c r="D22" s="6" t="s">
        <v>37</v>
      </c>
      <c r="E22" s="6" t="s">
        <v>24</v>
      </c>
      <c r="F22" s="8" t="s">
        <v>114</v>
      </c>
      <c r="G22" s="6">
        <v>2.0</v>
      </c>
      <c r="H22" s="9">
        <v>0.8111111111111111</v>
      </c>
      <c r="I22" s="6" t="s">
        <v>26</v>
      </c>
      <c r="J22" s="6" t="s">
        <v>27</v>
      </c>
      <c r="K22" s="6">
        <v>5.18</v>
      </c>
      <c r="L22" s="6" t="s">
        <v>28</v>
      </c>
      <c r="M22" s="6" t="s">
        <v>29</v>
      </c>
      <c r="N22" s="10">
        <v>0.8121759259259259</v>
      </c>
      <c r="O22" s="11" t="s">
        <v>115</v>
      </c>
      <c r="P22" s="6" t="s">
        <v>31</v>
      </c>
      <c r="Q22" s="6">
        <v>1.0</v>
      </c>
      <c r="R22" s="6" t="s">
        <v>32</v>
      </c>
      <c r="S22" s="6" t="s">
        <v>33</v>
      </c>
      <c r="T22" s="8" t="s">
        <v>116</v>
      </c>
      <c r="U22" s="8" t="s">
        <v>117</v>
      </c>
      <c r="V22" s="11" t="str">
        <f t="shared" si="1"/>
        <v>link</v>
      </c>
    </row>
    <row r="23">
      <c r="A23" s="29">
        <v>22.0</v>
      </c>
      <c r="B23" s="14">
        <v>0.8115298842603806</v>
      </c>
      <c r="C23" s="14">
        <v>0.8111826620381584</v>
      </c>
      <c r="D23" s="29" t="s">
        <v>37</v>
      </c>
      <c r="E23" s="29" t="s">
        <v>24</v>
      </c>
      <c r="F23" s="30" t="s">
        <v>118</v>
      </c>
      <c r="G23" s="29">
        <v>2.0</v>
      </c>
      <c r="H23" s="31">
        <v>0.8118055555555556</v>
      </c>
      <c r="I23" s="29" t="s">
        <v>26</v>
      </c>
      <c r="J23" s="29" t="s">
        <v>27</v>
      </c>
      <c r="K23" s="29">
        <v>20.73</v>
      </c>
      <c r="L23" s="29" t="s">
        <v>28</v>
      </c>
      <c r="M23" s="29" t="s">
        <v>29</v>
      </c>
      <c r="N23" s="32"/>
      <c r="O23" s="33" t="s">
        <v>119</v>
      </c>
      <c r="P23" s="29" t="s">
        <v>31</v>
      </c>
      <c r="Q23" s="34">
        <v>0.0</v>
      </c>
      <c r="R23" s="34" t="s">
        <v>41</v>
      </c>
      <c r="S23" s="29" t="s">
        <v>33</v>
      </c>
      <c r="T23" s="30" t="s">
        <v>42</v>
      </c>
      <c r="U23" s="30" t="s">
        <v>120</v>
      </c>
      <c r="V23" s="33" t="str">
        <f t="shared" si="1"/>
        <v>link</v>
      </c>
    </row>
    <row r="24">
      <c r="A24" s="6">
        <v>23.0</v>
      </c>
      <c r="B24" s="7">
        <v>0.8116459490702255</v>
      </c>
      <c r="C24" s="7">
        <v>0.8112987268480032</v>
      </c>
      <c r="D24" s="6" t="s">
        <v>37</v>
      </c>
      <c r="E24" s="6" t="s">
        <v>24</v>
      </c>
      <c r="F24" s="8" t="s">
        <v>121</v>
      </c>
      <c r="G24" s="6">
        <v>2.0</v>
      </c>
      <c r="H24" s="9">
        <v>0.8125</v>
      </c>
      <c r="I24" s="6" t="s">
        <v>26</v>
      </c>
      <c r="J24" s="6" t="s">
        <v>27</v>
      </c>
      <c r="K24" s="6">
        <v>32.14</v>
      </c>
      <c r="L24" s="6" t="s">
        <v>67</v>
      </c>
      <c r="M24" s="6" t="s">
        <v>29</v>
      </c>
      <c r="N24" s="10">
        <v>0.815150462962963</v>
      </c>
      <c r="O24" s="11" t="s">
        <v>122</v>
      </c>
      <c r="P24" s="6" t="s">
        <v>31</v>
      </c>
      <c r="Q24" s="6">
        <v>0.0</v>
      </c>
      <c r="R24" s="6" t="s">
        <v>32</v>
      </c>
      <c r="S24" s="6" t="s">
        <v>33</v>
      </c>
      <c r="T24" s="8" t="s">
        <v>42</v>
      </c>
      <c r="U24" s="8" t="s">
        <v>123</v>
      </c>
      <c r="V24" s="11" t="str">
        <f t="shared" si="1"/>
        <v>link</v>
      </c>
    </row>
    <row r="25">
      <c r="A25" s="13">
        <v>24.0</v>
      </c>
      <c r="B25" s="14">
        <v>0.8123576388898073</v>
      </c>
      <c r="C25" s="14">
        <v>0.812010416667585</v>
      </c>
      <c r="D25" s="13" t="s">
        <v>23</v>
      </c>
      <c r="E25" s="13" t="s">
        <v>24</v>
      </c>
      <c r="F25" s="15" t="s">
        <v>124</v>
      </c>
      <c r="G25" s="13">
        <v>3.0</v>
      </c>
      <c r="H25" s="16">
        <v>0.8138888888888889</v>
      </c>
      <c r="I25" s="13" t="s">
        <v>26</v>
      </c>
      <c r="J25" s="13" t="s">
        <v>27</v>
      </c>
      <c r="K25" s="13">
        <v>5.18</v>
      </c>
      <c r="L25" s="13" t="s">
        <v>28</v>
      </c>
      <c r="M25" s="13" t="s">
        <v>29</v>
      </c>
      <c r="N25" s="17">
        <v>0.8149421296296296</v>
      </c>
      <c r="O25" s="18" t="s">
        <v>125</v>
      </c>
      <c r="P25" s="13" t="s">
        <v>31</v>
      </c>
      <c r="Q25" s="13">
        <v>13.0</v>
      </c>
      <c r="R25" s="13" t="s">
        <v>32</v>
      </c>
      <c r="S25" s="13" t="s">
        <v>33</v>
      </c>
      <c r="T25" s="15" t="s">
        <v>78</v>
      </c>
      <c r="U25" s="15" t="s">
        <v>126</v>
      </c>
      <c r="V25" s="35" t="s">
        <v>127</v>
      </c>
    </row>
    <row r="26">
      <c r="A26" s="29">
        <v>25.0</v>
      </c>
      <c r="B26" s="7">
        <v>0.8123811342593399</v>
      </c>
      <c r="C26" s="7">
        <v>0.8120339120371176</v>
      </c>
      <c r="D26" s="29" t="s">
        <v>44</v>
      </c>
      <c r="E26" s="29" t="s">
        <v>24</v>
      </c>
      <c r="F26" s="30" t="s">
        <v>128</v>
      </c>
      <c r="G26" s="29">
        <v>4.0</v>
      </c>
      <c r="H26" s="31">
        <v>0.8138888888888889</v>
      </c>
      <c r="I26" s="29" t="s">
        <v>26</v>
      </c>
      <c r="J26" s="29" t="s">
        <v>27</v>
      </c>
      <c r="K26" s="29">
        <v>0.8</v>
      </c>
      <c r="L26" s="29" t="s">
        <v>39</v>
      </c>
      <c r="M26" s="29" t="s">
        <v>29</v>
      </c>
      <c r="N26" s="36"/>
      <c r="O26" s="33" t="s">
        <v>129</v>
      </c>
      <c r="P26" s="29" t="s">
        <v>31</v>
      </c>
      <c r="Q26" s="34">
        <v>0.0</v>
      </c>
      <c r="R26" s="34" t="s">
        <v>32</v>
      </c>
      <c r="S26" s="29" t="s">
        <v>33</v>
      </c>
      <c r="T26" s="30" t="s">
        <v>42</v>
      </c>
      <c r="U26" s="30" t="s">
        <v>88</v>
      </c>
      <c r="V26" s="33" t="str">
        <f t="shared" ref="V26:V107" si="2">HYPERLINK(O26,"link")</f>
        <v>link</v>
      </c>
    </row>
    <row r="27">
      <c r="A27" s="13">
        <v>26.0</v>
      </c>
      <c r="B27" s="14">
        <v>0.8126109722215915</v>
      </c>
      <c r="C27" s="14">
        <v>0.8122637499993692</v>
      </c>
      <c r="D27" s="13" t="s">
        <v>37</v>
      </c>
      <c r="E27" s="13" t="s">
        <v>24</v>
      </c>
      <c r="F27" s="15" t="s">
        <v>130</v>
      </c>
      <c r="G27" s="13">
        <v>3.0</v>
      </c>
      <c r="H27" s="16">
        <v>0.8125</v>
      </c>
      <c r="I27" s="13" t="s">
        <v>26</v>
      </c>
      <c r="J27" s="13" t="s">
        <v>27</v>
      </c>
      <c r="K27" s="13">
        <v>2.07</v>
      </c>
      <c r="L27" s="13" t="s">
        <v>39</v>
      </c>
      <c r="M27" s="13" t="s">
        <v>29</v>
      </c>
      <c r="N27" s="17">
        <v>0.8139467592592593</v>
      </c>
      <c r="O27" s="18" t="s">
        <v>131</v>
      </c>
      <c r="P27" s="13" t="s">
        <v>31</v>
      </c>
      <c r="Q27" s="13">
        <v>0.0</v>
      </c>
      <c r="R27" s="13" t="s">
        <v>32</v>
      </c>
      <c r="S27" s="13" t="s">
        <v>33</v>
      </c>
      <c r="T27" s="15" t="s">
        <v>132</v>
      </c>
      <c r="U27" s="15" t="s">
        <v>133</v>
      </c>
      <c r="V27" s="18" t="str">
        <f t="shared" si="2"/>
        <v>link</v>
      </c>
    </row>
    <row r="28">
      <c r="A28" s="6">
        <v>27.0</v>
      </c>
      <c r="B28" s="7">
        <v>0.8131697453718516</v>
      </c>
      <c r="C28" s="7">
        <v>0.8128225231496293</v>
      </c>
      <c r="D28" s="6" t="s">
        <v>37</v>
      </c>
      <c r="E28" s="6" t="s">
        <v>24</v>
      </c>
      <c r="F28" s="8" t="s">
        <v>134</v>
      </c>
      <c r="G28" s="6">
        <v>4.0</v>
      </c>
      <c r="H28" s="9">
        <v>0.8159722222222222</v>
      </c>
      <c r="I28" s="6" t="s">
        <v>26</v>
      </c>
      <c r="J28" s="6" t="s">
        <v>27</v>
      </c>
      <c r="K28" s="6">
        <v>5.18</v>
      </c>
      <c r="L28" s="6" t="s">
        <v>39</v>
      </c>
      <c r="M28" s="6" t="s">
        <v>29</v>
      </c>
      <c r="N28" s="10">
        <v>0.8169675925925926</v>
      </c>
      <c r="O28" s="11" t="s">
        <v>135</v>
      </c>
      <c r="P28" s="6" t="s">
        <v>31</v>
      </c>
      <c r="Q28" s="6">
        <v>0.0</v>
      </c>
      <c r="R28" s="6" t="s">
        <v>41</v>
      </c>
      <c r="S28" s="6" t="s">
        <v>33</v>
      </c>
      <c r="T28" s="8" t="s">
        <v>42</v>
      </c>
      <c r="U28" s="8" t="s">
        <v>136</v>
      </c>
      <c r="V28" s="11" t="str">
        <f t="shared" si="2"/>
        <v>link</v>
      </c>
    </row>
    <row r="29">
      <c r="A29" s="13">
        <v>28.0</v>
      </c>
      <c r="B29" s="14">
        <v>0.8132588888838654</v>
      </c>
      <c r="C29" s="14">
        <v>0.8129116666616432</v>
      </c>
      <c r="D29" s="13" t="s">
        <v>37</v>
      </c>
      <c r="E29" s="13" t="s">
        <v>24</v>
      </c>
      <c r="F29" s="15" t="s">
        <v>137</v>
      </c>
      <c r="G29" s="13">
        <v>2.0</v>
      </c>
      <c r="H29" s="16">
        <v>0.8145833333333333</v>
      </c>
      <c r="I29" s="13" t="s">
        <v>26</v>
      </c>
      <c r="J29" s="13" t="s">
        <v>27</v>
      </c>
      <c r="K29" s="13">
        <v>10.38</v>
      </c>
      <c r="L29" s="13" t="s">
        <v>28</v>
      </c>
      <c r="M29" s="13" t="s">
        <v>29</v>
      </c>
      <c r="N29" s="17">
        <v>0.8159259259259259</v>
      </c>
      <c r="O29" s="18" t="s">
        <v>138</v>
      </c>
      <c r="P29" s="13" t="s">
        <v>31</v>
      </c>
      <c r="Q29" s="13">
        <v>0.0</v>
      </c>
      <c r="R29" s="13" t="s">
        <v>41</v>
      </c>
      <c r="S29" s="13" t="s">
        <v>33</v>
      </c>
      <c r="T29" s="15" t="s">
        <v>42</v>
      </c>
      <c r="U29" s="15" t="s">
        <v>139</v>
      </c>
      <c r="V29" s="18" t="str">
        <f t="shared" si="2"/>
        <v>link</v>
      </c>
    </row>
    <row r="30">
      <c r="A30" s="6">
        <v>29.0</v>
      </c>
      <c r="B30" s="7">
        <v>0.8138606597203761</v>
      </c>
      <c r="C30" s="7">
        <v>0.8135134374981539</v>
      </c>
      <c r="D30" s="6" t="s">
        <v>37</v>
      </c>
      <c r="E30" s="6" t="s">
        <v>24</v>
      </c>
      <c r="F30" s="8" t="s">
        <v>140</v>
      </c>
      <c r="G30" s="6">
        <v>1.0</v>
      </c>
      <c r="H30" s="9">
        <v>0.8159722222222222</v>
      </c>
      <c r="I30" s="6" t="s">
        <v>36</v>
      </c>
      <c r="J30" s="6" t="s">
        <v>27</v>
      </c>
      <c r="K30" s="6">
        <v>11.72</v>
      </c>
      <c r="L30" s="6" t="s">
        <v>39</v>
      </c>
      <c r="M30" s="6" t="s">
        <v>29</v>
      </c>
      <c r="N30" s="10">
        <v>0.8172453703703704</v>
      </c>
      <c r="O30" s="11" t="s">
        <v>141</v>
      </c>
      <c r="P30" s="6" t="s">
        <v>31</v>
      </c>
      <c r="Q30" s="6">
        <v>0.0</v>
      </c>
      <c r="R30" s="6" t="s">
        <v>41</v>
      </c>
      <c r="S30" s="6" t="s">
        <v>142</v>
      </c>
      <c r="T30" s="8" t="s">
        <v>97</v>
      </c>
      <c r="U30" s="8" t="s">
        <v>143</v>
      </c>
      <c r="V30" s="11" t="str">
        <f t="shared" si="2"/>
        <v>link</v>
      </c>
    </row>
    <row r="31">
      <c r="A31" s="13">
        <v>30.0</v>
      </c>
      <c r="B31" s="14">
        <v>0.8138781134257442</v>
      </c>
      <c r="C31" s="14">
        <v>0.813530891203522</v>
      </c>
      <c r="D31" s="13" t="s">
        <v>23</v>
      </c>
      <c r="E31" s="13" t="s">
        <v>144</v>
      </c>
      <c r="F31" s="15" t="s">
        <v>145</v>
      </c>
      <c r="G31" s="13">
        <v>2.0</v>
      </c>
      <c r="H31" s="16">
        <v>0.8145833333333333</v>
      </c>
      <c r="I31" s="13" t="s">
        <v>26</v>
      </c>
      <c r="J31" s="13" t="s">
        <v>27</v>
      </c>
      <c r="K31" s="13">
        <v>1.49</v>
      </c>
      <c r="L31" s="13" t="s">
        <v>28</v>
      </c>
      <c r="M31" s="13" t="s">
        <v>29</v>
      </c>
      <c r="N31" s="17">
        <v>0.8156134259259259</v>
      </c>
      <c r="O31" s="18" t="s">
        <v>146</v>
      </c>
      <c r="P31" s="13" t="s">
        <v>31</v>
      </c>
      <c r="Q31" s="13">
        <v>1.0</v>
      </c>
      <c r="R31" s="13" t="s">
        <v>32</v>
      </c>
      <c r="S31" s="13" t="s">
        <v>147</v>
      </c>
      <c r="T31" s="15" t="s">
        <v>148</v>
      </c>
      <c r="U31" s="15" t="s">
        <v>149</v>
      </c>
      <c r="V31" s="18" t="str">
        <f t="shared" si="2"/>
        <v>link</v>
      </c>
    </row>
    <row r="32">
      <c r="A32" s="6">
        <v>31.0</v>
      </c>
      <c r="B32" s="7">
        <v>0.814295960648451</v>
      </c>
      <c r="C32" s="7">
        <v>0.8139487384262287</v>
      </c>
      <c r="D32" s="6" t="s">
        <v>23</v>
      </c>
      <c r="E32" s="6" t="s">
        <v>24</v>
      </c>
      <c r="F32" s="8" t="s">
        <v>150</v>
      </c>
      <c r="G32" s="6">
        <v>3.0</v>
      </c>
      <c r="H32" s="9">
        <v>0.8145833333333333</v>
      </c>
      <c r="I32" s="6" t="s">
        <v>26</v>
      </c>
      <c r="J32" s="6" t="s">
        <v>27</v>
      </c>
      <c r="K32" s="6">
        <v>1.76</v>
      </c>
      <c r="L32" s="6" t="s">
        <v>28</v>
      </c>
      <c r="M32" s="6" t="s">
        <v>29</v>
      </c>
      <c r="N32" s="10">
        <v>0.8157638888888888</v>
      </c>
      <c r="O32" s="11" t="s">
        <v>151</v>
      </c>
      <c r="P32" s="6" t="s">
        <v>31</v>
      </c>
      <c r="Q32" s="6">
        <v>0.0</v>
      </c>
      <c r="R32" s="6" t="s">
        <v>32</v>
      </c>
      <c r="S32" s="6" t="s">
        <v>33</v>
      </c>
      <c r="T32" s="8" t="s">
        <v>152</v>
      </c>
      <c r="U32" s="8" t="s">
        <v>153</v>
      </c>
      <c r="V32" s="11" t="str">
        <f t="shared" si="2"/>
        <v>link</v>
      </c>
    </row>
    <row r="33">
      <c r="A33" s="13">
        <v>32.0</v>
      </c>
      <c r="B33" s="14">
        <v>0.8150960879647755</v>
      </c>
      <c r="C33" s="14">
        <v>0.8147488657425532</v>
      </c>
      <c r="D33" s="13" t="s">
        <v>37</v>
      </c>
      <c r="E33" s="13" t="s">
        <v>24</v>
      </c>
      <c r="F33" s="15" t="s">
        <v>154</v>
      </c>
      <c r="G33" s="13">
        <v>2.0</v>
      </c>
      <c r="H33" s="16">
        <v>0.8159722222222222</v>
      </c>
      <c r="I33" s="13" t="s">
        <v>26</v>
      </c>
      <c r="J33" s="13" t="s">
        <v>27</v>
      </c>
      <c r="K33" s="13">
        <v>7.28</v>
      </c>
      <c r="L33" s="13" t="s">
        <v>39</v>
      </c>
      <c r="M33" s="13" t="s">
        <v>29</v>
      </c>
      <c r="N33" s="17">
        <v>0.8171064814814815</v>
      </c>
      <c r="O33" s="18" t="s">
        <v>155</v>
      </c>
      <c r="P33" s="13" t="s">
        <v>31</v>
      </c>
      <c r="Q33" s="13">
        <v>0.0</v>
      </c>
      <c r="R33" s="13" t="s">
        <v>41</v>
      </c>
      <c r="S33" s="13" t="s">
        <v>33</v>
      </c>
      <c r="T33" s="15" t="s">
        <v>156</v>
      </c>
      <c r="U33" s="15" t="s">
        <v>157</v>
      </c>
      <c r="V33" s="18" t="str">
        <f t="shared" si="2"/>
        <v>link</v>
      </c>
    </row>
    <row r="34">
      <c r="A34" s="6">
        <v>33.0</v>
      </c>
      <c r="B34" s="7">
        <v>0.8158919791676453</v>
      </c>
      <c r="C34" s="7">
        <v>0.815544756945423</v>
      </c>
      <c r="D34" s="6" t="s">
        <v>37</v>
      </c>
      <c r="E34" s="6" t="s">
        <v>24</v>
      </c>
      <c r="F34" s="8" t="s">
        <v>158</v>
      </c>
      <c r="G34" s="6">
        <v>3.0</v>
      </c>
      <c r="H34" s="9">
        <v>0.8152777777777778</v>
      </c>
      <c r="I34" s="6" t="s">
        <v>26</v>
      </c>
      <c r="J34" s="6" t="s">
        <v>27</v>
      </c>
      <c r="K34" s="6">
        <v>18.8</v>
      </c>
      <c r="L34" s="6" t="s">
        <v>39</v>
      </c>
      <c r="M34" s="6" t="s">
        <v>29</v>
      </c>
      <c r="N34" s="10">
        <v>0.8171643518518519</v>
      </c>
      <c r="O34" s="11" t="s">
        <v>159</v>
      </c>
      <c r="P34" s="6" t="s">
        <v>31</v>
      </c>
      <c r="Q34" s="6">
        <v>0.0</v>
      </c>
      <c r="R34" s="6" t="s">
        <v>41</v>
      </c>
      <c r="S34" s="6" t="s">
        <v>33</v>
      </c>
      <c r="T34" s="8" t="s">
        <v>160</v>
      </c>
      <c r="U34" s="8" t="s">
        <v>161</v>
      </c>
      <c r="V34" s="11" t="str">
        <f t="shared" si="2"/>
        <v>link</v>
      </c>
    </row>
    <row r="35">
      <c r="A35" s="13">
        <v>34.0</v>
      </c>
      <c r="B35" s="14">
        <v>0.8160628240730148</v>
      </c>
      <c r="C35" s="14">
        <v>0.8157156018507925</v>
      </c>
      <c r="D35" s="13" t="s">
        <v>37</v>
      </c>
      <c r="E35" s="13" t="s">
        <v>24</v>
      </c>
      <c r="F35" s="15" t="s">
        <v>162</v>
      </c>
      <c r="G35" s="13">
        <v>2.0</v>
      </c>
      <c r="H35" s="16">
        <v>0.8173611111111111</v>
      </c>
      <c r="I35" s="13" t="s">
        <v>26</v>
      </c>
      <c r="J35" s="13" t="s">
        <v>27</v>
      </c>
      <c r="K35" s="13">
        <v>5.18</v>
      </c>
      <c r="L35" s="13" t="s">
        <v>28</v>
      </c>
      <c r="M35" s="13" t="s">
        <v>29</v>
      </c>
      <c r="N35" s="17">
        <v>0.8181828703703704</v>
      </c>
      <c r="O35" s="18" t="s">
        <v>163</v>
      </c>
      <c r="P35" s="13" t="s">
        <v>31</v>
      </c>
      <c r="Q35" s="13">
        <v>0.0</v>
      </c>
      <c r="R35" s="13" t="s">
        <v>41</v>
      </c>
      <c r="S35" s="13" t="s">
        <v>33</v>
      </c>
      <c r="T35" s="15" t="s">
        <v>164</v>
      </c>
      <c r="U35" s="15" t="s">
        <v>165</v>
      </c>
      <c r="V35" s="18" t="str">
        <f t="shared" si="2"/>
        <v>link</v>
      </c>
    </row>
    <row r="36">
      <c r="A36" s="6">
        <v>35.0</v>
      </c>
      <c r="B36" s="7">
        <v>0.8174090277752839</v>
      </c>
      <c r="C36" s="7">
        <v>0.8170618055530616</v>
      </c>
      <c r="D36" s="6" t="s">
        <v>37</v>
      </c>
      <c r="E36" s="6" t="s">
        <v>24</v>
      </c>
      <c r="F36" s="8" t="s">
        <v>166</v>
      </c>
      <c r="G36" s="6">
        <v>3.0</v>
      </c>
      <c r="H36" s="9">
        <v>0.8173611111111111</v>
      </c>
      <c r="I36" s="6" t="s">
        <v>26</v>
      </c>
      <c r="J36" s="6" t="s">
        <v>27</v>
      </c>
      <c r="K36" s="6">
        <v>20.73</v>
      </c>
      <c r="L36" s="6" t="s">
        <v>28</v>
      </c>
      <c r="M36" s="6" t="s">
        <v>29</v>
      </c>
      <c r="N36" s="10">
        <v>0.8190393518518518</v>
      </c>
      <c r="O36" s="11" t="s">
        <v>167</v>
      </c>
      <c r="P36" s="6" t="s">
        <v>31</v>
      </c>
      <c r="Q36" s="6">
        <v>0.0</v>
      </c>
      <c r="R36" s="6" t="s">
        <v>41</v>
      </c>
      <c r="S36" s="6" t="s">
        <v>33</v>
      </c>
      <c r="T36" s="8" t="s">
        <v>42</v>
      </c>
      <c r="U36" s="8" t="s">
        <v>168</v>
      </c>
      <c r="V36" s="11" t="str">
        <f t="shared" si="2"/>
        <v>link</v>
      </c>
    </row>
    <row r="37">
      <c r="A37" s="13">
        <v>36.0</v>
      </c>
      <c r="B37" s="14">
        <v>0.8184304976894055</v>
      </c>
      <c r="C37" s="14">
        <v>0.8180832754671832</v>
      </c>
      <c r="D37" s="13" t="s">
        <v>169</v>
      </c>
      <c r="E37" s="13" t="s">
        <v>24</v>
      </c>
      <c r="F37" s="15" t="s">
        <v>170</v>
      </c>
      <c r="G37" s="13">
        <v>1.0</v>
      </c>
      <c r="H37" s="16">
        <v>0.81875</v>
      </c>
      <c r="I37" s="13" t="s">
        <v>36</v>
      </c>
      <c r="J37" s="13" t="s">
        <v>27</v>
      </c>
      <c r="K37" s="13">
        <v>21.09</v>
      </c>
      <c r="L37" s="13" t="s">
        <v>28</v>
      </c>
      <c r="M37" s="13" t="s">
        <v>29</v>
      </c>
      <c r="N37" s="17">
        <v>0.8208912037037037</v>
      </c>
      <c r="O37" s="18" t="s">
        <v>171</v>
      </c>
      <c r="P37" s="13" t="s">
        <v>31</v>
      </c>
      <c r="Q37" s="13">
        <v>0.0</v>
      </c>
      <c r="R37" s="13" t="s">
        <v>41</v>
      </c>
      <c r="S37" s="13" t="s">
        <v>33</v>
      </c>
      <c r="T37" s="15" t="s">
        <v>53</v>
      </c>
      <c r="U37" s="15" t="s">
        <v>172</v>
      </c>
      <c r="V37" s="18" t="str">
        <f t="shared" si="2"/>
        <v>link</v>
      </c>
    </row>
    <row r="38">
      <c r="A38" s="6">
        <v>37.0</v>
      </c>
      <c r="B38" s="7">
        <v>0.8186518171278294</v>
      </c>
      <c r="C38" s="7">
        <v>0.8183045949056071</v>
      </c>
      <c r="D38" s="6" t="s">
        <v>44</v>
      </c>
      <c r="E38" s="6" t="s">
        <v>24</v>
      </c>
      <c r="F38" s="8" t="s">
        <v>173</v>
      </c>
      <c r="G38" s="6">
        <v>2.0</v>
      </c>
      <c r="H38" s="9">
        <v>0.8180555555555555</v>
      </c>
      <c r="I38" s="6" t="s">
        <v>26</v>
      </c>
      <c r="J38" s="6" t="s">
        <v>27</v>
      </c>
      <c r="K38" s="6">
        <v>3.11</v>
      </c>
      <c r="L38" s="6" t="s">
        <v>28</v>
      </c>
      <c r="M38" s="6" t="s">
        <v>29</v>
      </c>
      <c r="N38" s="10">
        <v>0.8194560185185186</v>
      </c>
      <c r="O38" s="11" t="s">
        <v>174</v>
      </c>
      <c r="P38" s="6" t="s">
        <v>31</v>
      </c>
      <c r="Q38" s="6">
        <v>0.0</v>
      </c>
      <c r="R38" s="6" t="s">
        <v>32</v>
      </c>
      <c r="S38" s="6" t="s">
        <v>33</v>
      </c>
      <c r="T38" s="8" t="s">
        <v>175</v>
      </c>
      <c r="U38" s="8" t="s">
        <v>176</v>
      </c>
      <c r="V38" s="11" t="str">
        <f t="shared" si="2"/>
        <v>link</v>
      </c>
    </row>
    <row r="39">
      <c r="A39" s="13">
        <v>38.0</v>
      </c>
      <c r="B39" s="14">
        <v>0.8191818055565818</v>
      </c>
      <c r="C39" s="14">
        <v>0.8188345833343595</v>
      </c>
      <c r="D39" s="13" t="s">
        <v>37</v>
      </c>
      <c r="E39" s="13" t="s">
        <v>24</v>
      </c>
      <c r="F39" s="15" t="s">
        <v>177</v>
      </c>
      <c r="G39" s="13">
        <v>3.0</v>
      </c>
      <c r="H39" s="16">
        <v>0.81875</v>
      </c>
      <c r="I39" s="13" t="s">
        <v>26</v>
      </c>
      <c r="J39" s="13" t="s">
        <v>27</v>
      </c>
      <c r="K39" s="13">
        <v>20.73</v>
      </c>
      <c r="L39" s="13" t="s">
        <v>67</v>
      </c>
      <c r="M39" s="13" t="s">
        <v>29</v>
      </c>
      <c r="N39" s="17">
        <v>0.8206365740740741</v>
      </c>
      <c r="O39" s="18" t="s">
        <v>178</v>
      </c>
      <c r="P39" s="13" t="s">
        <v>31</v>
      </c>
      <c r="Q39" s="13">
        <v>0.0</v>
      </c>
      <c r="R39" s="13" t="s">
        <v>32</v>
      </c>
      <c r="S39" s="13" t="s">
        <v>33</v>
      </c>
      <c r="T39" s="15" t="s">
        <v>156</v>
      </c>
      <c r="U39" s="15" t="s">
        <v>179</v>
      </c>
      <c r="V39" s="18" t="str">
        <f t="shared" si="2"/>
        <v>link</v>
      </c>
    </row>
    <row r="40">
      <c r="A40" s="6">
        <v>39.0</v>
      </c>
      <c r="B40" s="7">
        <v>0.820259803236695</v>
      </c>
      <c r="C40" s="7">
        <v>0.8199125810144727</v>
      </c>
      <c r="D40" s="6" t="s">
        <v>37</v>
      </c>
      <c r="E40" s="6" t="s">
        <v>24</v>
      </c>
      <c r="F40" s="8" t="s">
        <v>180</v>
      </c>
      <c r="G40" s="6">
        <v>3.0</v>
      </c>
      <c r="H40" s="9">
        <v>0.8208333333333333</v>
      </c>
      <c r="I40" s="6" t="s">
        <v>26</v>
      </c>
      <c r="J40" s="6" t="s">
        <v>27</v>
      </c>
      <c r="K40" s="6">
        <v>2.07</v>
      </c>
      <c r="L40" s="6" t="s">
        <v>181</v>
      </c>
      <c r="M40" s="6" t="s">
        <v>182</v>
      </c>
      <c r="N40" s="10">
        <v>0.8221527777777777</v>
      </c>
      <c r="O40" s="11" t="s">
        <v>183</v>
      </c>
      <c r="P40" s="6" t="s">
        <v>31</v>
      </c>
      <c r="Q40" s="34">
        <v>3.0</v>
      </c>
      <c r="R40" s="34" t="s">
        <v>41</v>
      </c>
      <c r="S40" s="6" t="s">
        <v>33</v>
      </c>
      <c r="T40" s="8" t="s">
        <v>42</v>
      </c>
      <c r="U40" s="8" t="s">
        <v>184</v>
      </c>
      <c r="V40" s="11" t="str">
        <f t="shared" si="2"/>
        <v>link</v>
      </c>
    </row>
    <row r="41">
      <c r="A41" s="13">
        <v>40.0</v>
      </c>
      <c r="B41" s="14">
        <v>0.8211136689787963</v>
      </c>
      <c r="C41" s="14">
        <v>0.8207664467565741</v>
      </c>
      <c r="D41" s="13" t="s">
        <v>23</v>
      </c>
      <c r="E41" s="13" t="s">
        <v>24</v>
      </c>
      <c r="F41" s="15" t="s">
        <v>185</v>
      </c>
      <c r="G41" s="13">
        <v>1.0</v>
      </c>
      <c r="H41" s="37">
        <v>0.8215277777777777</v>
      </c>
      <c r="I41" s="13" t="s">
        <v>36</v>
      </c>
      <c r="J41" s="13" t="s">
        <v>27</v>
      </c>
      <c r="K41" s="13">
        <v>1.49</v>
      </c>
      <c r="L41" s="13" t="s">
        <v>39</v>
      </c>
      <c r="M41" s="13" t="s">
        <v>29</v>
      </c>
      <c r="N41" s="17">
        <v>0.8228356481481481</v>
      </c>
      <c r="O41" s="18" t="s">
        <v>186</v>
      </c>
      <c r="P41" s="13" t="s">
        <v>31</v>
      </c>
      <c r="Q41" s="34">
        <v>0.0</v>
      </c>
      <c r="R41" s="34" t="s">
        <v>32</v>
      </c>
      <c r="S41" s="13" t="s">
        <v>33</v>
      </c>
      <c r="T41" s="15" t="s">
        <v>112</v>
      </c>
      <c r="U41" s="15" t="s">
        <v>187</v>
      </c>
      <c r="V41" s="18" t="str">
        <f t="shared" si="2"/>
        <v>link</v>
      </c>
    </row>
    <row r="42">
      <c r="A42" s="6">
        <v>41.0</v>
      </c>
      <c r="B42" s="7">
        <v>0.8238714351900853</v>
      </c>
      <c r="C42" s="7">
        <v>0.823524212967863</v>
      </c>
      <c r="D42" s="6" t="s">
        <v>37</v>
      </c>
      <c r="E42" s="6" t="s">
        <v>24</v>
      </c>
      <c r="F42" s="8" t="s">
        <v>188</v>
      </c>
      <c r="G42" s="6">
        <v>2.0</v>
      </c>
      <c r="H42" s="9">
        <v>0.8243055555555555</v>
      </c>
      <c r="I42" s="6" t="s">
        <v>26</v>
      </c>
      <c r="J42" s="6" t="s">
        <v>27</v>
      </c>
      <c r="K42" s="6">
        <v>4.15</v>
      </c>
      <c r="L42" s="6" t="s">
        <v>28</v>
      </c>
      <c r="M42" s="6" t="s">
        <v>29</v>
      </c>
      <c r="N42" s="10">
        <v>0.8252893518518518</v>
      </c>
      <c r="O42" s="11" t="s">
        <v>189</v>
      </c>
      <c r="P42" s="6" t="s">
        <v>31</v>
      </c>
      <c r="Q42" s="6">
        <v>0.0</v>
      </c>
      <c r="R42" s="6" t="s">
        <v>32</v>
      </c>
      <c r="S42" s="6" t="s">
        <v>33</v>
      </c>
      <c r="T42" s="8" t="s">
        <v>42</v>
      </c>
      <c r="U42" s="8" t="s">
        <v>190</v>
      </c>
      <c r="V42" s="11" t="str">
        <f t="shared" si="2"/>
        <v>link</v>
      </c>
    </row>
    <row r="43">
      <c r="A43" s="29">
        <v>42.0</v>
      </c>
      <c r="B43" s="14">
        <v>0.8241831365739927</v>
      </c>
      <c r="C43" s="14">
        <v>0.8238359143517704</v>
      </c>
      <c r="D43" s="29" t="s">
        <v>44</v>
      </c>
      <c r="E43" s="29" t="s">
        <v>24</v>
      </c>
      <c r="F43" s="30" t="s">
        <v>191</v>
      </c>
      <c r="G43" s="29">
        <v>4.0</v>
      </c>
      <c r="H43" s="31">
        <v>0.8270833333333333</v>
      </c>
      <c r="I43" s="29" t="s">
        <v>26</v>
      </c>
      <c r="J43" s="29" t="s">
        <v>27</v>
      </c>
      <c r="K43" s="29">
        <v>2.07</v>
      </c>
      <c r="L43" s="29" t="s">
        <v>28</v>
      </c>
      <c r="M43" s="29" t="s">
        <v>29</v>
      </c>
      <c r="N43" s="32">
        <v>0.8284490740740741</v>
      </c>
      <c r="O43" s="33" t="s">
        <v>192</v>
      </c>
      <c r="P43" s="38"/>
      <c r="Q43" s="21" t="s">
        <v>65</v>
      </c>
      <c r="R43" s="21" t="s">
        <v>65</v>
      </c>
      <c r="S43" s="29" t="s">
        <v>33</v>
      </c>
      <c r="T43" s="30" t="e">
        <v>#VALUE!</v>
      </c>
      <c r="U43" s="39"/>
      <c r="V43" s="33" t="str">
        <f t="shared" si="2"/>
        <v>link</v>
      </c>
    </row>
    <row r="44">
      <c r="A44" s="29">
        <v>43.0</v>
      </c>
      <c r="B44" s="7">
        <v>0.8242023379643797</v>
      </c>
      <c r="C44" s="7">
        <v>0.8238551157421574</v>
      </c>
      <c r="D44" s="29" t="s">
        <v>44</v>
      </c>
      <c r="E44" s="29" t="s">
        <v>24</v>
      </c>
      <c r="F44" s="30" t="s">
        <v>193</v>
      </c>
      <c r="G44" s="29">
        <v>4.0</v>
      </c>
      <c r="H44" s="31">
        <v>0.8256944444444444</v>
      </c>
      <c r="I44" s="29" t="s">
        <v>26</v>
      </c>
      <c r="J44" s="29" t="s">
        <v>27</v>
      </c>
      <c r="K44" s="29">
        <v>1.83</v>
      </c>
      <c r="L44" s="29" t="s">
        <v>28</v>
      </c>
      <c r="M44" s="29" t="s">
        <v>29</v>
      </c>
      <c r="N44" s="32">
        <v>0.8282986111111111</v>
      </c>
      <c r="O44" s="33" t="s">
        <v>194</v>
      </c>
      <c r="P44" s="38"/>
      <c r="Q44" s="21" t="s">
        <v>65</v>
      </c>
      <c r="R44" s="21" t="s">
        <v>65</v>
      </c>
      <c r="S44" s="29" t="s">
        <v>65</v>
      </c>
      <c r="T44" s="30" t="e">
        <v>#VALUE!</v>
      </c>
      <c r="U44" s="39"/>
      <c r="V44" s="33" t="str">
        <f t="shared" si="2"/>
        <v>link</v>
      </c>
    </row>
    <row r="45">
      <c r="A45" s="13">
        <v>44.0</v>
      </c>
      <c r="B45" s="14">
        <v>0.8242164236144163</v>
      </c>
      <c r="C45" s="14">
        <v>0.823869201392194</v>
      </c>
      <c r="D45" s="13" t="s">
        <v>37</v>
      </c>
      <c r="E45" s="13" t="s">
        <v>24</v>
      </c>
      <c r="F45" s="15" t="s">
        <v>195</v>
      </c>
      <c r="G45" s="13">
        <v>3.0</v>
      </c>
      <c r="H45" s="16">
        <v>0.8243055555555555</v>
      </c>
      <c r="I45" s="13" t="s">
        <v>26</v>
      </c>
      <c r="J45" s="13" t="s">
        <v>27</v>
      </c>
      <c r="K45" s="13">
        <v>5.18</v>
      </c>
      <c r="L45" s="13" t="s">
        <v>28</v>
      </c>
      <c r="M45" s="13" t="s">
        <v>29</v>
      </c>
      <c r="N45" s="17">
        <v>0.8254861111111111</v>
      </c>
      <c r="O45" s="18" t="s">
        <v>196</v>
      </c>
      <c r="P45" s="13" t="s">
        <v>31</v>
      </c>
      <c r="Q45" s="13">
        <v>2.0</v>
      </c>
      <c r="R45" s="13" t="s">
        <v>32</v>
      </c>
      <c r="S45" s="13" t="s">
        <v>33</v>
      </c>
      <c r="T45" s="15" t="s">
        <v>42</v>
      </c>
      <c r="U45" s="15" t="s">
        <v>197</v>
      </c>
      <c r="V45" s="18" t="str">
        <f t="shared" si="2"/>
        <v>link</v>
      </c>
    </row>
    <row r="46">
      <c r="A46" s="6">
        <v>45.0</v>
      </c>
      <c r="B46" s="7">
        <v>0.8247289236096549</v>
      </c>
      <c r="C46" s="7">
        <v>0.8243817013874326</v>
      </c>
      <c r="D46" s="6" t="s">
        <v>37</v>
      </c>
      <c r="E46" s="6" t="s">
        <v>24</v>
      </c>
      <c r="F46" s="8" t="s">
        <v>198</v>
      </c>
      <c r="G46" s="6">
        <v>2.0</v>
      </c>
      <c r="H46" s="9">
        <v>0.825</v>
      </c>
      <c r="I46" s="6" t="s">
        <v>26</v>
      </c>
      <c r="J46" s="6" t="s">
        <v>27</v>
      </c>
      <c r="K46" s="6">
        <v>5.18</v>
      </c>
      <c r="L46" s="6" t="s">
        <v>28</v>
      </c>
      <c r="M46" s="6" t="s">
        <v>29</v>
      </c>
      <c r="N46" s="10">
        <v>0.8261111111111111</v>
      </c>
      <c r="O46" s="11" t="s">
        <v>199</v>
      </c>
      <c r="P46" s="6" t="s">
        <v>31</v>
      </c>
      <c r="Q46" s="6">
        <v>0.0</v>
      </c>
      <c r="R46" s="6" t="s">
        <v>41</v>
      </c>
      <c r="S46" s="6" t="s">
        <v>33</v>
      </c>
      <c r="T46" s="8" t="s">
        <v>42</v>
      </c>
      <c r="U46" s="8" t="s">
        <v>200</v>
      </c>
      <c r="V46" s="11" t="str">
        <f t="shared" si="2"/>
        <v>link</v>
      </c>
    </row>
    <row r="47">
      <c r="A47" s="13">
        <v>46.0</v>
      </c>
      <c r="B47" s="14">
        <v>0.8253937384288292</v>
      </c>
      <c r="C47" s="14">
        <v>0.825046516206607</v>
      </c>
      <c r="D47" s="13" t="s">
        <v>37</v>
      </c>
      <c r="E47" s="13" t="s">
        <v>24</v>
      </c>
      <c r="F47" s="15" t="s">
        <v>201</v>
      </c>
      <c r="G47" s="13">
        <v>4.0</v>
      </c>
      <c r="H47" s="16">
        <v>0.8256944444444444</v>
      </c>
      <c r="I47" s="13" t="s">
        <v>26</v>
      </c>
      <c r="J47" s="13" t="s">
        <v>27</v>
      </c>
      <c r="K47" s="13">
        <v>18.8</v>
      </c>
      <c r="L47" s="13" t="s">
        <v>28</v>
      </c>
      <c r="M47" s="13" t="s">
        <v>29</v>
      </c>
      <c r="N47" s="17">
        <v>0.8274421296296296</v>
      </c>
      <c r="O47" s="18" t="s">
        <v>202</v>
      </c>
      <c r="P47" s="13" t="s">
        <v>31</v>
      </c>
      <c r="Q47" s="13">
        <v>0.0</v>
      </c>
      <c r="R47" s="13" t="s">
        <v>41</v>
      </c>
      <c r="S47" s="13" t="s">
        <v>33</v>
      </c>
      <c r="T47" s="15" t="s">
        <v>42</v>
      </c>
      <c r="U47" s="15" t="s">
        <v>203</v>
      </c>
      <c r="V47" s="18" t="str">
        <f t="shared" si="2"/>
        <v>link</v>
      </c>
    </row>
    <row r="48">
      <c r="A48" s="6">
        <v>47.0</v>
      </c>
      <c r="B48" s="7">
        <v>0.8254487500016694</v>
      </c>
      <c r="C48" s="7">
        <v>0.8251015277794471</v>
      </c>
      <c r="D48" s="6" t="s">
        <v>23</v>
      </c>
      <c r="E48" s="6" t="s">
        <v>24</v>
      </c>
      <c r="F48" s="8" t="s">
        <v>204</v>
      </c>
      <c r="G48" s="6">
        <v>2.0</v>
      </c>
      <c r="H48" s="9">
        <v>0.8263888888888888</v>
      </c>
      <c r="I48" s="6" t="s">
        <v>26</v>
      </c>
      <c r="J48" s="6" t="s">
        <v>27</v>
      </c>
      <c r="K48" s="6">
        <v>2.07</v>
      </c>
      <c r="L48" s="6" t="s">
        <v>39</v>
      </c>
      <c r="M48" s="6" t="s">
        <v>29</v>
      </c>
      <c r="N48" s="10">
        <v>0.8273148148148148</v>
      </c>
      <c r="O48" s="11" t="s">
        <v>205</v>
      </c>
      <c r="P48" s="6" t="s">
        <v>31</v>
      </c>
      <c r="Q48" s="6">
        <v>0.0</v>
      </c>
      <c r="R48" s="6" t="s">
        <v>41</v>
      </c>
      <c r="S48" s="6" t="s">
        <v>33</v>
      </c>
      <c r="T48" s="8" t="s">
        <v>206</v>
      </c>
      <c r="U48" s="8" t="s">
        <v>126</v>
      </c>
      <c r="V48" s="11" t="str">
        <f t="shared" si="2"/>
        <v>link</v>
      </c>
    </row>
    <row r="49">
      <c r="A49" s="13">
        <v>48.0</v>
      </c>
      <c r="B49" s="14">
        <v>0.8264596759254346</v>
      </c>
      <c r="C49" s="14">
        <v>0.8261124537032123</v>
      </c>
      <c r="D49" s="13" t="s">
        <v>207</v>
      </c>
      <c r="E49" s="13" t="s">
        <v>24</v>
      </c>
      <c r="F49" s="15" t="s">
        <v>208</v>
      </c>
      <c r="G49" s="13">
        <v>1.0</v>
      </c>
      <c r="H49" s="16">
        <v>0.8263888888888888</v>
      </c>
      <c r="I49" s="13" t="s">
        <v>36</v>
      </c>
      <c r="J49" s="13" t="s">
        <v>27</v>
      </c>
      <c r="K49" s="13">
        <v>15.23</v>
      </c>
      <c r="L49" s="13" t="s">
        <v>28</v>
      </c>
      <c r="M49" s="13" t="s">
        <v>29</v>
      </c>
      <c r="N49" s="17">
        <v>0.8280671296296296</v>
      </c>
      <c r="O49" s="18" t="s">
        <v>209</v>
      </c>
      <c r="P49" s="13" t="s">
        <v>52</v>
      </c>
      <c r="Q49" s="13">
        <v>3.0</v>
      </c>
      <c r="R49" s="13" t="s">
        <v>41</v>
      </c>
      <c r="S49" s="13" t="s">
        <v>33</v>
      </c>
      <c r="T49" s="15" t="s">
        <v>53</v>
      </c>
      <c r="U49" s="15" t="s">
        <v>210</v>
      </c>
      <c r="V49" s="18" t="str">
        <f t="shared" si="2"/>
        <v>link</v>
      </c>
    </row>
    <row r="50">
      <c r="A50" s="6">
        <v>49.0</v>
      </c>
      <c r="B50" s="7">
        <v>0.8268533564842073</v>
      </c>
      <c r="C50" s="7">
        <v>0.826506134261985</v>
      </c>
      <c r="D50" s="6" t="s">
        <v>37</v>
      </c>
      <c r="E50" s="6" t="s">
        <v>24</v>
      </c>
      <c r="F50" s="8" t="s">
        <v>211</v>
      </c>
      <c r="G50" s="6">
        <v>2.0</v>
      </c>
      <c r="H50" s="9">
        <v>0.8270833333333333</v>
      </c>
      <c r="I50" s="6" t="s">
        <v>26</v>
      </c>
      <c r="J50" s="6" t="s">
        <v>27</v>
      </c>
      <c r="K50" s="6">
        <v>25.9</v>
      </c>
      <c r="L50" s="6" t="s">
        <v>28</v>
      </c>
      <c r="M50" s="6" t="s">
        <v>29</v>
      </c>
      <c r="N50" s="10">
        <v>0.8285185185185185</v>
      </c>
      <c r="O50" s="11" t="s">
        <v>212</v>
      </c>
      <c r="P50" s="6" t="s">
        <v>31</v>
      </c>
      <c r="Q50" s="6">
        <v>0.0</v>
      </c>
      <c r="R50" s="6" t="s">
        <v>32</v>
      </c>
      <c r="S50" s="6" t="s">
        <v>33</v>
      </c>
      <c r="T50" s="8" t="s">
        <v>42</v>
      </c>
      <c r="U50" s="8" t="s">
        <v>213</v>
      </c>
      <c r="V50" s="11" t="str">
        <f t="shared" si="2"/>
        <v>link</v>
      </c>
    </row>
    <row r="51">
      <c r="A51" s="13">
        <v>50.0</v>
      </c>
      <c r="B51" s="14">
        <v>0.8283453587937402</v>
      </c>
      <c r="C51" s="14">
        <v>0.8279981365715179</v>
      </c>
      <c r="D51" s="13" t="s">
        <v>37</v>
      </c>
      <c r="E51" s="13" t="s">
        <v>24</v>
      </c>
      <c r="F51" s="15" t="s">
        <v>214</v>
      </c>
      <c r="G51" s="13">
        <v>3.0</v>
      </c>
      <c r="H51" s="16">
        <v>0.8284722222222223</v>
      </c>
      <c r="I51" s="13" t="s">
        <v>26</v>
      </c>
      <c r="J51" s="13" t="s">
        <v>27</v>
      </c>
      <c r="K51" s="13">
        <v>22.81</v>
      </c>
      <c r="L51" s="13" t="s">
        <v>28</v>
      </c>
      <c r="M51" s="13" t="s">
        <v>182</v>
      </c>
      <c r="N51" s="17">
        <v>0.8323495370370371</v>
      </c>
      <c r="O51" s="18" t="s">
        <v>215</v>
      </c>
      <c r="P51" s="13" t="s">
        <v>31</v>
      </c>
      <c r="Q51" s="13">
        <v>0.0</v>
      </c>
      <c r="R51" s="13" t="s">
        <v>41</v>
      </c>
      <c r="S51" s="13" t="s">
        <v>33</v>
      </c>
      <c r="T51" s="15" t="s">
        <v>216</v>
      </c>
      <c r="U51" s="15" t="s">
        <v>217</v>
      </c>
      <c r="V51" s="18" t="str">
        <f t="shared" si="2"/>
        <v>link</v>
      </c>
    </row>
    <row r="52">
      <c r="A52" s="6">
        <v>51.0</v>
      </c>
      <c r="B52" s="7">
        <v>0.8284683101810515</v>
      </c>
      <c r="C52" s="7">
        <v>0.8281210879588292</v>
      </c>
      <c r="D52" s="6" t="s">
        <v>37</v>
      </c>
      <c r="E52" s="6" t="s">
        <v>24</v>
      </c>
      <c r="F52" s="8" t="s">
        <v>218</v>
      </c>
      <c r="G52" s="6">
        <v>2.0</v>
      </c>
      <c r="H52" s="9">
        <v>0.8284722222222223</v>
      </c>
      <c r="I52" s="6" t="s">
        <v>26</v>
      </c>
      <c r="J52" s="6" t="s">
        <v>27</v>
      </c>
      <c r="K52" s="6">
        <v>4.68</v>
      </c>
      <c r="L52" s="6" t="s">
        <v>39</v>
      </c>
      <c r="M52" s="6" t="s">
        <v>29</v>
      </c>
      <c r="N52" s="10">
        <v>0.8302083333333333</v>
      </c>
      <c r="O52" s="11" t="s">
        <v>219</v>
      </c>
      <c r="P52" s="6" t="s">
        <v>31</v>
      </c>
      <c r="Q52" s="6">
        <v>4.0</v>
      </c>
      <c r="R52" s="6" t="s">
        <v>41</v>
      </c>
      <c r="S52" s="6" t="s">
        <v>220</v>
      </c>
      <c r="T52" s="8" t="s">
        <v>42</v>
      </c>
      <c r="U52" s="8" t="s">
        <v>221</v>
      </c>
      <c r="V52" s="11" t="str">
        <f t="shared" si="2"/>
        <v>link</v>
      </c>
    </row>
    <row r="53">
      <c r="A53" s="13">
        <v>52.0</v>
      </c>
      <c r="B53" s="14">
        <v>0.8302109143551206</v>
      </c>
      <c r="C53" s="14">
        <v>0.8298636921328983</v>
      </c>
      <c r="D53" s="13" t="s">
        <v>169</v>
      </c>
      <c r="E53" s="13" t="s">
        <v>24</v>
      </c>
      <c r="F53" s="15" t="s">
        <v>222</v>
      </c>
      <c r="G53" s="13">
        <v>5.0</v>
      </c>
      <c r="H53" s="16">
        <v>0.8305555555555556</v>
      </c>
      <c r="I53" s="13" t="s">
        <v>36</v>
      </c>
      <c r="J53" s="13" t="s">
        <v>27</v>
      </c>
      <c r="K53" s="13">
        <v>236.62</v>
      </c>
      <c r="L53" s="13" t="s">
        <v>223</v>
      </c>
      <c r="M53" s="13" t="s">
        <v>29</v>
      </c>
      <c r="N53" s="17">
        <v>0.8360763888888889</v>
      </c>
      <c r="O53" s="18" t="s">
        <v>224</v>
      </c>
      <c r="P53" s="13" t="s">
        <v>31</v>
      </c>
      <c r="Q53" s="13">
        <v>0.0</v>
      </c>
      <c r="R53" s="13" t="s">
        <v>41</v>
      </c>
      <c r="S53" s="13" t="s">
        <v>33</v>
      </c>
      <c r="T53" s="15" t="s">
        <v>53</v>
      </c>
      <c r="U53" s="15" t="s">
        <v>225</v>
      </c>
      <c r="V53" s="18" t="str">
        <f t="shared" si="2"/>
        <v>link</v>
      </c>
    </row>
    <row r="54">
      <c r="A54" s="6">
        <v>53.0</v>
      </c>
      <c r="B54" s="7">
        <v>0.8323754861121415</v>
      </c>
      <c r="C54" s="7">
        <v>0.8320282638899192</v>
      </c>
      <c r="D54" s="6" t="s">
        <v>23</v>
      </c>
      <c r="E54" s="6" t="s">
        <v>144</v>
      </c>
      <c r="F54" s="8" t="s">
        <v>226</v>
      </c>
      <c r="G54" s="6">
        <v>2.0</v>
      </c>
      <c r="H54" s="9">
        <v>0.8319444444444445</v>
      </c>
      <c r="I54" s="6" t="s">
        <v>26</v>
      </c>
      <c r="J54" s="6" t="s">
        <v>27</v>
      </c>
      <c r="K54" s="6">
        <v>1.04</v>
      </c>
      <c r="L54" s="6" t="s">
        <v>28</v>
      </c>
      <c r="M54" s="6" t="s">
        <v>29</v>
      </c>
      <c r="N54" s="10">
        <v>0.8335185185185185</v>
      </c>
      <c r="O54" s="11" t="s">
        <v>227</v>
      </c>
      <c r="P54" s="6" t="s">
        <v>31</v>
      </c>
      <c r="Q54" s="6">
        <v>0.0</v>
      </c>
      <c r="R54" s="6" t="s">
        <v>32</v>
      </c>
      <c r="S54" s="6" t="s">
        <v>228</v>
      </c>
      <c r="T54" s="8" t="s">
        <v>34</v>
      </c>
      <c r="U54" s="8" t="s">
        <v>229</v>
      </c>
      <c r="V54" s="11" t="str">
        <f t="shared" si="2"/>
        <v>link</v>
      </c>
    </row>
    <row r="55">
      <c r="A55" s="13">
        <v>54.0</v>
      </c>
      <c r="B55" s="14">
        <v>0.8330209837949951</v>
      </c>
      <c r="C55" s="14">
        <v>0.8326737615727728</v>
      </c>
      <c r="D55" s="13" t="s">
        <v>37</v>
      </c>
      <c r="E55" s="13" t="s">
        <v>24</v>
      </c>
      <c r="F55" s="15" t="s">
        <v>230</v>
      </c>
      <c r="G55" s="13">
        <v>3.0</v>
      </c>
      <c r="H55" s="16">
        <v>0.8333333333333334</v>
      </c>
      <c r="I55" s="13" t="s">
        <v>26</v>
      </c>
      <c r="J55" s="13" t="s">
        <v>27</v>
      </c>
      <c r="K55" s="13">
        <v>5.18</v>
      </c>
      <c r="L55" s="13" t="s">
        <v>28</v>
      </c>
      <c r="M55" s="13" t="s">
        <v>29</v>
      </c>
      <c r="N55" s="17">
        <v>0.8340856481481481</v>
      </c>
      <c r="O55" s="18" t="s">
        <v>231</v>
      </c>
      <c r="P55" s="13" t="s">
        <v>31</v>
      </c>
      <c r="Q55" s="13">
        <v>0.0</v>
      </c>
      <c r="R55" s="13" t="s">
        <v>41</v>
      </c>
      <c r="S55" s="13" t="s">
        <v>33</v>
      </c>
      <c r="T55" s="15" t="s">
        <v>97</v>
      </c>
      <c r="U55" s="15" t="s">
        <v>232</v>
      </c>
      <c r="V55" s="18" t="str">
        <f t="shared" si="2"/>
        <v>link</v>
      </c>
    </row>
    <row r="56">
      <c r="A56" s="6">
        <v>55.0</v>
      </c>
      <c r="B56" s="7">
        <v>0.834580682872911</v>
      </c>
      <c r="C56" s="7">
        <v>0.8342334606506887</v>
      </c>
      <c r="D56" s="6" t="s">
        <v>37</v>
      </c>
      <c r="E56" s="6" t="s">
        <v>24</v>
      </c>
      <c r="F56" s="8" t="s">
        <v>233</v>
      </c>
      <c r="G56" s="6">
        <v>2.0</v>
      </c>
      <c r="H56" s="9">
        <v>0.8347222222222223</v>
      </c>
      <c r="I56" s="6" t="s">
        <v>26</v>
      </c>
      <c r="J56" s="6" t="s">
        <v>27</v>
      </c>
      <c r="K56" s="6">
        <v>5.39</v>
      </c>
      <c r="L56" s="6" t="s">
        <v>28</v>
      </c>
      <c r="M56" s="6" t="s">
        <v>29</v>
      </c>
      <c r="N56" s="10">
        <v>0.8355787037037037</v>
      </c>
      <c r="O56" s="11" t="s">
        <v>234</v>
      </c>
      <c r="P56" s="6" t="s">
        <v>31</v>
      </c>
      <c r="Q56" s="6">
        <v>1.0</v>
      </c>
      <c r="R56" s="6" t="s">
        <v>41</v>
      </c>
      <c r="S56" s="6" t="s">
        <v>220</v>
      </c>
      <c r="T56" s="8" t="s">
        <v>42</v>
      </c>
      <c r="U56" s="8" t="s">
        <v>235</v>
      </c>
      <c r="V56" s="11" t="str">
        <f t="shared" si="2"/>
        <v>link</v>
      </c>
    </row>
    <row r="57">
      <c r="A57" s="13">
        <v>56.0</v>
      </c>
      <c r="B57" s="14">
        <v>0.8348031597270165</v>
      </c>
      <c r="C57" s="14">
        <v>0.8344559375047942</v>
      </c>
      <c r="D57" s="13" t="s">
        <v>37</v>
      </c>
      <c r="E57" s="13" t="s">
        <v>24</v>
      </c>
      <c r="F57" s="15" t="s">
        <v>236</v>
      </c>
      <c r="G57" s="13">
        <v>2.0</v>
      </c>
      <c r="H57" s="16">
        <v>0.8354166666666667</v>
      </c>
      <c r="I57" s="13" t="s">
        <v>26</v>
      </c>
      <c r="J57" s="13" t="s">
        <v>27</v>
      </c>
      <c r="K57" s="13">
        <v>5.18</v>
      </c>
      <c r="L57" s="13" t="s">
        <v>28</v>
      </c>
      <c r="M57" s="13" t="s">
        <v>29</v>
      </c>
      <c r="N57" s="17">
        <v>0.8370717592592593</v>
      </c>
      <c r="O57" s="18" t="s">
        <v>237</v>
      </c>
      <c r="P57" s="13" t="s">
        <v>31</v>
      </c>
      <c r="Q57" s="13">
        <v>0.0</v>
      </c>
      <c r="R57" s="13" t="s">
        <v>32</v>
      </c>
      <c r="S57" s="13" t="s">
        <v>33</v>
      </c>
      <c r="T57" s="15" t="s">
        <v>42</v>
      </c>
      <c r="U57" s="15" t="s">
        <v>109</v>
      </c>
      <c r="V57" s="18" t="str">
        <f t="shared" si="2"/>
        <v>link</v>
      </c>
    </row>
    <row r="58">
      <c r="A58" s="6">
        <v>57.0</v>
      </c>
      <c r="B58" s="7">
        <v>0.8354316087934421</v>
      </c>
      <c r="C58" s="7">
        <v>0.8350843865712199</v>
      </c>
      <c r="D58" s="6" t="s">
        <v>23</v>
      </c>
      <c r="E58" s="6" t="s">
        <v>24</v>
      </c>
      <c r="F58" s="8" t="s">
        <v>238</v>
      </c>
      <c r="G58" s="6">
        <v>4.0</v>
      </c>
      <c r="H58" s="9">
        <v>0.8361111111111111</v>
      </c>
      <c r="I58" s="6" t="s">
        <v>26</v>
      </c>
      <c r="J58" s="6" t="s">
        <v>27</v>
      </c>
      <c r="K58" s="6">
        <v>5.18</v>
      </c>
      <c r="L58" s="6" t="s">
        <v>39</v>
      </c>
      <c r="M58" s="6" t="s">
        <v>29</v>
      </c>
      <c r="N58" s="10">
        <v>0.8375810185185185</v>
      </c>
      <c r="O58" s="11" t="s">
        <v>239</v>
      </c>
      <c r="P58" s="6" t="s">
        <v>31</v>
      </c>
      <c r="Q58" s="6">
        <v>0.0</v>
      </c>
      <c r="R58" s="6" t="s">
        <v>41</v>
      </c>
      <c r="S58" s="6" t="s">
        <v>101</v>
      </c>
      <c r="T58" s="8" t="s">
        <v>240</v>
      </c>
      <c r="U58" s="8" t="s">
        <v>241</v>
      </c>
      <c r="V58" s="11" t="str">
        <f t="shared" si="2"/>
        <v>link</v>
      </c>
    </row>
    <row r="59">
      <c r="A59" s="13">
        <v>58.0</v>
      </c>
      <c r="B59" s="14">
        <v>0.8362281481531681</v>
      </c>
      <c r="C59" s="14">
        <v>0.8358809259309459</v>
      </c>
      <c r="D59" s="13" t="s">
        <v>37</v>
      </c>
      <c r="E59" s="13" t="s">
        <v>24</v>
      </c>
      <c r="F59" s="15" t="s">
        <v>242</v>
      </c>
      <c r="G59" s="13">
        <v>2.0</v>
      </c>
      <c r="H59" s="16">
        <v>0.8368055555555556</v>
      </c>
      <c r="I59" s="13" t="s">
        <v>26</v>
      </c>
      <c r="J59" s="13" t="s">
        <v>27</v>
      </c>
      <c r="K59" s="13">
        <v>5.18</v>
      </c>
      <c r="L59" s="13" t="s">
        <v>39</v>
      </c>
      <c r="M59" s="13" t="s">
        <v>29</v>
      </c>
      <c r="N59" s="17">
        <v>0.8381018518518518</v>
      </c>
      <c r="O59" s="18" t="s">
        <v>243</v>
      </c>
      <c r="P59" s="13" t="s">
        <v>31</v>
      </c>
      <c r="Q59" s="13">
        <v>0.0</v>
      </c>
      <c r="R59" s="13" t="s">
        <v>32</v>
      </c>
      <c r="S59" s="13" t="s">
        <v>33</v>
      </c>
      <c r="T59" s="15" t="s">
        <v>53</v>
      </c>
      <c r="U59" s="15" t="s">
        <v>244</v>
      </c>
      <c r="V59" s="18" t="str">
        <f t="shared" si="2"/>
        <v>link</v>
      </c>
    </row>
    <row r="60">
      <c r="A60" s="6">
        <v>59.0</v>
      </c>
      <c r="B60" s="7">
        <v>0.8368887963006273</v>
      </c>
      <c r="C60" s="7">
        <v>0.836541574078405</v>
      </c>
      <c r="D60" s="6" t="s">
        <v>37</v>
      </c>
      <c r="E60" s="6" t="s">
        <v>24</v>
      </c>
      <c r="F60" s="8" t="s">
        <v>245</v>
      </c>
      <c r="G60" s="6">
        <v>3.0</v>
      </c>
      <c r="H60" s="9">
        <v>0.8368055555555556</v>
      </c>
      <c r="I60" s="6" t="s">
        <v>26</v>
      </c>
      <c r="J60" s="6" t="s">
        <v>27</v>
      </c>
      <c r="K60" s="6">
        <v>3.11</v>
      </c>
      <c r="L60" s="6" t="s">
        <v>67</v>
      </c>
      <c r="M60" s="6" t="s">
        <v>29</v>
      </c>
      <c r="N60" s="10">
        <v>0.8385532407407408</v>
      </c>
      <c r="O60" s="11" t="s">
        <v>246</v>
      </c>
      <c r="P60" s="6" t="s">
        <v>31</v>
      </c>
      <c r="Q60" s="6">
        <v>0.0</v>
      </c>
      <c r="R60" s="6" t="s">
        <v>41</v>
      </c>
      <c r="S60" s="6" t="s">
        <v>247</v>
      </c>
      <c r="T60" s="8" t="s">
        <v>160</v>
      </c>
      <c r="U60" s="8" t="s">
        <v>248</v>
      </c>
      <c r="V60" s="11" t="str">
        <f t="shared" si="2"/>
        <v>link</v>
      </c>
    </row>
    <row r="61">
      <c r="A61" s="13">
        <v>60.0</v>
      </c>
      <c r="B61" s="14">
        <v>0.8374202314807917</v>
      </c>
      <c r="C61" s="14">
        <v>0.8370730092585694</v>
      </c>
      <c r="D61" s="13" t="s">
        <v>23</v>
      </c>
      <c r="E61" s="13" t="s">
        <v>24</v>
      </c>
      <c r="F61" s="15" t="s">
        <v>249</v>
      </c>
      <c r="G61" s="13">
        <v>2.0</v>
      </c>
      <c r="H61" s="16">
        <v>0.8375</v>
      </c>
      <c r="I61" s="13" t="s">
        <v>26</v>
      </c>
      <c r="J61" s="13" t="s">
        <v>27</v>
      </c>
      <c r="K61" s="13">
        <v>3.11</v>
      </c>
      <c r="L61" s="13" t="s">
        <v>39</v>
      </c>
      <c r="M61" s="13" t="s">
        <v>29</v>
      </c>
      <c r="N61" s="17">
        <v>0.8386111111111111</v>
      </c>
      <c r="O61" s="18" t="s">
        <v>250</v>
      </c>
      <c r="P61" s="13" t="s">
        <v>31</v>
      </c>
      <c r="Q61" s="13">
        <v>3.0</v>
      </c>
      <c r="R61" s="13" t="s">
        <v>41</v>
      </c>
      <c r="S61" s="13" t="s">
        <v>251</v>
      </c>
      <c r="T61" s="15" t="s">
        <v>252</v>
      </c>
      <c r="U61" s="15" t="s">
        <v>253</v>
      </c>
      <c r="V61" s="18" t="str">
        <f t="shared" si="2"/>
        <v>link</v>
      </c>
    </row>
    <row r="62">
      <c r="A62" s="6">
        <v>61.0</v>
      </c>
      <c r="B62" s="7">
        <v>0.8376490625014412</v>
      </c>
      <c r="C62" s="7">
        <v>0.837301840279219</v>
      </c>
      <c r="D62" s="6" t="s">
        <v>37</v>
      </c>
      <c r="E62" s="6" t="s">
        <v>24</v>
      </c>
      <c r="F62" s="8" t="s">
        <v>254</v>
      </c>
      <c r="G62" s="6">
        <v>3.0</v>
      </c>
      <c r="H62" s="9">
        <v>0.8381944444444445</v>
      </c>
      <c r="I62" s="6" t="s">
        <v>26</v>
      </c>
      <c r="J62" s="6" t="s">
        <v>27</v>
      </c>
      <c r="K62" s="6">
        <v>1.86</v>
      </c>
      <c r="L62" s="6" t="s">
        <v>28</v>
      </c>
      <c r="M62" s="6" t="s">
        <v>29</v>
      </c>
      <c r="N62" s="10">
        <v>0.8392361111111111</v>
      </c>
      <c r="O62" s="11" t="s">
        <v>255</v>
      </c>
      <c r="P62" s="6" t="s">
        <v>31</v>
      </c>
      <c r="Q62" s="6">
        <v>1.0</v>
      </c>
      <c r="R62" s="6" t="s">
        <v>32</v>
      </c>
      <c r="S62" s="6" t="s">
        <v>33</v>
      </c>
      <c r="T62" s="8" t="s">
        <v>42</v>
      </c>
      <c r="U62" s="8" t="s">
        <v>256</v>
      </c>
      <c r="V62" s="11" t="str">
        <f t="shared" si="2"/>
        <v>link</v>
      </c>
    </row>
    <row r="63">
      <c r="A63" s="13">
        <v>62.0</v>
      </c>
      <c r="B63" s="14">
        <v>0.8400349305593409</v>
      </c>
      <c r="C63" s="14">
        <v>0.8396877083371186</v>
      </c>
      <c r="D63" s="13" t="s">
        <v>23</v>
      </c>
      <c r="E63" s="13" t="s">
        <v>24</v>
      </c>
      <c r="F63" s="15" t="s">
        <v>257</v>
      </c>
      <c r="G63" s="13">
        <v>3.0</v>
      </c>
      <c r="H63" s="16">
        <v>0.8402777777777778</v>
      </c>
      <c r="I63" s="13" t="s">
        <v>26</v>
      </c>
      <c r="J63" s="13" t="s">
        <v>27</v>
      </c>
      <c r="K63" s="13">
        <v>2.07</v>
      </c>
      <c r="L63" s="13" t="s">
        <v>28</v>
      </c>
      <c r="M63" s="13" t="s">
        <v>29</v>
      </c>
      <c r="N63" s="17">
        <v>0.8417592592592592</v>
      </c>
      <c r="O63" s="18" t="s">
        <v>258</v>
      </c>
      <c r="P63" s="13" t="s">
        <v>31</v>
      </c>
      <c r="Q63" s="13">
        <v>0.0</v>
      </c>
      <c r="R63" s="13" t="s">
        <v>41</v>
      </c>
      <c r="S63" s="13" t="s">
        <v>33</v>
      </c>
      <c r="T63" s="15" t="s">
        <v>47</v>
      </c>
      <c r="U63" s="15" t="s">
        <v>259</v>
      </c>
      <c r="V63" s="18" t="str">
        <f t="shared" si="2"/>
        <v>link</v>
      </c>
    </row>
    <row r="64">
      <c r="A64" s="6">
        <v>63.0</v>
      </c>
      <c r="B64" s="7">
        <v>0.8404239004594274</v>
      </c>
      <c r="C64" s="7">
        <v>0.8400766782372051</v>
      </c>
      <c r="D64" s="6" t="s">
        <v>49</v>
      </c>
      <c r="E64" s="6" t="s">
        <v>24</v>
      </c>
      <c r="F64" s="8" t="s">
        <v>260</v>
      </c>
      <c r="G64" s="6">
        <v>3.0</v>
      </c>
      <c r="H64" s="9">
        <v>0.8416666666666667</v>
      </c>
      <c r="I64" s="6" t="s">
        <v>26</v>
      </c>
      <c r="J64" s="6" t="s">
        <v>27</v>
      </c>
      <c r="K64" s="6">
        <v>5.86</v>
      </c>
      <c r="L64" s="6" t="s">
        <v>28</v>
      </c>
      <c r="M64" s="6" t="s">
        <v>29</v>
      </c>
      <c r="N64" s="10">
        <v>0.8427083333333333</v>
      </c>
      <c r="O64" s="11" t="s">
        <v>261</v>
      </c>
      <c r="P64" s="6" t="s">
        <v>31</v>
      </c>
      <c r="Q64" s="6">
        <v>1.0</v>
      </c>
      <c r="R64" s="6" t="s">
        <v>41</v>
      </c>
      <c r="S64" s="6" t="s">
        <v>33</v>
      </c>
      <c r="T64" s="8" t="s">
        <v>53</v>
      </c>
      <c r="U64" s="8" t="s">
        <v>262</v>
      </c>
      <c r="V64" s="11" t="str">
        <f t="shared" si="2"/>
        <v>link</v>
      </c>
    </row>
    <row r="65">
      <c r="A65" s="13">
        <v>64.0</v>
      </c>
      <c r="B65" s="14">
        <v>0.8417559143563267</v>
      </c>
      <c r="C65" s="14">
        <v>0.8414086921341044</v>
      </c>
      <c r="D65" s="13" t="s">
        <v>49</v>
      </c>
      <c r="E65" s="13" t="s">
        <v>24</v>
      </c>
      <c r="F65" s="15" t="s">
        <v>263</v>
      </c>
      <c r="G65" s="13">
        <v>4.0</v>
      </c>
      <c r="H65" s="16">
        <v>0.8416666666666667</v>
      </c>
      <c r="I65" s="13" t="s">
        <v>26</v>
      </c>
      <c r="J65" s="13" t="s">
        <v>27</v>
      </c>
      <c r="K65" s="13">
        <v>1.04</v>
      </c>
      <c r="L65" s="13" t="s">
        <v>39</v>
      </c>
      <c r="M65" s="13" t="s">
        <v>29</v>
      </c>
      <c r="N65" s="17">
        <v>0.8431018518518518</v>
      </c>
      <c r="O65" s="18" t="s">
        <v>264</v>
      </c>
      <c r="P65" s="13" t="s">
        <v>31</v>
      </c>
      <c r="Q65" s="13">
        <v>0.0</v>
      </c>
      <c r="R65" s="13" t="s">
        <v>32</v>
      </c>
      <c r="S65" s="13" t="s">
        <v>33</v>
      </c>
      <c r="T65" s="15" t="s">
        <v>112</v>
      </c>
      <c r="U65" s="15" t="s">
        <v>265</v>
      </c>
      <c r="V65" s="18" t="str">
        <f t="shared" si="2"/>
        <v>link</v>
      </c>
    </row>
    <row r="66">
      <c r="A66" s="6">
        <v>65.0</v>
      </c>
      <c r="B66" s="7">
        <v>0.8422086805512663</v>
      </c>
      <c r="C66" s="7">
        <v>0.841861458329044</v>
      </c>
      <c r="D66" s="6" t="s">
        <v>37</v>
      </c>
      <c r="E66" s="6" t="s">
        <v>24</v>
      </c>
      <c r="F66" s="8" t="s">
        <v>266</v>
      </c>
      <c r="G66" s="6">
        <v>2.0</v>
      </c>
      <c r="H66" s="9">
        <v>0.8423611111111111</v>
      </c>
      <c r="I66" s="6" t="s">
        <v>26</v>
      </c>
      <c r="J66" s="6" t="s">
        <v>27</v>
      </c>
      <c r="K66" s="6">
        <v>10.36</v>
      </c>
      <c r="L66" s="6" t="s">
        <v>28</v>
      </c>
      <c r="M66" s="6" t="s">
        <v>29</v>
      </c>
      <c r="N66" s="10">
        <v>0.8435300925925926</v>
      </c>
      <c r="O66" s="11" t="s">
        <v>267</v>
      </c>
      <c r="P66" s="6" t="s">
        <v>31</v>
      </c>
      <c r="Q66" s="6">
        <v>0.0</v>
      </c>
      <c r="R66" s="6" t="s">
        <v>41</v>
      </c>
      <c r="S66" s="6" t="s">
        <v>33</v>
      </c>
      <c r="T66" s="8" t="s">
        <v>42</v>
      </c>
      <c r="U66" s="8" t="s">
        <v>268</v>
      </c>
      <c r="V66" s="11" t="str">
        <f t="shared" si="2"/>
        <v>link</v>
      </c>
    </row>
    <row r="67">
      <c r="A67" s="13">
        <v>66.0</v>
      </c>
      <c r="B67" s="14">
        <v>0.842773819444119</v>
      </c>
      <c r="C67" s="14">
        <v>0.8424265972218967</v>
      </c>
      <c r="D67" s="13" t="s">
        <v>23</v>
      </c>
      <c r="E67" s="13" t="s">
        <v>144</v>
      </c>
      <c r="F67" s="15" t="s">
        <v>269</v>
      </c>
      <c r="G67" s="13">
        <v>3.0</v>
      </c>
      <c r="H67" s="16">
        <v>0.8430555555555556</v>
      </c>
      <c r="I67" s="13" t="s">
        <v>26</v>
      </c>
      <c r="J67" s="13" t="s">
        <v>27</v>
      </c>
      <c r="K67" s="13">
        <v>2.07</v>
      </c>
      <c r="L67" s="13" t="s">
        <v>28</v>
      </c>
      <c r="M67" s="13" t="s">
        <v>29</v>
      </c>
      <c r="N67" s="17">
        <v>0.8444328703703704</v>
      </c>
      <c r="O67" s="18" t="s">
        <v>270</v>
      </c>
      <c r="P67" s="13" t="s">
        <v>31</v>
      </c>
      <c r="Q67" s="13">
        <v>0.0</v>
      </c>
      <c r="R67" s="13" t="s">
        <v>32</v>
      </c>
      <c r="S67" s="13" t="s">
        <v>147</v>
      </c>
      <c r="T67" s="15" t="s">
        <v>34</v>
      </c>
      <c r="U67" s="15" t="s">
        <v>73</v>
      </c>
      <c r="V67" s="18" t="str">
        <f t="shared" si="2"/>
        <v>link</v>
      </c>
    </row>
    <row r="68">
      <c r="A68" s="6">
        <v>67.0</v>
      </c>
      <c r="B68" s="7">
        <v>0.8430606481488212</v>
      </c>
      <c r="C68" s="7">
        <v>0.8427134259265989</v>
      </c>
      <c r="D68" s="6" t="s">
        <v>37</v>
      </c>
      <c r="E68" s="6" t="s">
        <v>24</v>
      </c>
      <c r="F68" s="8" t="s">
        <v>271</v>
      </c>
      <c r="G68" s="6">
        <v>2.0</v>
      </c>
      <c r="H68" s="9">
        <v>0.84375</v>
      </c>
      <c r="I68" s="6" t="s">
        <v>26</v>
      </c>
      <c r="J68" s="6" t="s">
        <v>27</v>
      </c>
      <c r="K68" s="6">
        <v>27.99</v>
      </c>
      <c r="L68" s="6" t="s">
        <v>39</v>
      </c>
      <c r="M68" s="6" t="s">
        <v>29</v>
      </c>
      <c r="N68" s="10">
        <v>0.8456481481481481</v>
      </c>
      <c r="O68" s="11" t="s">
        <v>272</v>
      </c>
      <c r="P68" s="6" t="s">
        <v>31</v>
      </c>
      <c r="Q68" s="6">
        <v>0.0</v>
      </c>
      <c r="R68" s="6" t="s">
        <v>32</v>
      </c>
      <c r="S68" s="6" t="s">
        <v>33</v>
      </c>
      <c r="T68" s="8" t="s">
        <v>42</v>
      </c>
      <c r="U68" s="8" t="s">
        <v>273</v>
      </c>
      <c r="V68" s="11" t="str">
        <f t="shared" si="2"/>
        <v>link</v>
      </c>
    </row>
    <row r="69">
      <c r="A69" s="13">
        <v>68.0</v>
      </c>
      <c r="B69" s="14">
        <v>0.843089212961786</v>
      </c>
      <c r="C69" s="14">
        <v>0.8427419907395637</v>
      </c>
      <c r="D69" s="13" t="s">
        <v>49</v>
      </c>
      <c r="E69" s="13" t="s">
        <v>24</v>
      </c>
      <c r="F69" s="15" t="s">
        <v>274</v>
      </c>
      <c r="G69" s="13">
        <v>1.0</v>
      </c>
      <c r="H69" s="16">
        <v>0.84375</v>
      </c>
      <c r="I69" s="13" t="s">
        <v>36</v>
      </c>
      <c r="J69" s="13" t="s">
        <v>27</v>
      </c>
      <c r="K69" s="13">
        <v>5.86</v>
      </c>
      <c r="L69" s="13" t="s">
        <v>28</v>
      </c>
      <c r="M69" s="13" t="s">
        <v>29</v>
      </c>
      <c r="N69" s="17">
        <v>0.845</v>
      </c>
      <c r="O69" s="18" t="s">
        <v>275</v>
      </c>
      <c r="P69" s="13" t="s">
        <v>52</v>
      </c>
      <c r="Q69" s="13">
        <v>0.0</v>
      </c>
      <c r="R69" s="13" t="s">
        <v>41</v>
      </c>
      <c r="S69" s="13" t="s">
        <v>33</v>
      </c>
      <c r="T69" s="15" t="s">
        <v>276</v>
      </c>
      <c r="U69" s="15" t="s">
        <v>277</v>
      </c>
      <c r="V69" s="18" t="str">
        <f t="shared" si="2"/>
        <v>link</v>
      </c>
    </row>
    <row r="70">
      <c r="A70" s="6">
        <v>69.0</v>
      </c>
      <c r="B70" s="7">
        <v>0.8440681249994668</v>
      </c>
      <c r="C70" s="7">
        <v>0.8437209027772445</v>
      </c>
      <c r="D70" s="6" t="s">
        <v>49</v>
      </c>
      <c r="E70" s="6" t="s">
        <v>24</v>
      </c>
      <c r="F70" s="8" t="s">
        <v>278</v>
      </c>
      <c r="G70" s="6">
        <v>4.0</v>
      </c>
      <c r="H70" s="9">
        <v>0.8451388888888889</v>
      </c>
      <c r="I70" s="6" t="s">
        <v>26</v>
      </c>
      <c r="J70" s="6" t="s">
        <v>27</v>
      </c>
      <c r="K70" s="6">
        <v>5.16</v>
      </c>
      <c r="L70" s="6" t="s">
        <v>28</v>
      </c>
      <c r="M70" s="6" t="s">
        <v>29</v>
      </c>
      <c r="N70" s="10">
        <v>0.8464930555555555</v>
      </c>
      <c r="O70" s="11" t="s">
        <v>279</v>
      </c>
      <c r="P70" s="6" t="s">
        <v>52</v>
      </c>
      <c r="Q70" s="6">
        <v>0.0</v>
      </c>
      <c r="R70" s="6" t="s">
        <v>41</v>
      </c>
      <c r="S70" s="6" t="s">
        <v>33</v>
      </c>
      <c r="T70" s="8" t="s">
        <v>112</v>
      </c>
      <c r="U70" s="8" t="s">
        <v>280</v>
      </c>
      <c r="V70" s="11" t="str">
        <f t="shared" si="2"/>
        <v>link</v>
      </c>
    </row>
    <row r="71">
      <c r="A71" s="13">
        <v>70.0</v>
      </c>
      <c r="B71" s="14">
        <v>0.8458533912053099</v>
      </c>
      <c r="C71" s="14">
        <v>0.8455061689830876</v>
      </c>
      <c r="D71" s="13" t="s">
        <v>37</v>
      </c>
      <c r="E71" s="13" t="s">
        <v>24</v>
      </c>
      <c r="F71" s="15" t="s">
        <v>281</v>
      </c>
      <c r="G71" s="13">
        <v>2.0</v>
      </c>
      <c r="H71" s="16">
        <v>0.8458333333333333</v>
      </c>
      <c r="I71" s="13" t="s">
        <v>26</v>
      </c>
      <c r="J71" s="13" t="s">
        <v>27</v>
      </c>
      <c r="K71" s="13">
        <v>1.04</v>
      </c>
      <c r="L71" s="13" t="s">
        <v>28</v>
      </c>
      <c r="M71" s="13" t="s">
        <v>29</v>
      </c>
      <c r="N71" s="17">
        <v>0.8470717592592593</v>
      </c>
      <c r="O71" s="18" t="s">
        <v>282</v>
      </c>
      <c r="P71" s="13" t="s">
        <v>31</v>
      </c>
      <c r="Q71" s="13">
        <v>0.0</v>
      </c>
      <c r="R71" s="13" t="s">
        <v>32</v>
      </c>
      <c r="S71" s="13" t="s">
        <v>33</v>
      </c>
      <c r="T71" s="15" t="s">
        <v>42</v>
      </c>
      <c r="U71" s="15" t="s">
        <v>283</v>
      </c>
      <c r="V71" s="18" t="str">
        <f t="shared" si="2"/>
        <v>link</v>
      </c>
    </row>
    <row r="72">
      <c r="A72" s="6">
        <v>71.0</v>
      </c>
      <c r="B72" s="7">
        <v>0.8461135879624635</v>
      </c>
      <c r="C72" s="7">
        <v>0.8457663657402412</v>
      </c>
      <c r="D72" s="6" t="s">
        <v>23</v>
      </c>
      <c r="E72" s="6" t="s">
        <v>24</v>
      </c>
      <c r="F72" s="8" t="s">
        <v>284</v>
      </c>
      <c r="G72" s="6">
        <v>2.0</v>
      </c>
      <c r="H72" s="9">
        <v>0.8465277777777778</v>
      </c>
      <c r="I72" s="6" t="s">
        <v>26</v>
      </c>
      <c r="J72" s="6" t="s">
        <v>27</v>
      </c>
      <c r="K72" s="6">
        <v>0.52</v>
      </c>
      <c r="L72" s="6" t="s">
        <v>28</v>
      </c>
      <c r="M72" s="6" t="s">
        <v>29</v>
      </c>
      <c r="N72" s="10">
        <v>0.8472569444444444</v>
      </c>
      <c r="O72" s="11" t="s">
        <v>285</v>
      </c>
      <c r="P72" s="6" t="s">
        <v>31</v>
      </c>
      <c r="Q72" s="6">
        <v>0.0</v>
      </c>
      <c r="R72" s="6" t="s">
        <v>32</v>
      </c>
      <c r="S72" s="6" t="s">
        <v>220</v>
      </c>
      <c r="T72" s="8" t="s">
        <v>34</v>
      </c>
      <c r="U72" s="8" t="s">
        <v>286</v>
      </c>
      <c r="V72" s="11" t="str">
        <f t="shared" si="2"/>
        <v>link</v>
      </c>
    </row>
    <row r="73">
      <c r="A73" s="13">
        <v>72.0</v>
      </c>
      <c r="B73" s="14">
        <v>0.846572002315952</v>
      </c>
      <c r="C73" s="14">
        <v>0.8462247800937297</v>
      </c>
      <c r="D73" s="13" t="s">
        <v>44</v>
      </c>
      <c r="E73" s="13" t="s">
        <v>24</v>
      </c>
      <c r="F73" s="15" t="s">
        <v>287</v>
      </c>
      <c r="G73" s="13">
        <v>4.0</v>
      </c>
      <c r="H73" s="16">
        <v>0.8465277777777778</v>
      </c>
      <c r="I73" s="13" t="s">
        <v>26</v>
      </c>
      <c r="J73" s="13" t="s">
        <v>27</v>
      </c>
      <c r="K73" s="13">
        <v>1.04</v>
      </c>
      <c r="L73" s="13" t="s">
        <v>28</v>
      </c>
      <c r="M73" s="13" t="s">
        <v>29</v>
      </c>
      <c r="N73" s="17">
        <v>0.8486574074074074</v>
      </c>
      <c r="O73" s="18" t="s">
        <v>288</v>
      </c>
      <c r="P73" s="13" t="s">
        <v>31</v>
      </c>
      <c r="Q73" s="13">
        <v>0.0</v>
      </c>
      <c r="R73" s="13" t="s">
        <v>32</v>
      </c>
      <c r="S73" s="13" t="s">
        <v>33</v>
      </c>
      <c r="T73" s="15" t="s">
        <v>289</v>
      </c>
      <c r="U73" s="15" t="s">
        <v>290</v>
      </c>
      <c r="V73" s="18" t="str">
        <f t="shared" si="2"/>
        <v>link</v>
      </c>
    </row>
    <row r="74">
      <c r="A74" s="6">
        <v>73.0</v>
      </c>
      <c r="B74" s="7">
        <v>0.8487337731494335</v>
      </c>
      <c r="C74" s="7">
        <v>0.8483865509272113</v>
      </c>
      <c r="D74" s="6" t="s">
        <v>37</v>
      </c>
      <c r="E74" s="6" t="s">
        <v>24</v>
      </c>
      <c r="F74" s="8" t="s">
        <v>291</v>
      </c>
      <c r="G74" s="6">
        <v>2.0</v>
      </c>
      <c r="H74" s="9">
        <v>0.8486111111111111</v>
      </c>
      <c r="I74" s="6" t="s">
        <v>26</v>
      </c>
      <c r="J74" s="6" t="s">
        <v>27</v>
      </c>
      <c r="K74" s="6">
        <v>31.31</v>
      </c>
      <c r="L74" s="6" t="s">
        <v>39</v>
      </c>
      <c r="M74" s="6" t="s">
        <v>29</v>
      </c>
      <c r="N74" s="10">
        <v>0.8508796296296296</v>
      </c>
      <c r="O74" s="11" t="s">
        <v>292</v>
      </c>
      <c r="P74" s="6" t="s">
        <v>31</v>
      </c>
      <c r="Q74" s="6">
        <v>0.0</v>
      </c>
      <c r="R74" s="6" t="s">
        <v>41</v>
      </c>
      <c r="S74" s="6" t="s">
        <v>101</v>
      </c>
      <c r="T74" s="8" t="s">
        <v>164</v>
      </c>
      <c r="U74" s="8" t="s">
        <v>293</v>
      </c>
      <c r="V74" s="11" t="str">
        <f t="shared" si="2"/>
        <v>link</v>
      </c>
    </row>
    <row r="75">
      <c r="A75" s="13">
        <v>74.0</v>
      </c>
      <c r="B75" s="14">
        <v>0.8494829398114234</v>
      </c>
      <c r="C75" s="14">
        <v>0.8491357175892011</v>
      </c>
      <c r="D75" s="13" t="s">
        <v>169</v>
      </c>
      <c r="E75" s="13" t="s">
        <v>24</v>
      </c>
      <c r="F75" s="15" t="s">
        <v>294</v>
      </c>
      <c r="G75" s="13">
        <v>3.0</v>
      </c>
      <c r="H75" s="16">
        <v>0.8493055555555555</v>
      </c>
      <c r="I75" s="13" t="s">
        <v>26</v>
      </c>
      <c r="J75" s="13" t="s">
        <v>27</v>
      </c>
      <c r="K75" s="13">
        <v>29.3</v>
      </c>
      <c r="L75" s="13" t="s">
        <v>28</v>
      </c>
      <c r="M75" s="13" t="s">
        <v>29</v>
      </c>
      <c r="N75" s="17">
        <v>0.853125</v>
      </c>
      <c r="O75" s="18" t="s">
        <v>295</v>
      </c>
      <c r="P75" s="13" t="s">
        <v>31</v>
      </c>
      <c r="Q75" s="13">
        <v>0.0</v>
      </c>
      <c r="R75" s="13" t="s">
        <v>41</v>
      </c>
      <c r="S75" s="13" t="s">
        <v>101</v>
      </c>
      <c r="T75" s="15" t="s">
        <v>53</v>
      </c>
      <c r="U75" s="15" t="s">
        <v>296</v>
      </c>
      <c r="V75" s="18" t="str">
        <f t="shared" si="2"/>
        <v>link</v>
      </c>
    </row>
    <row r="76">
      <c r="A76" s="6">
        <v>75.0</v>
      </c>
      <c r="B76" s="7">
        <v>0.8496984143566806</v>
      </c>
      <c r="C76" s="7">
        <v>0.8493511921344583</v>
      </c>
      <c r="D76" s="6" t="s">
        <v>37</v>
      </c>
      <c r="E76" s="6" t="s">
        <v>144</v>
      </c>
      <c r="F76" s="8" t="s">
        <v>297</v>
      </c>
      <c r="G76" s="6">
        <v>1.0</v>
      </c>
      <c r="H76" s="9">
        <v>0.85</v>
      </c>
      <c r="I76" s="6" t="s">
        <v>36</v>
      </c>
      <c r="J76" s="6" t="s">
        <v>27</v>
      </c>
      <c r="K76" s="6">
        <v>13.48</v>
      </c>
      <c r="L76" s="6" t="s">
        <v>39</v>
      </c>
      <c r="M76" s="6" t="s">
        <v>29</v>
      </c>
      <c r="N76" s="10">
        <v>0.8514814814814815</v>
      </c>
      <c r="O76" s="11" t="s">
        <v>298</v>
      </c>
      <c r="P76" s="6" t="s">
        <v>31</v>
      </c>
      <c r="Q76" s="6">
        <v>2.0</v>
      </c>
      <c r="R76" s="6" t="s">
        <v>32</v>
      </c>
      <c r="S76" s="6" t="s">
        <v>147</v>
      </c>
      <c r="T76" s="8" t="s">
        <v>97</v>
      </c>
      <c r="U76" s="8" t="s">
        <v>299</v>
      </c>
      <c r="V76" s="11" t="str">
        <f t="shared" si="2"/>
        <v>link</v>
      </c>
    </row>
    <row r="77">
      <c r="A77" s="13">
        <v>76.0</v>
      </c>
      <c r="B77" s="14">
        <v>0.8502265856513986</v>
      </c>
      <c r="C77" s="14">
        <v>0.8498793634291764</v>
      </c>
      <c r="D77" s="13" t="s">
        <v>37</v>
      </c>
      <c r="E77" s="13" t="s">
        <v>24</v>
      </c>
      <c r="F77" s="15" t="s">
        <v>300</v>
      </c>
      <c r="G77" s="13">
        <v>4.0</v>
      </c>
      <c r="H77" s="16">
        <v>0.85</v>
      </c>
      <c r="I77" s="13" t="s">
        <v>26</v>
      </c>
      <c r="J77" s="13" t="s">
        <v>27</v>
      </c>
      <c r="K77" s="13">
        <v>3.11</v>
      </c>
      <c r="L77" s="13" t="s">
        <v>28</v>
      </c>
      <c r="M77" s="13" t="s">
        <v>29</v>
      </c>
      <c r="N77" s="17">
        <v>0.8512268518518519</v>
      </c>
      <c r="O77" s="18" t="s">
        <v>301</v>
      </c>
      <c r="P77" s="13" t="s">
        <v>31</v>
      </c>
      <c r="Q77" s="13">
        <v>4.0</v>
      </c>
      <c r="R77" s="13" t="s">
        <v>41</v>
      </c>
      <c r="S77" s="13" t="s">
        <v>33</v>
      </c>
      <c r="T77" s="15" t="s">
        <v>42</v>
      </c>
      <c r="U77" s="15" t="s">
        <v>302</v>
      </c>
      <c r="V77" s="18" t="str">
        <f t="shared" si="2"/>
        <v>link</v>
      </c>
    </row>
    <row r="78">
      <c r="A78" s="29">
        <v>77.0</v>
      </c>
      <c r="B78" s="7">
        <v>0.8508004745381186</v>
      </c>
      <c r="C78" s="7">
        <v>0.8504532523158963</v>
      </c>
      <c r="D78" s="34" t="s">
        <v>23</v>
      </c>
      <c r="E78" s="34" t="s">
        <v>24</v>
      </c>
      <c r="F78" s="40" t="s">
        <v>303</v>
      </c>
      <c r="G78" s="34">
        <v>1.0</v>
      </c>
      <c r="H78" s="41">
        <v>0.8513888888888889</v>
      </c>
      <c r="I78" s="34" t="s">
        <v>36</v>
      </c>
      <c r="J78" s="29" t="s">
        <v>27</v>
      </c>
      <c r="K78" s="29">
        <v>23.44</v>
      </c>
      <c r="L78" s="29" t="s">
        <v>28</v>
      </c>
      <c r="M78" s="29" t="s">
        <v>29</v>
      </c>
      <c r="N78" s="32">
        <v>0.8550694444444444</v>
      </c>
      <c r="O78" s="33" t="s">
        <v>304</v>
      </c>
      <c r="P78" s="29" t="s">
        <v>31</v>
      </c>
      <c r="Q78" s="6">
        <v>0.0</v>
      </c>
      <c r="R78" s="6" t="s">
        <v>41</v>
      </c>
      <c r="S78" s="29" t="s">
        <v>33</v>
      </c>
      <c r="T78" s="30" t="s">
        <v>34</v>
      </c>
      <c r="U78" s="30" t="s">
        <v>305</v>
      </c>
      <c r="V78" s="33" t="str">
        <f t="shared" si="2"/>
        <v>link</v>
      </c>
    </row>
    <row r="79">
      <c r="A79" s="13">
        <v>78.0</v>
      </c>
      <c r="B79" s="14">
        <v>0.8545044097263599</v>
      </c>
      <c r="C79" s="14">
        <v>0.8541571875041376</v>
      </c>
      <c r="D79" s="13" t="s">
        <v>306</v>
      </c>
      <c r="E79" s="13" t="s">
        <v>24</v>
      </c>
      <c r="F79" s="15" t="s">
        <v>307</v>
      </c>
      <c r="G79" s="13">
        <v>1.0</v>
      </c>
      <c r="H79" s="16">
        <v>0.8548611111111111</v>
      </c>
      <c r="I79" s="13" t="s">
        <v>36</v>
      </c>
      <c r="J79" s="13" t="s">
        <v>27</v>
      </c>
      <c r="K79" s="13">
        <v>9.38</v>
      </c>
      <c r="L79" s="13" t="s">
        <v>28</v>
      </c>
      <c r="M79" s="13" t="s">
        <v>29</v>
      </c>
      <c r="N79" s="17">
        <v>0.8563194444444444</v>
      </c>
      <c r="O79" s="18" t="s">
        <v>308</v>
      </c>
      <c r="P79" s="13" t="s">
        <v>309</v>
      </c>
      <c r="Q79" s="13">
        <v>0.0</v>
      </c>
      <c r="R79" s="13" t="s">
        <v>41</v>
      </c>
      <c r="S79" s="13" t="s">
        <v>33</v>
      </c>
      <c r="T79" s="15" t="s">
        <v>92</v>
      </c>
      <c r="U79" s="15" t="s">
        <v>310</v>
      </c>
      <c r="V79" s="18" t="str">
        <f t="shared" si="2"/>
        <v>link</v>
      </c>
    </row>
    <row r="80">
      <c r="A80" s="6">
        <v>79.0</v>
      </c>
      <c r="B80" s="7">
        <v>0.8555047338013537</v>
      </c>
      <c r="C80" s="7">
        <v>0.8551575115791314</v>
      </c>
      <c r="D80" s="6" t="s">
        <v>23</v>
      </c>
      <c r="E80" s="6" t="s">
        <v>24</v>
      </c>
      <c r="F80" s="8" t="s">
        <v>311</v>
      </c>
      <c r="G80" s="6">
        <v>2.0</v>
      </c>
      <c r="H80" s="9">
        <v>0.8555555555555555</v>
      </c>
      <c r="I80" s="6" t="s">
        <v>26</v>
      </c>
      <c r="J80" s="6" t="s">
        <v>27</v>
      </c>
      <c r="K80" s="6">
        <v>1.04</v>
      </c>
      <c r="L80" s="6" t="s">
        <v>28</v>
      </c>
      <c r="M80" s="6" t="s">
        <v>29</v>
      </c>
      <c r="N80" s="10">
        <v>0.8562037037037037</v>
      </c>
      <c r="O80" s="11" t="s">
        <v>312</v>
      </c>
      <c r="P80" s="6" t="s">
        <v>31</v>
      </c>
      <c r="Q80" s="6">
        <v>0.0</v>
      </c>
      <c r="R80" s="6" t="s">
        <v>32</v>
      </c>
      <c r="S80" s="6" t="s">
        <v>33</v>
      </c>
      <c r="T80" s="8" t="s">
        <v>72</v>
      </c>
      <c r="U80" s="8" t="s">
        <v>313</v>
      </c>
      <c r="V80" s="11" t="str">
        <f t="shared" si="2"/>
        <v>link</v>
      </c>
    </row>
    <row r="81">
      <c r="A81" s="13">
        <v>80.0</v>
      </c>
      <c r="B81" s="14">
        <v>0.858096956013469</v>
      </c>
      <c r="C81" s="14">
        <v>0.8577497337912467</v>
      </c>
      <c r="D81" s="13" t="s">
        <v>23</v>
      </c>
      <c r="E81" s="13" t="s">
        <v>24</v>
      </c>
      <c r="F81" s="15" t="s">
        <v>314</v>
      </c>
      <c r="G81" s="13">
        <v>3.0</v>
      </c>
      <c r="H81" s="16">
        <v>0.8583333333333333</v>
      </c>
      <c r="I81" s="13" t="s">
        <v>26</v>
      </c>
      <c r="J81" s="13" t="s">
        <v>27</v>
      </c>
      <c r="K81" s="13">
        <v>0.73</v>
      </c>
      <c r="L81" s="13" t="s">
        <v>39</v>
      </c>
      <c r="M81" s="13" t="s">
        <v>29</v>
      </c>
      <c r="N81" s="17">
        <v>0.8592476851851852</v>
      </c>
      <c r="O81" s="18" t="s">
        <v>315</v>
      </c>
      <c r="P81" s="13" t="s">
        <v>31</v>
      </c>
      <c r="Q81" s="13">
        <v>5.0</v>
      </c>
      <c r="R81" s="13" t="s">
        <v>41</v>
      </c>
      <c r="S81" s="13" t="s">
        <v>33</v>
      </c>
      <c r="T81" s="15" t="s">
        <v>112</v>
      </c>
      <c r="U81" s="15" t="s">
        <v>316</v>
      </c>
      <c r="V81" s="18" t="str">
        <f t="shared" si="2"/>
        <v>link</v>
      </c>
    </row>
    <row r="82">
      <c r="A82" s="6">
        <v>81.0</v>
      </c>
      <c r="B82" s="7">
        <v>0.8583284606429515</v>
      </c>
      <c r="C82" s="7">
        <v>0.8579812384207293</v>
      </c>
      <c r="D82" s="6" t="s">
        <v>37</v>
      </c>
      <c r="E82" s="6" t="s">
        <v>24</v>
      </c>
      <c r="F82" s="8" t="s">
        <v>317</v>
      </c>
      <c r="G82" s="6">
        <v>4.0</v>
      </c>
      <c r="H82" s="9">
        <v>0.8583333333333333</v>
      </c>
      <c r="I82" s="6" t="s">
        <v>26</v>
      </c>
      <c r="J82" s="6" t="s">
        <v>27</v>
      </c>
      <c r="K82" s="6">
        <v>10.36</v>
      </c>
      <c r="L82" s="6" t="s">
        <v>28</v>
      </c>
      <c r="M82" s="6" t="s">
        <v>29</v>
      </c>
      <c r="N82" s="10">
        <v>0.8596759259259259</v>
      </c>
      <c r="O82" s="11" t="s">
        <v>318</v>
      </c>
      <c r="P82" s="6" t="s">
        <v>31</v>
      </c>
      <c r="Q82" s="6">
        <v>0.0</v>
      </c>
      <c r="R82" s="6" t="s">
        <v>41</v>
      </c>
      <c r="S82" s="6" t="s">
        <v>33</v>
      </c>
      <c r="T82" s="8" t="s">
        <v>42</v>
      </c>
      <c r="U82" s="8" t="s">
        <v>319</v>
      </c>
      <c r="V82" s="11" t="str">
        <f t="shared" si="2"/>
        <v>link</v>
      </c>
    </row>
    <row r="83">
      <c r="A83" s="13">
        <v>82.0</v>
      </c>
      <c r="B83" s="14">
        <v>0.8605652546248166</v>
      </c>
      <c r="C83" s="14">
        <v>0.8602180324025943</v>
      </c>
      <c r="D83" s="13" t="s">
        <v>37</v>
      </c>
      <c r="E83" s="13" t="s">
        <v>24</v>
      </c>
      <c r="F83" s="15" t="s">
        <v>320</v>
      </c>
      <c r="G83" s="13">
        <v>2.0</v>
      </c>
      <c r="H83" s="16">
        <v>0.8604166666666667</v>
      </c>
      <c r="I83" s="13" t="s">
        <v>26</v>
      </c>
      <c r="J83" s="13" t="s">
        <v>27</v>
      </c>
      <c r="K83" s="13">
        <v>10.36</v>
      </c>
      <c r="L83" s="13" t="s">
        <v>67</v>
      </c>
      <c r="M83" s="13" t="s">
        <v>29</v>
      </c>
      <c r="N83" s="17">
        <v>0.8618518518518519</v>
      </c>
      <c r="O83" s="18" t="s">
        <v>321</v>
      </c>
      <c r="P83" s="13" t="s">
        <v>31</v>
      </c>
      <c r="Q83" s="13">
        <v>0.0</v>
      </c>
      <c r="R83" s="13" t="s">
        <v>32</v>
      </c>
      <c r="S83" s="13" t="s">
        <v>101</v>
      </c>
      <c r="T83" s="15" t="s">
        <v>156</v>
      </c>
      <c r="U83" s="15" t="s">
        <v>322</v>
      </c>
      <c r="V83" s="18" t="str">
        <f t="shared" si="2"/>
        <v>link</v>
      </c>
    </row>
    <row r="84">
      <c r="A84" s="29">
        <v>83.0</v>
      </c>
      <c r="B84" s="7">
        <v>0.8608861342581804</v>
      </c>
      <c r="C84" s="7">
        <v>0.8605389120359581</v>
      </c>
      <c r="D84" s="34" t="s">
        <v>44</v>
      </c>
      <c r="E84" s="34" t="s">
        <v>24</v>
      </c>
      <c r="F84" s="40" t="s">
        <v>323</v>
      </c>
      <c r="G84" s="34">
        <v>4.0</v>
      </c>
      <c r="H84" s="41">
        <v>0.8618055555555556</v>
      </c>
      <c r="I84" s="34" t="s">
        <v>324</v>
      </c>
      <c r="J84" s="29" t="s">
        <v>27</v>
      </c>
      <c r="K84" s="38"/>
      <c r="L84" s="29" t="s">
        <v>28</v>
      </c>
      <c r="M84" s="29" t="s">
        <v>29</v>
      </c>
      <c r="N84" s="32">
        <v>0.8625925925925926</v>
      </c>
      <c r="O84" s="33" t="s">
        <v>325</v>
      </c>
      <c r="P84" s="29" t="s">
        <v>31</v>
      </c>
      <c r="Q84" s="21" t="s">
        <v>65</v>
      </c>
      <c r="R84" s="21" t="s">
        <v>65</v>
      </c>
      <c r="S84" s="29" t="s">
        <v>326</v>
      </c>
      <c r="T84" s="30" t="e">
        <v>#VALUE!</v>
      </c>
      <c r="U84" s="39"/>
      <c r="V84" s="33" t="str">
        <f t="shared" si="2"/>
        <v>link</v>
      </c>
    </row>
    <row r="85">
      <c r="A85" s="13">
        <v>84.0</v>
      </c>
      <c r="B85" s="14">
        <v>0.8641592824060353</v>
      </c>
      <c r="C85" s="14">
        <v>0.8638120601838131</v>
      </c>
      <c r="D85" s="13" t="s">
        <v>23</v>
      </c>
      <c r="E85" s="13" t="s">
        <v>24</v>
      </c>
      <c r="F85" s="15" t="s">
        <v>327</v>
      </c>
      <c r="G85" s="13">
        <v>2.0</v>
      </c>
      <c r="H85" s="16">
        <v>0.8638888888888889</v>
      </c>
      <c r="I85" s="13" t="s">
        <v>26</v>
      </c>
      <c r="J85" s="13" t="s">
        <v>27</v>
      </c>
      <c r="K85" s="13">
        <v>5.18</v>
      </c>
      <c r="L85" s="13" t="s">
        <v>39</v>
      </c>
      <c r="M85" s="13" t="s">
        <v>29</v>
      </c>
      <c r="N85" s="17">
        <v>0.8654050925925926</v>
      </c>
      <c r="O85" s="18" t="s">
        <v>328</v>
      </c>
      <c r="P85" s="13" t="s">
        <v>31</v>
      </c>
      <c r="Q85" s="13">
        <v>1.0</v>
      </c>
      <c r="R85" s="13" t="s">
        <v>41</v>
      </c>
      <c r="S85" s="13" t="s">
        <v>33</v>
      </c>
      <c r="T85" s="15" t="s">
        <v>78</v>
      </c>
      <c r="U85" s="15" t="s">
        <v>329</v>
      </c>
      <c r="V85" s="18" t="str">
        <f t="shared" si="2"/>
        <v>link</v>
      </c>
    </row>
    <row r="86">
      <c r="A86" s="6">
        <v>85.0</v>
      </c>
      <c r="B86" s="7">
        <v>0.864173831017979</v>
      </c>
      <c r="C86" s="7">
        <v>0.8638266087957567</v>
      </c>
      <c r="D86" s="6" t="s">
        <v>37</v>
      </c>
      <c r="E86" s="6" t="s">
        <v>24</v>
      </c>
      <c r="F86" s="8" t="s">
        <v>330</v>
      </c>
      <c r="G86" s="6">
        <v>2.0</v>
      </c>
      <c r="H86" s="9">
        <v>0.8652777777777778</v>
      </c>
      <c r="I86" s="6" t="s">
        <v>26</v>
      </c>
      <c r="J86" s="6" t="s">
        <v>27</v>
      </c>
      <c r="K86" s="6">
        <v>2.07</v>
      </c>
      <c r="L86" s="6" t="s">
        <v>39</v>
      </c>
      <c r="M86" s="6" t="s">
        <v>29</v>
      </c>
      <c r="N86" s="10">
        <v>0.8663425925925926</v>
      </c>
      <c r="O86" s="11" t="s">
        <v>331</v>
      </c>
      <c r="P86" s="6" t="s">
        <v>31</v>
      </c>
      <c r="Q86" s="6">
        <v>0.0</v>
      </c>
      <c r="R86" s="6" t="s">
        <v>32</v>
      </c>
      <c r="S86" s="6" t="s">
        <v>33</v>
      </c>
      <c r="T86" s="8" t="s">
        <v>42</v>
      </c>
      <c r="U86" s="8" t="s">
        <v>332</v>
      </c>
      <c r="V86" s="11" t="str">
        <f t="shared" si="2"/>
        <v>link</v>
      </c>
    </row>
    <row r="87">
      <c r="A87" s="13">
        <v>86.0</v>
      </c>
      <c r="B87" s="14">
        <v>0.8646210532460827</v>
      </c>
      <c r="C87" s="14">
        <v>0.8642738310238605</v>
      </c>
      <c r="D87" s="13" t="s">
        <v>23</v>
      </c>
      <c r="E87" s="13" t="s">
        <v>24</v>
      </c>
      <c r="F87" s="15" t="s">
        <v>333</v>
      </c>
      <c r="G87" s="13">
        <v>4.0</v>
      </c>
      <c r="H87" s="16">
        <v>0.8645833333333334</v>
      </c>
      <c r="I87" s="13" t="s">
        <v>26</v>
      </c>
      <c r="J87" s="13" t="s">
        <v>27</v>
      </c>
      <c r="K87" s="13">
        <v>5.18</v>
      </c>
      <c r="L87" s="13" t="s">
        <v>28</v>
      </c>
      <c r="M87" s="13" t="s">
        <v>29</v>
      </c>
      <c r="N87" s="17">
        <v>0.8659722222222223</v>
      </c>
      <c r="O87" s="18" t="s">
        <v>334</v>
      </c>
      <c r="P87" s="13" t="s">
        <v>31</v>
      </c>
      <c r="Q87" s="13">
        <v>0.0</v>
      </c>
      <c r="R87" s="13" t="s">
        <v>32</v>
      </c>
      <c r="S87" s="13" t="s">
        <v>57</v>
      </c>
      <c r="T87" s="15" t="s">
        <v>152</v>
      </c>
      <c r="U87" s="15" t="s">
        <v>35</v>
      </c>
      <c r="V87" s="18" t="str">
        <f t="shared" si="2"/>
        <v>link</v>
      </c>
    </row>
    <row r="88">
      <c r="A88" s="6">
        <v>87.0</v>
      </c>
      <c r="B88" s="7">
        <v>0.8663871875032783</v>
      </c>
      <c r="C88" s="7">
        <v>0.866039965281056</v>
      </c>
      <c r="D88" s="6" t="s">
        <v>23</v>
      </c>
      <c r="E88" s="6" t="s">
        <v>144</v>
      </c>
      <c r="F88" s="8" t="s">
        <v>335</v>
      </c>
      <c r="G88" s="6">
        <v>2.0</v>
      </c>
      <c r="H88" s="9">
        <v>0.8666666666666667</v>
      </c>
      <c r="I88" s="6" t="s">
        <v>26</v>
      </c>
      <c r="J88" s="6" t="s">
        <v>27</v>
      </c>
      <c r="K88" s="6">
        <v>5.29</v>
      </c>
      <c r="L88" s="6" t="s">
        <v>39</v>
      </c>
      <c r="M88" s="6" t="s">
        <v>29</v>
      </c>
      <c r="N88" s="10">
        <v>0.871099537037037</v>
      </c>
      <c r="O88" s="11" t="s">
        <v>336</v>
      </c>
      <c r="P88" s="6" t="s">
        <v>31</v>
      </c>
      <c r="Q88" s="6">
        <v>12.0</v>
      </c>
      <c r="R88" s="6" t="s">
        <v>32</v>
      </c>
      <c r="S88" s="6" t="s">
        <v>142</v>
      </c>
      <c r="T88" s="8" t="s">
        <v>337</v>
      </c>
      <c r="U88" s="8" t="s">
        <v>338</v>
      </c>
      <c r="V88" s="11" t="str">
        <f t="shared" si="2"/>
        <v>link</v>
      </c>
    </row>
    <row r="89">
      <c r="A89" s="13">
        <v>88.0</v>
      </c>
      <c r="B89" s="14">
        <v>0.8688624421338318</v>
      </c>
      <c r="C89" s="14">
        <v>0.8685152199116095</v>
      </c>
      <c r="D89" s="13" t="s">
        <v>37</v>
      </c>
      <c r="E89" s="13" t="s">
        <v>144</v>
      </c>
      <c r="F89" s="15" t="s">
        <v>339</v>
      </c>
      <c r="G89" s="13">
        <v>1.0</v>
      </c>
      <c r="H89" s="16">
        <v>0.8694444444444445</v>
      </c>
      <c r="I89" s="13" t="s">
        <v>36</v>
      </c>
      <c r="J89" s="13" t="s">
        <v>27</v>
      </c>
      <c r="K89" s="13">
        <v>52.15</v>
      </c>
      <c r="L89" s="13" t="s">
        <v>39</v>
      </c>
      <c r="M89" s="13" t="s">
        <v>29</v>
      </c>
      <c r="N89" s="17">
        <v>0.8730555555555556</v>
      </c>
      <c r="O89" s="18" t="s">
        <v>340</v>
      </c>
      <c r="P89" s="13" t="s">
        <v>31</v>
      </c>
      <c r="Q89" s="13">
        <v>0.0</v>
      </c>
      <c r="R89" s="13" t="s">
        <v>41</v>
      </c>
      <c r="S89" s="13" t="s">
        <v>341</v>
      </c>
      <c r="T89" s="15" t="s">
        <v>92</v>
      </c>
      <c r="U89" s="15" t="s">
        <v>342</v>
      </c>
      <c r="V89" s="18" t="str">
        <f t="shared" si="2"/>
        <v>link</v>
      </c>
    </row>
    <row r="90">
      <c r="A90" s="6">
        <v>89.0</v>
      </c>
      <c r="B90" s="7">
        <v>0.8696979629603447</v>
      </c>
      <c r="C90" s="7">
        <v>0.8693507407381225</v>
      </c>
      <c r="D90" s="6" t="s">
        <v>94</v>
      </c>
      <c r="E90" s="6" t="s">
        <v>24</v>
      </c>
      <c r="F90" s="8" t="s">
        <v>343</v>
      </c>
      <c r="G90" s="6">
        <v>3.0</v>
      </c>
      <c r="H90" s="9">
        <v>0.8701388888888889</v>
      </c>
      <c r="I90" s="6" t="s">
        <v>26</v>
      </c>
      <c r="J90" s="6" t="s">
        <v>27</v>
      </c>
      <c r="K90" s="6">
        <v>5.86</v>
      </c>
      <c r="L90" s="6" t="s">
        <v>28</v>
      </c>
      <c r="M90" s="6" t="s">
        <v>29</v>
      </c>
      <c r="N90" s="10">
        <v>0.8715856481481481</v>
      </c>
      <c r="O90" s="11" t="s">
        <v>344</v>
      </c>
      <c r="P90" s="6" t="s">
        <v>345</v>
      </c>
      <c r="Q90" s="6">
        <v>1.0</v>
      </c>
      <c r="R90" s="6" t="s">
        <v>32</v>
      </c>
      <c r="S90" s="6" t="s">
        <v>33</v>
      </c>
      <c r="T90" s="8" t="s">
        <v>97</v>
      </c>
      <c r="U90" s="8" t="s">
        <v>346</v>
      </c>
      <c r="V90" s="11" t="str">
        <f t="shared" si="2"/>
        <v>link</v>
      </c>
    </row>
    <row r="91">
      <c r="A91" s="13">
        <v>90.0</v>
      </c>
      <c r="B91" s="14">
        <v>0.8709755439776927</v>
      </c>
      <c r="C91" s="14">
        <v>0.8706283217554704</v>
      </c>
      <c r="D91" s="13" t="s">
        <v>23</v>
      </c>
      <c r="E91" s="13" t="s">
        <v>24</v>
      </c>
      <c r="F91" s="15" t="s">
        <v>347</v>
      </c>
      <c r="G91" s="13">
        <v>2.0</v>
      </c>
      <c r="H91" s="16">
        <v>0.8708333333333333</v>
      </c>
      <c r="I91" s="13" t="s">
        <v>26</v>
      </c>
      <c r="J91" s="13" t="s">
        <v>27</v>
      </c>
      <c r="K91" s="13">
        <v>2.07</v>
      </c>
      <c r="L91" s="13" t="s">
        <v>28</v>
      </c>
      <c r="M91" s="13" t="s">
        <v>29</v>
      </c>
      <c r="N91" s="17">
        <v>0.8717824074074074</v>
      </c>
      <c r="O91" s="18" t="s">
        <v>348</v>
      </c>
      <c r="P91" s="13" t="s">
        <v>31</v>
      </c>
      <c r="Q91" s="13">
        <v>0.0</v>
      </c>
      <c r="R91" s="13" t="s">
        <v>41</v>
      </c>
      <c r="S91" s="13" t="s">
        <v>33</v>
      </c>
      <c r="T91" s="15" t="s">
        <v>72</v>
      </c>
      <c r="U91" s="15" t="s">
        <v>305</v>
      </c>
      <c r="V91" s="18" t="str">
        <f t="shared" si="2"/>
        <v>link</v>
      </c>
    </row>
    <row r="92">
      <c r="A92" s="6">
        <v>91.0</v>
      </c>
      <c r="B92" s="7">
        <v>0.8751656249951338</v>
      </c>
      <c r="C92" s="7">
        <v>0.8748184027729116</v>
      </c>
      <c r="D92" s="6" t="s">
        <v>37</v>
      </c>
      <c r="E92" s="6" t="s">
        <v>24</v>
      </c>
      <c r="F92" s="8" t="s">
        <v>349</v>
      </c>
      <c r="G92" s="6">
        <v>3.0</v>
      </c>
      <c r="H92" s="9">
        <v>0.8770833333333333</v>
      </c>
      <c r="I92" s="6" t="s">
        <v>26</v>
      </c>
      <c r="J92" s="6" t="s">
        <v>27</v>
      </c>
      <c r="K92" s="6">
        <v>10.36</v>
      </c>
      <c r="L92" s="6" t="s">
        <v>39</v>
      </c>
      <c r="M92" s="6" t="s">
        <v>29</v>
      </c>
      <c r="N92" s="10">
        <v>0.8764699074074074</v>
      </c>
      <c r="O92" s="11" t="s">
        <v>350</v>
      </c>
      <c r="P92" s="6" t="s">
        <v>31</v>
      </c>
      <c r="Q92" s="6">
        <v>0.0</v>
      </c>
      <c r="R92" s="6" t="s">
        <v>41</v>
      </c>
      <c r="S92" s="6" t="s">
        <v>101</v>
      </c>
      <c r="T92" s="8" t="s">
        <v>42</v>
      </c>
      <c r="U92" s="8" t="s">
        <v>332</v>
      </c>
      <c r="V92" s="11" t="str">
        <f t="shared" si="2"/>
        <v>link</v>
      </c>
    </row>
    <row r="93">
      <c r="A93" s="13">
        <v>92.0</v>
      </c>
      <c r="B93" s="14">
        <v>0.8774685416719876</v>
      </c>
      <c r="C93" s="14">
        <v>0.8771213194497653</v>
      </c>
      <c r="D93" s="13" t="s">
        <v>44</v>
      </c>
      <c r="E93" s="13" t="s">
        <v>24</v>
      </c>
      <c r="F93" s="15" t="s">
        <v>351</v>
      </c>
      <c r="G93" s="13">
        <v>2.0</v>
      </c>
      <c r="H93" s="16">
        <v>0.8770833333333333</v>
      </c>
      <c r="I93" s="13" t="s">
        <v>26</v>
      </c>
      <c r="J93" s="13" t="s">
        <v>27</v>
      </c>
      <c r="K93" s="13">
        <v>1.04</v>
      </c>
      <c r="L93" s="13" t="s">
        <v>28</v>
      </c>
      <c r="M93" s="13" t="s">
        <v>29</v>
      </c>
      <c r="N93" s="17">
        <v>0.877974537037037</v>
      </c>
      <c r="O93" s="18" t="s">
        <v>352</v>
      </c>
      <c r="P93" s="13" t="s">
        <v>31</v>
      </c>
      <c r="Q93" s="13">
        <v>0.0</v>
      </c>
      <c r="R93" s="13" t="s">
        <v>41</v>
      </c>
      <c r="S93" s="13" t="s">
        <v>33</v>
      </c>
      <c r="T93" s="15" t="s">
        <v>47</v>
      </c>
      <c r="U93" s="15" t="s">
        <v>353</v>
      </c>
      <c r="V93" s="18" t="str">
        <f t="shared" si="2"/>
        <v>link</v>
      </c>
    </row>
    <row r="94">
      <c r="A94" s="6">
        <v>93.0</v>
      </c>
      <c r="B94" s="7">
        <v>0.8784828472271329</v>
      </c>
      <c r="C94" s="7">
        <v>0.8781356250049106</v>
      </c>
      <c r="D94" s="6" t="s">
        <v>37</v>
      </c>
      <c r="E94" s="6" t="s">
        <v>24</v>
      </c>
      <c r="F94" s="8" t="s">
        <v>354</v>
      </c>
      <c r="G94" s="6">
        <v>1.0</v>
      </c>
      <c r="H94" s="9">
        <v>0.8784722222222222</v>
      </c>
      <c r="I94" s="6" t="s">
        <v>36</v>
      </c>
      <c r="J94" s="6" t="s">
        <v>27</v>
      </c>
      <c r="K94" s="6">
        <v>5.86</v>
      </c>
      <c r="L94" s="6" t="s">
        <v>39</v>
      </c>
      <c r="M94" s="6" t="s">
        <v>29</v>
      </c>
      <c r="N94" s="10">
        <v>0.8804861111111111</v>
      </c>
      <c r="O94" s="11" t="s">
        <v>355</v>
      </c>
      <c r="P94" s="6" t="s">
        <v>31</v>
      </c>
      <c r="Q94" s="6">
        <v>0.0</v>
      </c>
      <c r="R94" s="6" t="s">
        <v>41</v>
      </c>
      <c r="S94" s="6" t="s">
        <v>33</v>
      </c>
      <c r="T94" s="8" t="s">
        <v>156</v>
      </c>
      <c r="U94" s="8" t="s">
        <v>356</v>
      </c>
      <c r="V94" s="11" t="str">
        <f t="shared" si="2"/>
        <v>link</v>
      </c>
    </row>
    <row r="95">
      <c r="A95" s="13">
        <v>94.0</v>
      </c>
      <c r="B95" s="14">
        <v>0.8790002199093578</v>
      </c>
      <c r="C95" s="14">
        <v>0.8786529976871356</v>
      </c>
      <c r="D95" s="13" t="s">
        <v>23</v>
      </c>
      <c r="E95" s="13" t="s">
        <v>24</v>
      </c>
      <c r="F95" s="15" t="s">
        <v>357</v>
      </c>
      <c r="G95" s="13">
        <v>3.0</v>
      </c>
      <c r="H95" s="16">
        <v>0.8791666666666667</v>
      </c>
      <c r="I95" s="13" t="s">
        <v>26</v>
      </c>
      <c r="J95" s="13" t="s">
        <v>27</v>
      </c>
      <c r="K95" s="13">
        <v>1.04</v>
      </c>
      <c r="L95" s="13" t="s">
        <v>28</v>
      </c>
      <c r="M95" s="13" t="s">
        <v>29</v>
      </c>
      <c r="N95" s="17">
        <v>0.8804166666666666</v>
      </c>
      <c r="O95" s="18" t="s">
        <v>358</v>
      </c>
      <c r="P95" s="13" t="s">
        <v>31</v>
      </c>
      <c r="Q95" s="13">
        <v>3.0</v>
      </c>
      <c r="R95" s="13" t="s">
        <v>32</v>
      </c>
      <c r="S95" s="13" t="s">
        <v>33</v>
      </c>
      <c r="T95" s="15" t="s">
        <v>34</v>
      </c>
      <c r="U95" s="15" t="s">
        <v>35</v>
      </c>
      <c r="V95" s="18" t="str">
        <f t="shared" si="2"/>
        <v>link</v>
      </c>
    </row>
    <row r="96">
      <c r="A96" s="6">
        <v>95.0</v>
      </c>
      <c r="B96" s="7">
        <v>0.8828237847192213</v>
      </c>
      <c r="C96" s="7">
        <v>0.882476562496999</v>
      </c>
      <c r="D96" s="6" t="s">
        <v>37</v>
      </c>
      <c r="E96" s="6" t="s">
        <v>24</v>
      </c>
      <c r="F96" s="8" t="s">
        <v>359</v>
      </c>
      <c r="G96" s="6">
        <v>4.0</v>
      </c>
      <c r="H96" s="9">
        <v>0.8826388888888889</v>
      </c>
      <c r="I96" s="6" t="s">
        <v>26</v>
      </c>
      <c r="J96" s="6" t="s">
        <v>27</v>
      </c>
      <c r="K96" s="6">
        <v>10.47</v>
      </c>
      <c r="L96" s="6" t="s">
        <v>39</v>
      </c>
      <c r="M96" s="6" t="s">
        <v>29</v>
      </c>
      <c r="N96" s="10">
        <v>0.8843865740740741</v>
      </c>
      <c r="O96" s="11" t="s">
        <v>360</v>
      </c>
      <c r="P96" s="6" t="s">
        <v>31</v>
      </c>
      <c r="Q96" s="6">
        <v>0.0</v>
      </c>
      <c r="R96" s="6" t="s">
        <v>41</v>
      </c>
      <c r="S96" s="6" t="s">
        <v>33</v>
      </c>
      <c r="T96" s="8" t="s">
        <v>42</v>
      </c>
      <c r="U96" s="8" t="s">
        <v>361</v>
      </c>
      <c r="V96" s="11" t="str">
        <f t="shared" si="2"/>
        <v>link</v>
      </c>
    </row>
    <row r="97">
      <c r="A97" s="13">
        <v>96.0</v>
      </c>
      <c r="B97" s="14">
        <v>0.8831092245382024</v>
      </c>
      <c r="C97" s="14">
        <v>0.8827620023159801</v>
      </c>
      <c r="D97" s="13" t="s">
        <v>49</v>
      </c>
      <c r="E97" s="13" t="s">
        <v>24</v>
      </c>
      <c r="F97" s="15" t="s">
        <v>362</v>
      </c>
      <c r="G97" s="13">
        <v>1.0</v>
      </c>
      <c r="H97" s="16">
        <v>0.8833333333333333</v>
      </c>
      <c r="I97" s="13" t="s">
        <v>26</v>
      </c>
      <c r="J97" s="13" t="s">
        <v>27</v>
      </c>
      <c r="K97" s="13">
        <v>4.34</v>
      </c>
      <c r="L97" s="13" t="s">
        <v>28</v>
      </c>
      <c r="M97" s="13" t="s">
        <v>29</v>
      </c>
      <c r="N97" s="17">
        <v>0.8849074074074074</v>
      </c>
      <c r="O97" s="18" t="s">
        <v>363</v>
      </c>
      <c r="P97" s="13" t="s">
        <v>52</v>
      </c>
      <c r="Q97" s="13">
        <v>0.0</v>
      </c>
      <c r="R97" s="13" t="s">
        <v>41</v>
      </c>
      <c r="S97" s="13" t="s">
        <v>33</v>
      </c>
      <c r="T97" s="15" t="s">
        <v>252</v>
      </c>
      <c r="U97" s="15" t="s">
        <v>364</v>
      </c>
      <c r="V97" s="18" t="str">
        <f t="shared" si="2"/>
        <v>link</v>
      </c>
    </row>
    <row r="98">
      <c r="A98" s="6">
        <v>97.0</v>
      </c>
      <c r="B98" s="7">
        <v>0.8835455092630582</v>
      </c>
      <c r="C98" s="7">
        <v>0.8831982870408359</v>
      </c>
      <c r="D98" s="6" t="s">
        <v>49</v>
      </c>
      <c r="E98" s="6" t="s">
        <v>24</v>
      </c>
      <c r="F98" s="8" t="s">
        <v>365</v>
      </c>
      <c r="G98" s="6">
        <v>1.0</v>
      </c>
      <c r="H98" s="9">
        <v>0.8847222222222222</v>
      </c>
      <c r="I98" s="6" t="s">
        <v>36</v>
      </c>
      <c r="J98" s="6" t="s">
        <v>27</v>
      </c>
      <c r="K98" s="6">
        <v>4.69</v>
      </c>
      <c r="L98" s="6" t="s">
        <v>28</v>
      </c>
      <c r="M98" s="6" t="s">
        <v>29</v>
      </c>
      <c r="N98" s="10">
        <v>0.8876273148148148</v>
      </c>
      <c r="O98" s="11" t="s">
        <v>366</v>
      </c>
      <c r="P98" s="6" t="s">
        <v>52</v>
      </c>
      <c r="Q98" s="6">
        <v>0.0</v>
      </c>
      <c r="R98" s="6" t="s">
        <v>32</v>
      </c>
      <c r="S98" s="6" t="s">
        <v>33</v>
      </c>
      <c r="T98" s="8" t="s">
        <v>53</v>
      </c>
      <c r="U98" s="8" t="s">
        <v>367</v>
      </c>
      <c r="V98" s="11" t="str">
        <f t="shared" si="2"/>
        <v>link</v>
      </c>
    </row>
    <row r="99">
      <c r="A99" s="13">
        <v>98.0</v>
      </c>
      <c r="B99" s="14">
        <v>0.8836485300926142</v>
      </c>
      <c r="C99" s="14">
        <v>0.883301307870392</v>
      </c>
      <c r="D99" s="13" t="s">
        <v>345</v>
      </c>
      <c r="E99" s="13" t="s">
        <v>24</v>
      </c>
      <c r="F99" s="15" t="s">
        <v>368</v>
      </c>
      <c r="G99" s="13">
        <v>5.0</v>
      </c>
      <c r="H99" s="16">
        <v>0.8840277777777777</v>
      </c>
      <c r="I99" s="13" t="s">
        <v>36</v>
      </c>
      <c r="J99" s="13" t="s">
        <v>27</v>
      </c>
      <c r="K99" s="13">
        <v>23.44</v>
      </c>
      <c r="L99" s="13" t="s">
        <v>28</v>
      </c>
      <c r="M99" s="13" t="s">
        <v>29</v>
      </c>
      <c r="N99" s="17">
        <v>0.8875115740740741</v>
      </c>
      <c r="O99" s="18" t="s">
        <v>369</v>
      </c>
      <c r="P99" s="13" t="s">
        <v>345</v>
      </c>
      <c r="Q99" s="13">
        <v>0.0</v>
      </c>
      <c r="R99" s="13" t="s">
        <v>41</v>
      </c>
      <c r="S99" s="13" t="s">
        <v>33</v>
      </c>
      <c r="T99" s="15" t="s">
        <v>92</v>
      </c>
      <c r="U99" s="15" t="s">
        <v>370</v>
      </c>
      <c r="V99" s="18" t="str">
        <f t="shared" si="2"/>
        <v>link</v>
      </c>
    </row>
    <row r="100">
      <c r="A100" s="6">
        <v>99.0</v>
      </c>
      <c r="B100" s="7">
        <v>0.8852083449091879</v>
      </c>
      <c r="C100" s="7">
        <v>0.8848611226869656</v>
      </c>
      <c r="D100" s="6" t="s">
        <v>37</v>
      </c>
      <c r="E100" s="6" t="s">
        <v>24</v>
      </c>
      <c r="F100" s="8" t="s">
        <v>371</v>
      </c>
      <c r="G100" s="6">
        <v>2.0</v>
      </c>
      <c r="H100" s="9">
        <v>0.8854166666666666</v>
      </c>
      <c r="I100" s="6" t="s">
        <v>26</v>
      </c>
      <c r="J100" s="6" t="s">
        <v>27</v>
      </c>
      <c r="K100" s="6">
        <v>25.91</v>
      </c>
      <c r="L100" s="6" t="s">
        <v>39</v>
      </c>
      <c r="M100" s="6" t="s">
        <v>29</v>
      </c>
      <c r="N100" s="10">
        <v>0.887337962962963</v>
      </c>
      <c r="O100" s="11" t="s">
        <v>372</v>
      </c>
      <c r="P100" s="6" t="s">
        <v>52</v>
      </c>
      <c r="Q100" s="6">
        <v>0.0</v>
      </c>
      <c r="R100" s="6" t="s">
        <v>32</v>
      </c>
      <c r="S100" s="6" t="s">
        <v>33</v>
      </c>
      <c r="T100" s="8" t="s">
        <v>42</v>
      </c>
      <c r="U100" s="8" t="s">
        <v>373</v>
      </c>
      <c r="V100" s="11" t="str">
        <f t="shared" si="2"/>
        <v>link</v>
      </c>
    </row>
    <row r="101">
      <c r="A101" s="13">
        <v>100.0</v>
      </c>
      <c r="B101" s="14">
        <v>0.8853375115722883</v>
      </c>
      <c r="C101" s="14">
        <v>0.8849902893500661</v>
      </c>
      <c r="D101" s="13" t="s">
        <v>37</v>
      </c>
      <c r="E101" s="13" t="s">
        <v>144</v>
      </c>
      <c r="F101" s="15" t="s">
        <v>374</v>
      </c>
      <c r="G101" s="13">
        <v>3.0</v>
      </c>
      <c r="H101" s="16">
        <v>0.8861111111111111</v>
      </c>
      <c r="I101" s="13" t="s">
        <v>26</v>
      </c>
      <c r="J101" s="13" t="s">
        <v>27</v>
      </c>
      <c r="K101" s="13">
        <v>22.29</v>
      </c>
      <c r="L101" s="13" t="s">
        <v>39</v>
      </c>
      <c r="M101" s="13" t="s">
        <v>29</v>
      </c>
      <c r="N101" s="17">
        <v>0.8883912037037037</v>
      </c>
      <c r="O101" s="18" t="s">
        <v>375</v>
      </c>
      <c r="P101" s="13" t="s">
        <v>31</v>
      </c>
      <c r="Q101" s="13">
        <v>4.0</v>
      </c>
      <c r="R101" s="13" t="s">
        <v>32</v>
      </c>
      <c r="S101" s="13" t="s">
        <v>376</v>
      </c>
      <c r="T101" s="15" t="s">
        <v>42</v>
      </c>
      <c r="U101" s="15" t="s">
        <v>377</v>
      </c>
      <c r="V101" s="18" t="str">
        <f t="shared" si="2"/>
        <v>link</v>
      </c>
    </row>
    <row r="102">
      <c r="A102" s="29">
        <v>101.0</v>
      </c>
      <c r="B102" s="7">
        <v>0.8862413425958948</v>
      </c>
      <c r="C102" s="7">
        <v>0.8858941203736725</v>
      </c>
      <c r="D102" s="29" t="s">
        <v>169</v>
      </c>
      <c r="E102" s="29" t="s">
        <v>24</v>
      </c>
      <c r="F102" s="30" t="s">
        <v>378</v>
      </c>
      <c r="G102" s="29">
        <v>1.0</v>
      </c>
      <c r="H102" s="31">
        <v>0.8868055555555555</v>
      </c>
      <c r="I102" s="29" t="s">
        <v>36</v>
      </c>
      <c r="J102" s="29" t="s">
        <v>27</v>
      </c>
      <c r="K102" s="29">
        <v>32.82</v>
      </c>
      <c r="L102" s="29" t="s">
        <v>28</v>
      </c>
      <c r="M102" s="29" t="s">
        <v>29</v>
      </c>
      <c r="N102" s="32">
        <v>0.8899421296296296</v>
      </c>
      <c r="O102" s="33" t="s">
        <v>379</v>
      </c>
      <c r="P102" s="38"/>
      <c r="Q102" s="21" t="s">
        <v>65</v>
      </c>
      <c r="R102" s="21" t="s">
        <v>65</v>
      </c>
      <c r="S102" s="29" t="s">
        <v>33</v>
      </c>
      <c r="T102" s="30" t="e">
        <v>#VALUE!</v>
      </c>
      <c r="U102" s="39"/>
      <c r="V102" s="33" t="str">
        <f t="shared" si="2"/>
        <v>link</v>
      </c>
    </row>
    <row r="103">
      <c r="A103" s="13">
        <v>102.0</v>
      </c>
      <c r="B103" s="14">
        <v>0.8868169675915851</v>
      </c>
      <c r="C103" s="14">
        <v>0.8864697453693628</v>
      </c>
      <c r="D103" s="13" t="s">
        <v>23</v>
      </c>
      <c r="E103" s="13" t="s">
        <v>24</v>
      </c>
      <c r="F103" s="15" t="s">
        <v>380</v>
      </c>
      <c r="G103" s="13">
        <v>2.0</v>
      </c>
      <c r="H103" s="16">
        <v>0.8868055555555555</v>
      </c>
      <c r="I103" s="13" t="s">
        <v>26</v>
      </c>
      <c r="J103" s="13" t="s">
        <v>27</v>
      </c>
      <c r="K103" s="13">
        <v>1.04</v>
      </c>
      <c r="L103" s="13" t="s">
        <v>28</v>
      </c>
      <c r="M103" s="13" t="s">
        <v>29</v>
      </c>
      <c r="N103" s="17">
        <v>0.8878587962962963</v>
      </c>
      <c r="O103" s="18" t="s">
        <v>381</v>
      </c>
      <c r="P103" s="13" t="s">
        <v>31</v>
      </c>
      <c r="Q103" s="13">
        <v>1.0</v>
      </c>
      <c r="R103" s="13" t="s">
        <v>41</v>
      </c>
      <c r="S103" s="13" t="s">
        <v>33</v>
      </c>
      <c r="T103" s="15" t="s">
        <v>382</v>
      </c>
      <c r="U103" s="15" t="s">
        <v>305</v>
      </c>
      <c r="V103" s="18" t="str">
        <f t="shared" si="2"/>
        <v>link</v>
      </c>
    </row>
    <row r="104">
      <c r="A104" s="6">
        <v>103.0</v>
      </c>
      <c r="B104" s="7">
        <v>0.8890465162039618</v>
      </c>
      <c r="C104" s="7">
        <v>0.8886992939817395</v>
      </c>
      <c r="D104" s="6" t="s">
        <v>37</v>
      </c>
      <c r="E104" s="6" t="s">
        <v>24</v>
      </c>
      <c r="F104" s="8" t="s">
        <v>383</v>
      </c>
      <c r="G104" s="6">
        <v>2.0</v>
      </c>
      <c r="H104" s="9">
        <v>0.8888888888888888</v>
      </c>
      <c r="I104" s="6" t="s">
        <v>26</v>
      </c>
      <c r="J104" s="6" t="s">
        <v>27</v>
      </c>
      <c r="K104" s="6">
        <v>10.36</v>
      </c>
      <c r="L104" s="6" t="s">
        <v>28</v>
      </c>
      <c r="M104" s="6" t="s">
        <v>29</v>
      </c>
      <c r="N104" s="10">
        <v>0.8906944444444445</v>
      </c>
      <c r="O104" s="11" t="s">
        <v>384</v>
      </c>
      <c r="P104" s="6" t="s">
        <v>31</v>
      </c>
      <c r="Q104" s="6">
        <v>0.0</v>
      </c>
      <c r="R104" s="6" t="s">
        <v>32</v>
      </c>
      <c r="S104" s="6" t="s">
        <v>33</v>
      </c>
      <c r="T104" s="8" t="s">
        <v>156</v>
      </c>
      <c r="U104" s="8" t="s">
        <v>385</v>
      </c>
      <c r="V104" s="11" t="str">
        <f t="shared" si="2"/>
        <v>link</v>
      </c>
    </row>
    <row r="105">
      <c r="A105" s="13">
        <v>104.0</v>
      </c>
      <c r="B105" s="14">
        <v>0.8898538310168078</v>
      </c>
      <c r="C105" s="14">
        <v>0.8895066087945855</v>
      </c>
      <c r="D105" s="13" t="s">
        <v>37</v>
      </c>
      <c r="E105" s="13" t="s">
        <v>24</v>
      </c>
      <c r="F105" s="15" t="s">
        <v>386</v>
      </c>
      <c r="G105" s="13">
        <v>1.0</v>
      </c>
      <c r="H105" s="16">
        <v>0.8902777777777777</v>
      </c>
      <c r="I105" s="13" t="s">
        <v>36</v>
      </c>
      <c r="J105" s="13" t="s">
        <v>27</v>
      </c>
      <c r="K105" s="13">
        <v>11.72</v>
      </c>
      <c r="L105" s="13" t="s">
        <v>39</v>
      </c>
      <c r="M105" s="13" t="s">
        <v>29</v>
      </c>
      <c r="N105" s="17">
        <v>0.8912962962962963</v>
      </c>
      <c r="O105" s="18" t="s">
        <v>387</v>
      </c>
      <c r="P105" s="13" t="s">
        <v>31</v>
      </c>
      <c r="Q105" s="13">
        <v>1.0</v>
      </c>
      <c r="R105" s="13" t="s">
        <v>32</v>
      </c>
      <c r="S105" s="13" t="s">
        <v>33</v>
      </c>
      <c r="T105" s="15" t="s">
        <v>388</v>
      </c>
      <c r="U105" s="15" t="s">
        <v>389</v>
      </c>
      <c r="V105" s="18" t="str">
        <f t="shared" si="2"/>
        <v>link</v>
      </c>
    </row>
    <row r="106">
      <c r="A106" s="6">
        <v>105.0</v>
      </c>
      <c r="B106" s="7">
        <v>0.8931494097196264</v>
      </c>
      <c r="C106" s="7">
        <v>0.8928021874974041</v>
      </c>
      <c r="D106" s="6" t="s">
        <v>23</v>
      </c>
      <c r="E106" s="6" t="s">
        <v>24</v>
      </c>
      <c r="F106" s="8" t="s">
        <v>390</v>
      </c>
      <c r="G106" s="6">
        <v>2.0</v>
      </c>
      <c r="H106" s="9">
        <v>0.8930555555555556</v>
      </c>
      <c r="I106" s="6" t="s">
        <v>26</v>
      </c>
      <c r="J106" s="6" t="s">
        <v>27</v>
      </c>
      <c r="K106" s="6">
        <v>2.07</v>
      </c>
      <c r="L106" s="6" t="s">
        <v>28</v>
      </c>
      <c r="M106" s="6" t="s">
        <v>29</v>
      </c>
      <c r="N106" s="10">
        <v>0.8944212962962963</v>
      </c>
      <c r="O106" s="11" t="s">
        <v>391</v>
      </c>
      <c r="P106" s="6" t="s">
        <v>31</v>
      </c>
      <c r="Q106" s="6">
        <v>0.0</v>
      </c>
      <c r="R106" s="6" t="s">
        <v>32</v>
      </c>
      <c r="S106" s="6" t="s">
        <v>33</v>
      </c>
      <c r="T106" s="8" t="s">
        <v>58</v>
      </c>
      <c r="U106" s="8" t="s">
        <v>392</v>
      </c>
      <c r="V106" s="11" t="str">
        <f t="shared" si="2"/>
        <v>link</v>
      </c>
    </row>
    <row r="107">
      <c r="A107" s="13">
        <v>106.0</v>
      </c>
      <c r="B107" s="14">
        <v>0.8935349537059665</v>
      </c>
      <c r="C107" s="14">
        <v>0.8931877314837442</v>
      </c>
      <c r="D107" s="13" t="s">
        <v>23</v>
      </c>
      <c r="E107" s="13" t="s">
        <v>24</v>
      </c>
      <c r="F107" s="15" t="s">
        <v>393</v>
      </c>
      <c r="G107" s="13">
        <v>3.0</v>
      </c>
      <c r="H107" s="16">
        <v>0.8944444444444445</v>
      </c>
      <c r="I107" s="13" t="s">
        <v>26</v>
      </c>
      <c r="J107" s="13" t="s">
        <v>27</v>
      </c>
      <c r="K107" s="13">
        <v>1.55</v>
      </c>
      <c r="L107" s="13" t="s">
        <v>28</v>
      </c>
      <c r="M107" s="13" t="s">
        <v>29</v>
      </c>
      <c r="N107" s="17">
        <v>0.8953240740740741</v>
      </c>
      <c r="O107" s="18" t="s">
        <v>394</v>
      </c>
      <c r="P107" s="13" t="s">
        <v>31</v>
      </c>
      <c r="Q107" s="13">
        <v>0.0</v>
      </c>
      <c r="R107" s="13" t="s">
        <v>41</v>
      </c>
      <c r="S107" s="13" t="s">
        <v>33</v>
      </c>
      <c r="T107" s="15" t="s">
        <v>34</v>
      </c>
      <c r="U107" s="15" t="s">
        <v>305</v>
      </c>
      <c r="V107" s="18" t="str">
        <f t="shared" si="2"/>
        <v>link</v>
      </c>
    </row>
    <row r="108">
      <c r="A108" s="42"/>
      <c r="B108" s="42"/>
      <c r="C108" s="42"/>
      <c r="D108" s="42"/>
      <c r="E108" s="42"/>
      <c r="F108" s="43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3"/>
      <c r="U108" s="43"/>
      <c r="V108" s="42"/>
    </row>
    <row r="109">
      <c r="A109" s="44"/>
      <c r="B109" s="44"/>
      <c r="C109" s="44"/>
      <c r="D109" s="44"/>
      <c r="E109" s="44"/>
      <c r="F109" s="45"/>
      <c r="G109" s="44"/>
      <c r="H109" s="44"/>
      <c r="I109" s="44"/>
      <c r="J109" s="44"/>
      <c r="K109" s="44">
        <f>SUM(K2:K107)</f>
        <v>1140.56</v>
      </c>
      <c r="L109" s="44"/>
      <c r="M109" s="44"/>
      <c r="N109" s="44"/>
      <c r="O109" s="44"/>
      <c r="P109" s="44"/>
      <c r="Q109" s="44"/>
      <c r="R109" s="44"/>
      <c r="S109" s="44"/>
      <c r="T109" s="45"/>
      <c r="U109" s="45"/>
      <c r="V109" s="44"/>
    </row>
    <row r="110">
      <c r="A110" s="42"/>
      <c r="B110" s="42"/>
      <c r="C110" s="42"/>
      <c r="D110" s="42"/>
      <c r="E110" s="42"/>
      <c r="F110" s="43"/>
      <c r="G110" s="42"/>
      <c r="H110" s="42"/>
      <c r="I110" s="42"/>
      <c r="J110" s="42"/>
      <c r="K110" s="46"/>
      <c r="L110" s="42"/>
      <c r="M110" s="42"/>
      <c r="N110" s="42"/>
      <c r="O110" s="42"/>
      <c r="P110" s="42"/>
      <c r="Q110" s="42"/>
      <c r="R110" s="42"/>
      <c r="S110" s="42"/>
      <c r="T110" s="43"/>
      <c r="U110" s="43"/>
      <c r="V110" s="42"/>
    </row>
    <row r="112">
      <c r="Q112" s="19">
        <f>sum(Q2:Q107)</f>
        <v>80</v>
      </c>
    </row>
    <row r="124">
      <c r="F124" s="47"/>
    </row>
    <row r="125">
      <c r="E125" s="47"/>
    </row>
  </sheetData>
  <autoFilter ref="$A$1:$V$110"/>
  <conditionalFormatting sqref="R2:R107 Q8 Q11 Q43:Q44 Q84 Q102">
    <cfRule type="containsText" dxfId="1" priority="1" operator="containsText" text="Valid">
      <formula>NOT(ISERROR(SEARCH(("Valid"),(R2))))</formula>
    </cfRule>
  </conditionalFormatting>
  <conditionalFormatting sqref="R2:R107 Q8 Q11 Q43:Q44 Q84 Q102">
    <cfRule type="containsText" dxfId="2" priority="2" operator="containsText" text="Expired">
      <formula>NOT(ISERROR(SEARCH(("Expired"),(R2))))</formula>
    </cfRule>
  </conditionalFormatting>
  <conditionalFormatting sqref="Q2:Q107">
    <cfRule type="cellIs" dxfId="1" priority="3" operator="equal">
      <formula>0</formula>
    </cfRule>
  </conditionalFormatting>
  <conditionalFormatting sqref="Q2:Q107">
    <cfRule type="cellIs" dxfId="3" priority="4" operator="equal">
      <formula>1</formula>
    </cfRule>
  </conditionalFormatting>
  <conditionalFormatting sqref="Q2:Q107">
    <cfRule type="cellIs" dxfId="4" priority="5" operator="equal">
      <formula>2</formula>
    </cfRule>
  </conditionalFormatting>
  <conditionalFormatting sqref="Q2:Q107">
    <cfRule type="cellIs" dxfId="5" priority="6" operator="equal">
      <formula>3</formula>
    </cfRule>
  </conditionalFormatting>
  <conditionalFormatting sqref="Q2:Q107">
    <cfRule type="cellIs" dxfId="5" priority="7" operator="equal">
      <formula>4</formula>
    </cfRule>
  </conditionalFormatting>
  <conditionalFormatting sqref="Q2:Q107">
    <cfRule type="cellIs" dxfId="5" priority="8" operator="equal">
      <formula>5</formula>
    </cfRule>
  </conditionalFormatting>
  <conditionalFormatting sqref="Q2:Q107">
    <cfRule type="cellIs" dxfId="6" priority="9" operator="equal">
      <formula>12</formula>
    </cfRule>
  </conditionalFormatting>
  <conditionalFormatting sqref="Q2:Q107">
    <cfRule type="cellIs" dxfId="6" priority="10" operator="equal">
      <formula>13</formula>
    </cfRule>
  </conditionalFormatting>
  <conditionalFormatting sqref="Q2:Q107">
    <cfRule type="cellIs" dxfId="6" priority="11" operator="equal">
      <formula>9</formula>
    </cfRule>
  </conditionalFormatting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V25"/>
    <hyperlink r:id="rId26" ref="O26"/>
    <hyperlink r:id="rId27" ref="O27"/>
    <hyperlink r:id="rId28" ref="O28"/>
    <hyperlink r:id="rId29" ref="O29"/>
    <hyperlink r:id="rId30" ref="O30"/>
    <hyperlink r:id="rId31" ref="O31"/>
    <hyperlink r:id="rId32" ref="O32"/>
    <hyperlink r:id="rId33" ref="O33"/>
    <hyperlink r:id="rId34" ref="O34"/>
    <hyperlink r:id="rId35" ref="O35"/>
    <hyperlink r:id="rId36" ref="O36"/>
    <hyperlink r:id="rId37" ref="O37"/>
    <hyperlink r:id="rId38" ref="O38"/>
    <hyperlink r:id="rId39" ref="O39"/>
    <hyperlink r:id="rId40" ref="O40"/>
    <hyperlink r:id="rId41" ref="O41"/>
    <hyperlink r:id="rId42" ref="O42"/>
    <hyperlink r:id="rId43" ref="O43"/>
    <hyperlink r:id="rId44" ref="O44"/>
    <hyperlink r:id="rId45" ref="O45"/>
    <hyperlink r:id="rId46" ref="O46"/>
    <hyperlink r:id="rId47" ref="O47"/>
    <hyperlink r:id="rId48" ref="O48"/>
    <hyperlink r:id="rId49" ref="O49"/>
    <hyperlink r:id="rId50" ref="O50"/>
    <hyperlink r:id="rId51" ref="O51"/>
    <hyperlink r:id="rId52" ref="O52"/>
    <hyperlink r:id="rId53" ref="O53"/>
    <hyperlink r:id="rId54" ref="O54"/>
    <hyperlink r:id="rId55" ref="O55"/>
    <hyperlink r:id="rId56" ref="O56"/>
    <hyperlink r:id="rId57" ref="O57"/>
    <hyperlink r:id="rId58" ref="O58"/>
    <hyperlink r:id="rId59" ref="O59"/>
    <hyperlink r:id="rId60" ref="O60"/>
    <hyperlink r:id="rId61" ref="O61"/>
    <hyperlink r:id="rId62" ref="O62"/>
    <hyperlink r:id="rId63" ref="O63"/>
    <hyperlink r:id="rId64" ref="O64"/>
    <hyperlink r:id="rId65" ref="O65"/>
    <hyperlink r:id="rId66" ref="O66"/>
    <hyperlink r:id="rId67" ref="O67"/>
    <hyperlink r:id="rId68" ref="O68"/>
    <hyperlink r:id="rId69" ref="O69"/>
    <hyperlink r:id="rId70" ref="O70"/>
    <hyperlink r:id="rId71" ref="O71"/>
    <hyperlink r:id="rId72" ref="O72"/>
    <hyperlink r:id="rId73" ref="O73"/>
    <hyperlink r:id="rId74" ref="O74"/>
    <hyperlink r:id="rId75" ref="O75"/>
    <hyperlink r:id="rId76" ref="O76"/>
    <hyperlink r:id="rId77" ref="O77"/>
    <hyperlink r:id="rId78" ref="O78"/>
    <hyperlink r:id="rId79" ref="O79"/>
    <hyperlink r:id="rId80" ref="O80"/>
    <hyperlink r:id="rId81" ref="O81"/>
    <hyperlink r:id="rId82" ref="O82"/>
    <hyperlink r:id="rId83" ref="O83"/>
    <hyperlink r:id="rId84" ref="O84"/>
    <hyperlink r:id="rId85" ref="O85"/>
    <hyperlink r:id="rId86" ref="O86"/>
    <hyperlink r:id="rId87" ref="O87"/>
    <hyperlink r:id="rId88" ref="O88"/>
    <hyperlink r:id="rId89" ref="O89"/>
    <hyperlink r:id="rId90" ref="O90"/>
    <hyperlink r:id="rId91" ref="O91"/>
    <hyperlink r:id="rId92" ref="O92"/>
    <hyperlink r:id="rId93" ref="O93"/>
    <hyperlink r:id="rId94" ref="O94"/>
    <hyperlink r:id="rId95" ref="O95"/>
    <hyperlink r:id="rId96" ref="O96"/>
    <hyperlink r:id="rId97" ref="O97"/>
    <hyperlink r:id="rId98" ref="O98"/>
    <hyperlink r:id="rId99" ref="O99"/>
    <hyperlink r:id="rId100" ref="O100"/>
    <hyperlink r:id="rId101" ref="O101"/>
    <hyperlink r:id="rId102" ref="O102"/>
    <hyperlink r:id="rId103" ref="O103"/>
    <hyperlink r:id="rId104" ref="O104"/>
    <hyperlink r:id="rId105" ref="O105"/>
    <hyperlink r:id="rId106" ref="O106"/>
    <hyperlink r:id="rId107" ref="O107"/>
  </hyperlinks>
  <drawing r:id="rId1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hidden="1" min="2" max="3" width="12.63"/>
    <col customWidth="1" min="4" max="4" width="13.13"/>
    <col customWidth="1" min="5" max="5" width="6.5"/>
    <col customWidth="1" min="6" max="6" width="18.75"/>
    <col customWidth="1" min="7" max="7" width="13.5"/>
    <col customWidth="1" min="8" max="8" width="16.63"/>
    <col customWidth="1" min="9" max="9" width="13.38"/>
    <col customWidth="1" min="10" max="10" width="11.25"/>
    <col customWidth="1" min="11" max="11" width="16.13"/>
    <col customWidth="1" min="12" max="12" width="6.75"/>
    <col customWidth="1" min="13" max="13" width="11.13"/>
    <col customWidth="1" min="14" max="14" width="16.63"/>
    <col customWidth="1" min="15" max="15" width="14.63"/>
    <col customWidth="1" min="16" max="16" width="13.75"/>
    <col customWidth="1" min="17" max="17" width="15.25"/>
    <col customWidth="1" min="18" max="18" width="11.13"/>
    <col customWidth="1" min="19" max="19" width="19.0"/>
    <col customWidth="1" min="20" max="20" width="6.88"/>
    <col customWidth="1" min="21" max="21" width="16.38"/>
    <col hidden="1" min="22" max="22" width="12.63"/>
    <col customWidth="1" min="23" max="23" width="17.13"/>
    <col customWidth="1" min="24" max="24" width="15.13"/>
    <col customWidth="1" min="25" max="25" width="16.88"/>
    <col customWidth="1" min="26" max="26" width="18.63"/>
    <col customWidth="1" min="27" max="27" width="43.0"/>
    <col customWidth="1" min="28" max="28" width="31.63"/>
    <col customWidth="1" min="29" max="29" width="14.88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395</v>
      </c>
      <c r="F1" s="1" t="s">
        <v>396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397</v>
      </c>
      <c r="M1" s="1" t="s">
        <v>7</v>
      </c>
      <c r="N1" s="1" t="s">
        <v>8</v>
      </c>
      <c r="O1" s="1" t="s">
        <v>9</v>
      </c>
      <c r="P1" s="1" t="s">
        <v>398</v>
      </c>
      <c r="Q1" s="1" t="s">
        <v>10</v>
      </c>
      <c r="R1" s="1" t="s">
        <v>11</v>
      </c>
      <c r="S1" s="1" t="s">
        <v>12</v>
      </c>
      <c r="T1" s="1" t="s">
        <v>399</v>
      </c>
      <c r="U1" s="1" t="s">
        <v>400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2" t="s">
        <v>20</v>
      </c>
    </row>
    <row r="2">
      <c r="A2" s="6">
        <v>1.0</v>
      </c>
      <c r="B2" s="7">
        <v>0.7933536226846627</v>
      </c>
      <c r="C2" s="7">
        <v>0.7930064004624404</v>
      </c>
      <c r="D2" s="48">
        <f t="shared" ref="D2:D104" si="1">C2-time(0,0,30)</f>
        <v>0.7926591782</v>
      </c>
      <c r="E2" s="48">
        <f t="shared" ref="E2:E103" si="2">D3-D2</f>
        <v>0.0004470717613</v>
      </c>
      <c r="F2" s="49">
        <f t="shared" ref="F2:F104" si="3">D2-TIME(19,1,25)</f>
        <v>0.000008715277255</v>
      </c>
      <c r="G2" s="6" t="s">
        <v>23</v>
      </c>
      <c r="H2" s="6" t="s">
        <v>24</v>
      </c>
      <c r="I2" s="8" t="s">
        <v>25</v>
      </c>
      <c r="J2" s="6">
        <v>2.0</v>
      </c>
      <c r="K2" s="9">
        <v>0.7944444444444444</v>
      </c>
      <c r="L2" s="9">
        <f t="shared" ref="L2:L104" si="4">K2-TIME(19,1,25)</f>
        <v>0.001793981481</v>
      </c>
      <c r="M2" s="6" t="s">
        <v>26</v>
      </c>
      <c r="N2" s="6" t="s">
        <v>27</v>
      </c>
      <c r="O2" s="6">
        <v>1.04</v>
      </c>
      <c r="P2" s="50">
        <v>100.3808</v>
      </c>
      <c r="Q2" s="6" t="s">
        <v>28</v>
      </c>
      <c r="R2" s="6" t="s">
        <v>29</v>
      </c>
      <c r="S2" s="10">
        <v>0.7948032407407407</v>
      </c>
      <c r="T2" s="10">
        <f t="shared" ref="T2:T104" si="5">S2-TIME(19,1,25)</f>
        <v>0.002152777778</v>
      </c>
      <c r="U2" s="10">
        <f t="shared" ref="U2:U104" si="6">T2-L2</f>
        <v>0.0003587962963</v>
      </c>
      <c r="V2" s="11" t="s">
        <v>30</v>
      </c>
      <c r="W2" s="6" t="s">
        <v>31</v>
      </c>
      <c r="X2" s="6">
        <v>0.0</v>
      </c>
      <c r="Y2" s="6" t="s">
        <v>32</v>
      </c>
      <c r="Z2" s="6" t="s">
        <v>33</v>
      </c>
      <c r="AA2" s="8" t="s">
        <v>34</v>
      </c>
      <c r="AB2" s="8" t="s">
        <v>35</v>
      </c>
      <c r="AC2" s="11" t="str">
        <f t="shared" ref="AC2:AC24" si="7">HYPERLINK(V2,"link")</f>
        <v>link</v>
      </c>
    </row>
    <row r="3">
      <c r="A3" s="13">
        <v>2.0</v>
      </c>
      <c r="B3" s="14">
        <v>0.793800694445963</v>
      </c>
      <c r="C3" s="14">
        <v>0.7934534722237407</v>
      </c>
      <c r="D3" s="51">
        <f t="shared" si="1"/>
        <v>0.79310625</v>
      </c>
      <c r="E3" s="51">
        <f t="shared" si="2"/>
        <v>0.0004143402766</v>
      </c>
      <c r="F3" s="52">
        <f t="shared" si="3"/>
        <v>0.0004557870386</v>
      </c>
      <c r="G3" s="13" t="s">
        <v>37</v>
      </c>
      <c r="H3" s="13" t="s">
        <v>24</v>
      </c>
      <c r="I3" s="15" t="s">
        <v>38</v>
      </c>
      <c r="J3" s="13">
        <v>2.0</v>
      </c>
      <c r="K3" s="16">
        <v>0.7958333333333333</v>
      </c>
      <c r="L3" s="16">
        <f t="shared" si="4"/>
        <v>0.00318287037</v>
      </c>
      <c r="M3" s="13" t="s">
        <v>26</v>
      </c>
      <c r="N3" s="13" t="s">
        <v>27</v>
      </c>
      <c r="O3" s="13">
        <v>25.9</v>
      </c>
      <c r="P3" s="53">
        <v>2499.868</v>
      </c>
      <c r="Q3" s="13" t="s">
        <v>39</v>
      </c>
      <c r="R3" s="13" t="s">
        <v>29</v>
      </c>
      <c r="S3" s="17">
        <v>0.7992824074074074</v>
      </c>
      <c r="T3" s="17">
        <f t="shared" si="5"/>
        <v>0.006631944444</v>
      </c>
      <c r="U3" s="17">
        <f t="shared" si="6"/>
        <v>0.003449074074</v>
      </c>
      <c r="V3" s="18" t="s">
        <v>40</v>
      </c>
      <c r="W3" s="13" t="s">
        <v>31</v>
      </c>
      <c r="X3" s="13">
        <v>0.0</v>
      </c>
      <c r="Y3" s="13" t="s">
        <v>41</v>
      </c>
      <c r="Z3" s="13" t="s">
        <v>33</v>
      </c>
      <c r="AA3" s="15" t="s">
        <v>42</v>
      </c>
      <c r="AB3" s="15" t="s">
        <v>43</v>
      </c>
      <c r="AC3" s="18" t="str">
        <f t="shared" si="7"/>
        <v>link</v>
      </c>
    </row>
    <row r="4">
      <c r="A4" s="6">
        <v>3.0</v>
      </c>
      <c r="B4" s="7">
        <v>0.7942150347225834</v>
      </c>
      <c r="C4" s="7">
        <v>0.7938678125003611</v>
      </c>
      <c r="D4" s="48">
        <f t="shared" si="1"/>
        <v>0.7935205903</v>
      </c>
      <c r="E4" s="48">
        <f t="shared" si="2"/>
        <v>0.001024953701</v>
      </c>
      <c r="F4" s="49">
        <f t="shared" si="3"/>
        <v>0.0008701273152</v>
      </c>
      <c r="G4" s="6" t="s">
        <v>44</v>
      </c>
      <c r="H4" s="6" t="s">
        <v>24</v>
      </c>
      <c r="I4" s="8" t="s">
        <v>45</v>
      </c>
      <c r="J4" s="6">
        <v>3.0</v>
      </c>
      <c r="K4" s="9">
        <v>0.79375</v>
      </c>
      <c r="L4" s="9">
        <f t="shared" si="4"/>
        <v>0.001099537037</v>
      </c>
      <c r="M4" s="6" t="s">
        <v>26</v>
      </c>
      <c r="N4" s="6" t="s">
        <v>27</v>
      </c>
      <c r="O4" s="6">
        <v>1.04</v>
      </c>
      <c r="P4" s="50">
        <v>100.3808</v>
      </c>
      <c r="Q4" s="6" t="s">
        <v>28</v>
      </c>
      <c r="R4" s="6" t="s">
        <v>29</v>
      </c>
      <c r="S4" s="10">
        <v>0.7958449074074074</v>
      </c>
      <c r="T4" s="10">
        <f t="shared" si="5"/>
        <v>0.003194444444</v>
      </c>
      <c r="U4" s="10">
        <f t="shared" si="6"/>
        <v>0.002094907407</v>
      </c>
      <c r="V4" s="11" t="s">
        <v>46</v>
      </c>
      <c r="W4" s="6" t="s">
        <v>31</v>
      </c>
      <c r="X4" s="6">
        <v>0.0</v>
      </c>
      <c r="Y4" s="6" t="s">
        <v>41</v>
      </c>
      <c r="Z4" s="6" t="s">
        <v>33</v>
      </c>
      <c r="AA4" s="8" t="s">
        <v>47</v>
      </c>
      <c r="AB4" s="8" t="s">
        <v>48</v>
      </c>
      <c r="AC4" s="11" t="str">
        <f t="shared" si="7"/>
        <v>link</v>
      </c>
    </row>
    <row r="5">
      <c r="A5" s="13">
        <v>4.0</v>
      </c>
      <c r="B5" s="14">
        <v>0.7952399884234183</v>
      </c>
      <c r="C5" s="14">
        <v>0.794892766201196</v>
      </c>
      <c r="D5" s="51">
        <f t="shared" si="1"/>
        <v>0.794545544</v>
      </c>
      <c r="E5" s="51">
        <f t="shared" si="2"/>
        <v>0.0007733101884</v>
      </c>
      <c r="F5" s="52">
        <f t="shared" si="3"/>
        <v>0.001895081016</v>
      </c>
      <c r="G5" s="13" t="s">
        <v>49</v>
      </c>
      <c r="H5" s="13" t="s">
        <v>24</v>
      </c>
      <c r="I5" s="15" t="s">
        <v>50</v>
      </c>
      <c r="J5" s="13">
        <v>1.0</v>
      </c>
      <c r="K5" s="16">
        <v>0.7951388888888888</v>
      </c>
      <c r="L5" s="16">
        <f t="shared" si="4"/>
        <v>0.002488425926</v>
      </c>
      <c r="M5" s="13" t="s">
        <v>36</v>
      </c>
      <c r="N5" s="13" t="s">
        <v>27</v>
      </c>
      <c r="O5" s="13">
        <v>5.86</v>
      </c>
      <c r="P5" s="53">
        <f>O5*85.325</f>
        <v>500.0045</v>
      </c>
      <c r="Q5" s="13" t="s">
        <v>28</v>
      </c>
      <c r="R5" s="13" t="s">
        <v>29</v>
      </c>
      <c r="S5" s="17">
        <v>0.7974074074074075</v>
      </c>
      <c r="T5" s="17">
        <f t="shared" si="5"/>
        <v>0.004756944444</v>
      </c>
      <c r="U5" s="17">
        <f t="shared" si="6"/>
        <v>0.002268518519</v>
      </c>
      <c r="V5" s="18" t="s">
        <v>51</v>
      </c>
      <c r="W5" s="13" t="s">
        <v>52</v>
      </c>
      <c r="X5" s="13">
        <v>1.0</v>
      </c>
      <c r="Y5" s="13" t="s">
        <v>41</v>
      </c>
      <c r="Z5" s="13" t="s">
        <v>33</v>
      </c>
      <c r="AA5" s="15" t="s">
        <v>53</v>
      </c>
      <c r="AB5" s="15" t="s">
        <v>54</v>
      </c>
      <c r="AC5" s="18" t="str">
        <f t="shared" si="7"/>
        <v>link</v>
      </c>
    </row>
    <row r="6">
      <c r="A6" s="6">
        <v>5.0</v>
      </c>
      <c r="B6" s="7">
        <v>0.7960132986117969</v>
      </c>
      <c r="C6" s="7">
        <v>0.7956660763895747</v>
      </c>
      <c r="D6" s="48">
        <f t="shared" si="1"/>
        <v>0.7953188542</v>
      </c>
      <c r="E6" s="48">
        <f t="shared" si="2"/>
        <v>0.0008311111087</v>
      </c>
      <c r="F6" s="49">
        <f t="shared" si="3"/>
        <v>0.002668391204</v>
      </c>
      <c r="G6" s="6" t="s">
        <v>23</v>
      </c>
      <c r="H6" s="6" t="s">
        <v>24</v>
      </c>
      <c r="I6" s="8" t="s">
        <v>55</v>
      </c>
      <c r="J6" s="6">
        <v>2.0</v>
      </c>
      <c r="K6" s="9">
        <v>0.7972222222222223</v>
      </c>
      <c r="L6" s="9">
        <f t="shared" si="4"/>
        <v>0.004571759259</v>
      </c>
      <c r="M6" s="6" t="s">
        <v>26</v>
      </c>
      <c r="N6" s="6" t="s">
        <v>27</v>
      </c>
      <c r="O6" s="6">
        <v>2.59</v>
      </c>
      <c r="P6" s="50">
        <v>249.9868</v>
      </c>
      <c r="Q6" s="6" t="s">
        <v>28</v>
      </c>
      <c r="R6" s="6" t="s">
        <v>29</v>
      </c>
      <c r="S6" s="10">
        <v>0.7977199074074074</v>
      </c>
      <c r="T6" s="10">
        <f t="shared" si="5"/>
        <v>0.005069444444</v>
      </c>
      <c r="U6" s="10">
        <f t="shared" si="6"/>
        <v>0.0004976851852</v>
      </c>
      <c r="V6" s="11" t="s">
        <v>56</v>
      </c>
      <c r="W6" s="6" t="s">
        <v>31</v>
      </c>
      <c r="X6" s="6">
        <v>0.0</v>
      </c>
      <c r="Y6" s="6" t="s">
        <v>41</v>
      </c>
      <c r="Z6" s="6" t="s">
        <v>57</v>
      </c>
      <c r="AA6" s="8" t="s">
        <v>58</v>
      </c>
      <c r="AB6" s="8" t="s">
        <v>59</v>
      </c>
      <c r="AC6" s="11" t="str">
        <f t="shared" si="7"/>
        <v>link</v>
      </c>
    </row>
    <row r="7">
      <c r="A7" s="13">
        <v>6.0</v>
      </c>
      <c r="B7" s="14">
        <v>0.7968444097205065</v>
      </c>
      <c r="C7" s="14">
        <v>0.7964971874982842</v>
      </c>
      <c r="D7" s="51">
        <f t="shared" si="1"/>
        <v>0.7961499653</v>
      </c>
      <c r="E7" s="51">
        <f t="shared" si="2"/>
        <v>0.00002557870175</v>
      </c>
      <c r="F7" s="52">
        <f t="shared" si="3"/>
        <v>0.003499502313</v>
      </c>
      <c r="G7" s="13" t="s">
        <v>37</v>
      </c>
      <c r="H7" s="13" t="s">
        <v>24</v>
      </c>
      <c r="I7" s="15" t="s">
        <v>60</v>
      </c>
      <c r="J7" s="13">
        <v>3.0</v>
      </c>
      <c r="K7" s="16">
        <v>0.7979166666666667</v>
      </c>
      <c r="L7" s="16">
        <f t="shared" si="4"/>
        <v>0.005266203704</v>
      </c>
      <c r="M7" s="13" t="s">
        <v>26</v>
      </c>
      <c r="N7" s="13" t="s">
        <v>27</v>
      </c>
      <c r="O7" s="13">
        <v>20.73</v>
      </c>
      <c r="P7" s="53">
        <v>2000.0</v>
      </c>
      <c r="Q7" s="13" t="s">
        <v>39</v>
      </c>
      <c r="R7" s="13" t="s">
        <v>29</v>
      </c>
      <c r="S7" s="17">
        <v>0.8000925925925926</v>
      </c>
      <c r="T7" s="17">
        <f t="shared" si="5"/>
        <v>0.00744212963</v>
      </c>
      <c r="U7" s="17">
        <f t="shared" si="6"/>
        <v>0.002175925926</v>
      </c>
      <c r="V7" s="18" t="s">
        <v>61</v>
      </c>
      <c r="W7" s="13" t="s">
        <v>31</v>
      </c>
      <c r="X7" s="13">
        <v>3.0</v>
      </c>
      <c r="Y7" s="13" t="s">
        <v>32</v>
      </c>
      <c r="Z7" s="13" t="s">
        <v>57</v>
      </c>
      <c r="AA7" s="15" t="s">
        <v>42</v>
      </c>
      <c r="AB7" s="15" t="s">
        <v>62</v>
      </c>
      <c r="AC7" s="18" t="str">
        <f t="shared" si="7"/>
        <v>link</v>
      </c>
    </row>
    <row r="8">
      <c r="A8" s="6">
        <v>7.0</v>
      </c>
      <c r="B8" s="7">
        <v>0.7968699884222588</v>
      </c>
      <c r="C8" s="7">
        <v>0.7965227662000365</v>
      </c>
      <c r="D8" s="48">
        <f t="shared" si="1"/>
        <v>0.796175544</v>
      </c>
      <c r="E8" s="48">
        <f t="shared" si="2"/>
        <v>0.00005547454202</v>
      </c>
      <c r="F8" s="49">
        <f t="shared" si="3"/>
        <v>0.003525081015</v>
      </c>
      <c r="G8" s="6" t="s">
        <v>23</v>
      </c>
      <c r="H8" s="6" t="s">
        <v>24</v>
      </c>
      <c r="I8" s="8" t="s">
        <v>63</v>
      </c>
      <c r="J8" s="6">
        <v>4.0</v>
      </c>
      <c r="K8" s="9">
        <v>0.7979166666666667</v>
      </c>
      <c r="L8" s="9">
        <f t="shared" si="4"/>
        <v>0.005266203704</v>
      </c>
      <c r="M8" s="6" t="s">
        <v>26</v>
      </c>
      <c r="N8" s="6" t="s">
        <v>27</v>
      </c>
      <c r="O8" s="6">
        <v>1.04</v>
      </c>
      <c r="P8" s="50">
        <v>99.99600000000001</v>
      </c>
      <c r="Q8" s="6" t="s">
        <v>39</v>
      </c>
      <c r="R8" s="6" t="s">
        <v>29</v>
      </c>
      <c r="S8" s="10">
        <v>0.7983217592592593</v>
      </c>
      <c r="T8" s="10">
        <f t="shared" si="5"/>
        <v>0.005671296296</v>
      </c>
      <c r="U8" s="10">
        <f t="shared" si="6"/>
        <v>0.0004050925926</v>
      </c>
      <c r="V8" s="11" t="s">
        <v>64</v>
      </c>
      <c r="W8" s="6" t="s">
        <v>31</v>
      </c>
      <c r="X8" s="21" t="s">
        <v>65</v>
      </c>
      <c r="Y8" s="21" t="s">
        <v>65</v>
      </c>
      <c r="Z8" s="6" t="s">
        <v>33</v>
      </c>
      <c r="AA8" s="8" t="s">
        <v>65</v>
      </c>
      <c r="AB8" s="22"/>
      <c r="AC8" s="11" t="str">
        <f t="shared" si="7"/>
        <v>link</v>
      </c>
    </row>
    <row r="9">
      <c r="A9" s="13">
        <v>8.0</v>
      </c>
      <c r="B9" s="14">
        <v>0.7969254629642819</v>
      </c>
      <c r="C9" s="14">
        <v>0.7965782407420596</v>
      </c>
      <c r="D9" s="51">
        <f t="shared" si="1"/>
        <v>0.7962310185</v>
      </c>
      <c r="E9" s="51">
        <f t="shared" si="2"/>
        <v>0.001510289352</v>
      </c>
      <c r="F9" s="52">
        <f t="shared" si="3"/>
        <v>0.003580555557</v>
      </c>
      <c r="G9" s="13" t="s">
        <v>37</v>
      </c>
      <c r="H9" s="13" t="s">
        <v>24</v>
      </c>
      <c r="I9" s="15" t="s">
        <v>66</v>
      </c>
      <c r="J9" s="13">
        <v>2.0</v>
      </c>
      <c r="K9" s="16">
        <v>0.7979166666666667</v>
      </c>
      <c r="L9" s="16">
        <f t="shared" si="4"/>
        <v>0.005266203704</v>
      </c>
      <c r="M9" s="13" t="s">
        <v>26</v>
      </c>
      <c r="N9" s="13" t="s">
        <v>27</v>
      </c>
      <c r="O9" s="13">
        <v>19.7</v>
      </c>
      <c r="P9" s="53">
        <v>1900.0</v>
      </c>
      <c r="Q9" s="13" t="s">
        <v>67</v>
      </c>
      <c r="R9" s="13" t="s">
        <v>29</v>
      </c>
      <c r="S9" s="17">
        <v>0.8001851851851852</v>
      </c>
      <c r="T9" s="17">
        <f t="shared" si="5"/>
        <v>0.007534722222</v>
      </c>
      <c r="U9" s="17">
        <f t="shared" si="6"/>
        <v>0.002268518519</v>
      </c>
      <c r="V9" s="18" t="s">
        <v>68</v>
      </c>
      <c r="W9" s="13" t="s">
        <v>31</v>
      </c>
      <c r="X9" s="13">
        <v>0.0</v>
      </c>
      <c r="Y9" s="13" t="s">
        <v>32</v>
      </c>
      <c r="Z9" s="13" t="s">
        <v>33</v>
      </c>
      <c r="AA9" s="15" t="s">
        <v>69</v>
      </c>
      <c r="AB9" s="15" t="s">
        <v>69</v>
      </c>
      <c r="AC9" s="18" t="str">
        <f t="shared" si="7"/>
        <v>link</v>
      </c>
    </row>
    <row r="10">
      <c r="A10" s="6">
        <v>9.0</v>
      </c>
      <c r="B10" s="7">
        <v>0.7984357523164363</v>
      </c>
      <c r="C10" s="7">
        <v>0.798088530094214</v>
      </c>
      <c r="D10" s="48">
        <f t="shared" si="1"/>
        <v>0.7977413079</v>
      </c>
      <c r="E10" s="48">
        <f t="shared" si="2"/>
        <v>0.0002317245307</v>
      </c>
      <c r="F10" s="49">
        <f t="shared" si="3"/>
        <v>0.005090844909</v>
      </c>
      <c r="G10" s="6" t="s">
        <v>23</v>
      </c>
      <c r="H10" s="6" t="s">
        <v>24</v>
      </c>
      <c r="I10" s="8" t="s">
        <v>70</v>
      </c>
      <c r="J10" s="6">
        <v>3.0</v>
      </c>
      <c r="K10" s="9">
        <v>0.7993055555555556</v>
      </c>
      <c r="L10" s="9">
        <f t="shared" si="4"/>
        <v>0.006655092593</v>
      </c>
      <c r="M10" s="6" t="s">
        <v>26</v>
      </c>
      <c r="N10" s="6" t="s">
        <v>27</v>
      </c>
      <c r="O10" s="6">
        <v>3.11</v>
      </c>
      <c r="P10" s="50">
        <v>300.17719999999997</v>
      </c>
      <c r="Q10" s="6" t="s">
        <v>28</v>
      </c>
      <c r="R10" s="6" t="s">
        <v>29</v>
      </c>
      <c r="S10" s="10">
        <v>0.7999884259259259</v>
      </c>
      <c r="T10" s="10">
        <f t="shared" si="5"/>
        <v>0.007337962963</v>
      </c>
      <c r="U10" s="10">
        <f t="shared" si="6"/>
        <v>0.0006828703704</v>
      </c>
      <c r="V10" s="11" t="s">
        <v>71</v>
      </c>
      <c r="W10" s="6" t="s">
        <v>31</v>
      </c>
      <c r="X10" s="6">
        <v>9.0</v>
      </c>
      <c r="Y10" s="6" t="s">
        <v>41</v>
      </c>
      <c r="Z10" s="6" t="s">
        <v>33</v>
      </c>
      <c r="AA10" s="8" t="s">
        <v>72</v>
      </c>
      <c r="AB10" s="8" t="s">
        <v>73</v>
      </c>
      <c r="AC10" s="11" t="str">
        <f t="shared" si="7"/>
        <v>link</v>
      </c>
    </row>
    <row r="11">
      <c r="A11" s="13">
        <v>10.0</v>
      </c>
      <c r="B11" s="14">
        <v>0.7986674768471858</v>
      </c>
      <c r="C11" s="14">
        <v>0.7983202546249635</v>
      </c>
      <c r="D11" s="51">
        <f t="shared" si="1"/>
        <v>0.7979730324</v>
      </c>
      <c r="E11" s="51">
        <f t="shared" si="2"/>
        <v>0.0007478935222</v>
      </c>
      <c r="F11" s="52">
        <f t="shared" si="3"/>
        <v>0.00532256944</v>
      </c>
      <c r="G11" s="13" t="s">
        <v>44</v>
      </c>
      <c r="H11" s="13" t="s">
        <v>24</v>
      </c>
      <c r="I11" s="15" t="s">
        <v>74</v>
      </c>
      <c r="J11" s="13">
        <v>2.0</v>
      </c>
      <c r="K11" s="16">
        <v>0.7993055555555556</v>
      </c>
      <c r="L11" s="16">
        <f t="shared" si="4"/>
        <v>0.006655092593</v>
      </c>
      <c r="M11" s="13" t="s">
        <v>26</v>
      </c>
      <c r="N11" s="13" t="s">
        <v>27</v>
      </c>
      <c r="O11" s="13">
        <v>2.07</v>
      </c>
      <c r="P11" s="53">
        <v>199.79639999999998</v>
      </c>
      <c r="Q11" s="13" t="s">
        <v>28</v>
      </c>
      <c r="R11" s="13" t="s">
        <v>29</v>
      </c>
      <c r="S11" s="17">
        <v>0.8006365740740741</v>
      </c>
      <c r="T11" s="17">
        <f t="shared" si="5"/>
        <v>0.007986111111</v>
      </c>
      <c r="U11" s="17">
        <f t="shared" si="6"/>
        <v>0.001331018519</v>
      </c>
      <c r="V11" s="18" t="s">
        <v>75</v>
      </c>
      <c r="W11" s="13" t="s">
        <v>31</v>
      </c>
      <c r="X11" s="23" t="s">
        <v>65</v>
      </c>
      <c r="Y11" s="23" t="s">
        <v>65</v>
      </c>
      <c r="Z11" s="23" t="s">
        <v>57</v>
      </c>
      <c r="AA11" s="24" t="s">
        <v>65</v>
      </c>
      <c r="AB11" s="28"/>
      <c r="AC11" s="27" t="str">
        <f t="shared" si="7"/>
        <v>link</v>
      </c>
    </row>
    <row r="12">
      <c r="A12" s="6">
        <v>11.0</v>
      </c>
      <c r="B12" s="7">
        <v>0.7994153703693883</v>
      </c>
      <c r="C12" s="7">
        <v>0.799068148147166</v>
      </c>
      <c r="D12" s="48">
        <f t="shared" si="1"/>
        <v>0.7987209259</v>
      </c>
      <c r="E12" s="48">
        <f t="shared" si="2"/>
        <v>0.003597129631</v>
      </c>
      <c r="F12" s="49">
        <f t="shared" si="3"/>
        <v>0.006070462962</v>
      </c>
      <c r="G12" s="6" t="s">
        <v>23</v>
      </c>
      <c r="H12" s="6" t="s">
        <v>24</v>
      </c>
      <c r="I12" s="8" t="s">
        <v>76</v>
      </c>
      <c r="J12" s="6">
        <v>3.0</v>
      </c>
      <c r="K12" s="9">
        <v>0.7993055555555556</v>
      </c>
      <c r="L12" s="9">
        <f t="shared" si="4"/>
        <v>0.006655092593</v>
      </c>
      <c r="M12" s="6" t="s">
        <v>26</v>
      </c>
      <c r="N12" s="6" t="s">
        <v>27</v>
      </c>
      <c r="O12" s="6">
        <v>1.04</v>
      </c>
      <c r="P12" s="50">
        <v>100.3808</v>
      </c>
      <c r="Q12" s="6" t="s">
        <v>28</v>
      </c>
      <c r="R12" s="6" t="s">
        <v>29</v>
      </c>
      <c r="S12" s="10">
        <v>0.8009143518518519</v>
      </c>
      <c r="T12" s="10">
        <f t="shared" si="5"/>
        <v>0.008263888889</v>
      </c>
      <c r="U12" s="10">
        <f t="shared" si="6"/>
        <v>0.001608796296</v>
      </c>
      <c r="V12" s="11" t="s">
        <v>77</v>
      </c>
      <c r="W12" s="6" t="s">
        <v>31</v>
      </c>
      <c r="X12" s="6">
        <v>0.0</v>
      </c>
      <c r="Y12" s="6" t="s">
        <v>41</v>
      </c>
      <c r="Z12" s="6" t="s">
        <v>57</v>
      </c>
      <c r="AA12" s="8" t="s">
        <v>78</v>
      </c>
      <c r="AB12" s="8" t="s">
        <v>79</v>
      </c>
      <c r="AC12" s="11" t="str">
        <f t="shared" si="7"/>
        <v>link</v>
      </c>
    </row>
    <row r="13">
      <c r="A13" s="13">
        <v>12.0</v>
      </c>
      <c r="B13" s="14">
        <v>0.8030125000004773</v>
      </c>
      <c r="C13" s="14">
        <v>0.802665277778255</v>
      </c>
      <c r="D13" s="51">
        <f t="shared" si="1"/>
        <v>0.8023180556</v>
      </c>
      <c r="E13" s="51">
        <f t="shared" si="2"/>
        <v>0.0002533217557</v>
      </c>
      <c r="F13" s="52">
        <f t="shared" si="3"/>
        <v>0.009667592593</v>
      </c>
      <c r="G13" s="13" t="s">
        <v>37</v>
      </c>
      <c r="H13" s="13" t="s">
        <v>24</v>
      </c>
      <c r="I13" s="15" t="s">
        <v>80</v>
      </c>
      <c r="J13" s="13">
        <v>2.0</v>
      </c>
      <c r="K13" s="16">
        <v>0.8027777777777778</v>
      </c>
      <c r="L13" s="16">
        <f t="shared" si="4"/>
        <v>0.01012731481</v>
      </c>
      <c r="M13" s="13" t="s">
        <v>26</v>
      </c>
      <c r="N13" s="13" t="s">
        <v>27</v>
      </c>
      <c r="O13" s="13">
        <v>5.18</v>
      </c>
      <c r="P13" s="53">
        <v>499.9736</v>
      </c>
      <c r="Q13" s="13" t="s">
        <v>28</v>
      </c>
      <c r="R13" s="13" t="s">
        <v>29</v>
      </c>
      <c r="S13" s="17">
        <v>0.8039467592592593</v>
      </c>
      <c r="T13" s="17">
        <f t="shared" si="5"/>
        <v>0.0112962963</v>
      </c>
      <c r="U13" s="17">
        <f t="shared" si="6"/>
        <v>0.001168981481</v>
      </c>
      <c r="V13" s="18" t="s">
        <v>81</v>
      </c>
      <c r="W13" s="13" t="s">
        <v>31</v>
      </c>
      <c r="X13" s="13">
        <v>0.0</v>
      </c>
      <c r="Y13" s="13" t="s">
        <v>32</v>
      </c>
      <c r="Z13" s="13" t="s">
        <v>33</v>
      </c>
      <c r="AA13" s="15" t="s">
        <v>42</v>
      </c>
      <c r="AB13" s="15" t="s">
        <v>82</v>
      </c>
      <c r="AC13" s="18" t="str">
        <f t="shared" si="7"/>
        <v>link</v>
      </c>
    </row>
    <row r="14">
      <c r="A14" s="6">
        <v>13.0</v>
      </c>
      <c r="B14" s="7">
        <v>0.803265821756213</v>
      </c>
      <c r="C14" s="7">
        <v>0.8029185995339907</v>
      </c>
      <c r="D14" s="48">
        <f t="shared" si="1"/>
        <v>0.8025713773</v>
      </c>
      <c r="E14" s="48">
        <f t="shared" si="2"/>
        <v>0.003573807873</v>
      </c>
      <c r="F14" s="49">
        <f t="shared" si="3"/>
        <v>0.009920914349</v>
      </c>
      <c r="G14" s="6" t="s">
        <v>23</v>
      </c>
      <c r="H14" s="6" t="s">
        <v>24</v>
      </c>
      <c r="I14" s="8" t="s">
        <v>83</v>
      </c>
      <c r="J14" s="6">
        <v>3.0</v>
      </c>
      <c r="K14" s="9">
        <v>0.8055555555555556</v>
      </c>
      <c r="L14" s="9">
        <f t="shared" si="4"/>
        <v>0.01290509259</v>
      </c>
      <c r="M14" s="6" t="s">
        <v>26</v>
      </c>
      <c r="N14" s="6" t="s">
        <v>27</v>
      </c>
      <c r="O14" s="6">
        <v>1.04</v>
      </c>
      <c r="P14" s="50">
        <v>99.99600000000001</v>
      </c>
      <c r="Q14" s="6" t="s">
        <v>28</v>
      </c>
      <c r="R14" s="6" t="s">
        <v>29</v>
      </c>
      <c r="S14" s="10">
        <v>0.8067013888888889</v>
      </c>
      <c r="T14" s="10">
        <f t="shared" si="5"/>
        <v>0.01405092593</v>
      </c>
      <c r="U14" s="10">
        <f t="shared" si="6"/>
        <v>0.001145833333</v>
      </c>
      <c r="V14" s="11" t="s">
        <v>84</v>
      </c>
      <c r="W14" s="6" t="s">
        <v>31</v>
      </c>
      <c r="X14" s="6">
        <v>0.0</v>
      </c>
      <c r="Y14" s="6" t="s">
        <v>41</v>
      </c>
      <c r="Z14" s="6" t="s">
        <v>33</v>
      </c>
      <c r="AA14" s="8" t="s">
        <v>34</v>
      </c>
      <c r="AB14" s="8" t="s">
        <v>85</v>
      </c>
      <c r="AC14" s="11" t="str">
        <f t="shared" si="7"/>
        <v>link</v>
      </c>
    </row>
    <row r="15">
      <c r="A15" s="13">
        <v>14.0</v>
      </c>
      <c r="B15" s="14">
        <v>0.806839629629394</v>
      </c>
      <c r="C15" s="14">
        <v>0.8064924074071718</v>
      </c>
      <c r="D15" s="51">
        <f t="shared" si="1"/>
        <v>0.8061451852</v>
      </c>
      <c r="E15" s="51">
        <f t="shared" si="2"/>
        <v>0.0002666435175</v>
      </c>
      <c r="F15" s="52">
        <f t="shared" si="3"/>
        <v>0.01349472222</v>
      </c>
      <c r="G15" s="13" t="s">
        <v>37</v>
      </c>
      <c r="H15" s="13" t="s">
        <v>24</v>
      </c>
      <c r="I15" s="15" t="s">
        <v>86</v>
      </c>
      <c r="J15" s="13">
        <v>3.0</v>
      </c>
      <c r="K15" s="16">
        <v>0.8069444444444445</v>
      </c>
      <c r="L15" s="16">
        <f t="shared" si="4"/>
        <v>0.01429398148</v>
      </c>
      <c r="M15" s="13" t="s">
        <v>26</v>
      </c>
      <c r="N15" s="13" t="s">
        <v>27</v>
      </c>
      <c r="O15" s="13">
        <v>5.18</v>
      </c>
      <c r="P15" s="53">
        <v>499.9736</v>
      </c>
      <c r="Q15" s="13" t="s">
        <v>28</v>
      </c>
      <c r="R15" s="13" t="s">
        <v>29</v>
      </c>
      <c r="S15" s="17">
        <v>0.8078587962962963</v>
      </c>
      <c r="T15" s="17">
        <f t="shared" si="5"/>
        <v>0.01520833333</v>
      </c>
      <c r="U15" s="17">
        <f t="shared" si="6"/>
        <v>0.0009143518519</v>
      </c>
      <c r="V15" s="18" t="s">
        <v>87</v>
      </c>
      <c r="W15" s="13" t="s">
        <v>31</v>
      </c>
      <c r="X15" s="13">
        <v>0.0</v>
      </c>
      <c r="Y15" s="13" t="s">
        <v>41</v>
      </c>
      <c r="Z15" s="13" t="s">
        <v>33</v>
      </c>
      <c r="AA15" s="15" t="s">
        <v>42</v>
      </c>
      <c r="AB15" s="15" t="s">
        <v>88</v>
      </c>
      <c r="AC15" s="18" t="str">
        <f t="shared" si="7"/>
        <v>link</v>
      </c>
    </row>
    <row r="16">
      <c r="A16" s="6">
        <v>15.0</v>
      </c>
      <c r="B16" s="7">
        <v>0.8071062731469283</v>
      </c>
      <c r="C16" s="7">
        <v>0.806759050924706</v>
      </c>
      <c r="D16" s="48">
        <f t="shared" si="1"/>
        <v>0.8064118287</v>
      </c>
      <c r="E16" s="48">
        <f t="shared" si="2"/>
        <v>0.0004400231494</v>
      </c>
      <c r="F16" s="49">
        <f t="shared" si="3"/>
        <v>0.01376136574</v>
      </c>
      <c r="G16" s="6" t="s">
        <v>89</v>
      </c>
      <c r="H16" s="6" t="s">
        <v>24</v>
      </c>
      <c r="I16" s="8" t="s">
        <v>90</v>
      </c>
      <c r="J16" s="6">
        <v>1.0</v>
      </c>
      <c r="K16" s="9">
        <v>0.8076388888888889</v>
      </c>
      <c r="L16" s="9">
        <f t="shared" si="4"/>
        <v>0.01498842593</v>
      </c>
      <c r="M16" s="6" t="s">
        <v>36</v>
      </c>
      <c r="N16" s="6" t="s">
        <v>27</v>
      </c>
      <c r="O16" s="6">
        <v>9.38</v>
      </c>
      <c r="P16" s="50">
        <f>O16*85.325</f>
        <v>800.3485</v>
      </c>
      <c r="Q16" s="6" t="s">
        <v>28</v>
      </c>
      <c r="R16" s="6" t="s">
        <v>29</v>
      </c>
      <c r="S16" s="10">
        <v>0.809537037037037</v>
      </c>
      <c r="T16" s="10">
        <f t="shared" si="5"/>
        <v>0.01688657407</v>
      </c>
      <c r="U16" s="10">
        <f t="shared" si="6"/>
        <v>0.001898148148</v>
      </c>
      <c r="V16" s="11" t="s">
        <v>91</v>
      </c>
      <c r="W16" s="6" t="s">
        <v>31</v>
      </c>
      <c r="X16" s="6">
        <v>0.0</v>
      </c>
      <c r="Y16" s="6" t="s">
        <v>32</v>
      </c>
      <c r="Z16" s="6" t="s">
        <v>33</v>
      </c>
      <c r="AA16" s="8" t="s">
        <v>92</v>
      </c>
      <c r="AB16" s="8" t="s">
        <v>93</v>
      </c>
      <c r="AC16" s="11" t="str">
        <f t="shared" si="7"/>
        <v>link</v>
      </c>
    </row>
    <row r="17">
      <c r="A17" s="13">
        <v>16.0</v>
      </c>
      <c r="B17" s="14">
        <v>0.8075462962962963</v>
      </c>
      <c r="C17" s="14">
        <v>0.807199074074074</v>
      </c>
      <c r="D17" s="51">
        <f t="shared" si="1"/>
        <v>0.8068518519</v>
      </c>
      <c r="E17" s="51">
        <f t="shared" si="2"/>
        <v>0.001070949073</v>
      </c>
      <c r="F17" s="52">
        <f t="shared" si="3"/>
        <v>0.01420138889</v>
      </c>
      <c r="G17" s="13" t="s">
        <v>94</v>
      </c>
      <c r="H17" s="13" t="s">
        <v>24</v>
      </c>
      <c r="I17" s="15" t="s">
        <v>95</v>
      </c>
      <c r="J17" s="13">
        <v>2.0</v>
      </c>
      <c r="K17" s="16">
        <v>0.8076388888888889</v>
      </c>
      <c r="L17" s="16">
        <f t="shared" si="4"/>
        <v>0.01498842593</v>
      </c>
      <c r="M17" s="13" t="s">
        <v>26</v>
      </c>
      <c r="N17" s="13" t="s">
        <v>27</v>
      </c>
      <c r="O17" s="13">
        <v>1.04</v>
      </c>
      <c r="P17" s="53">
        <v>100.3808</v>
      </c>
      <c r="Q17" s="13" t="s">
        <v>28</v>
      </c>
      <c r="R17" s="13" t="s">
        <v>29</v>
      </c>
      <c r="S17" s="17">
        <v>0.8083912037037037</v>
      </c>
      <c r="T17" s="17">
        <f t="shared" si="5"/>
        <v>0.01574074074</v>
      </c>
      <c r="U17" s="17">
        <f t="shared" si="6"/>
        <v>0.0007523148148</v>
      </c>
      <c r="V17" s="18" t="s">
        <v>96</v>
      </c>
      <c r="W17" s="13" t="s">
        <v>31</v>
      </c>
      <c r="X17" s="13">
        <v>0.0</v>
      </c>
      <c r="Y17" s="13" t="s">
        <v>41</v>
      </c>
      <c r="Z17" s="13" t="s">
        <v>33</v>
      </c>
      <c r="AA17" s="15" t="s">
        <v>97</v>
      </c>
      <c r="AB17" s="15" t="s">
        <v>98</v>
      </c>
      <c r="AC17" s="18" t="str">
        <f t="shared" si="7"/>
        <v>link</v>
      </c>
    </row>
    <row r="18">
      <c r="A18" s="6">
        <v>17.0</v>
      </c>
      <c r="B18" s="7">
        <v>0.8086172453695326</v>
      </c>
      <c r="C18" s="7">
        <v>0.8082700231473103</v>
      </c>
      <c r="D18" s="48">
        <f t="shared" si="1"/>
        <v>0.8079228009</v>
      </c>
      <c r="E18" s="48">
        <f t="shared" si="2"/>
        <v>0.001313900466</v>
      </c>
      <c r="F18" s="49">
        <f t="shared" si="3"/>
        <v>0.01527233796</v>
      </c>
      <c r="G18" s="6" t="s">
        <v>23</v>
      </c>
      <c r="H18" s="6" t="s">
        <v>24</v>
      </c>
      <c r="I18" s="8" t="s">
        <v>99</v>
      </c>
      <c r="J18" s="6">
        <v>2.0</v>
      </c>
      <c r="K18" s="9">
        <v>0.8083333333333333</v>
      </c>
      <c r="L18" s="9">
        <f t="shared" si="4"/>
        <v>0.01568287037</v>
      </c>
      <c r="M18" s="6" t="s">
        <v>26</v>
      </c>
      <c r="N18" s="6" t="s">
        <v>27</v>
      </c>
      <c r="O18" s="6">
        <v>6.22</v>
      </c>
      <c r="P18" s="50">
        <v>600.3543999999999</v>
      </c>
      <c r="Q18" s="6" t="s">
        <v>28</v>
      </c>
      <c r="R18" s="6" t="s">
        <v>29</v>
      </c>
      <c r="S18" s="10">
        <v>0.81</v>
      </c>
      <c r="T18" s="10">
        <f t="shared" si="5"/>
        <v>0.01734953704</v>
      </c>
      <c r="U18" s="10">
        <f t="shared" si="6"/>
        <v>0.001666666667</v>
      </c>
      <c r="V18" s="11" t="s">
        <v>100</v>
      </c>
      <c r="W18" s="6" t="s">
        <v>31</v>
      </c>
      <c r="X18" s="6">
        <v>0.0</v>
      </c>
      <c r="Y18" s="6" t="s">
        <v>41</v>
      </c>
      <c r="Z18" s="6" t="s">
        <v>101</v>
      </c>
      <c r="AA18" s="8" t="s">
        <v>42</v>
      </c>
      <c r="AB18" s="8" t="s">
        <v>102</v>
      </c>
      <c r="AC18" s="11" t="str">
        <f t="shared" si="7"/>
        <v>link</v>
      </c>
    </row>
    <row r="19">
      <c r="A19" s="13">
        <v>18.0</v>
      </c>
      <c r="B19" s="14">
        <v>0.809931145835435</v>
      </c>
      <c r="C19" s="14">
        <v>0.8095839236132127</v>
      </c>
      <c r="D19" s="51">
        <f t="shared" si="1"/>
        <v>0.8092367014</v>
      </c>
      <c r="E19" s="51">
        <f t="shared" si="2"/>
        <v>0.0000231944432</v>
      </c>
      <c r="F19" s="52">
        <f t="shared" si="3"/>
        <v>0.01658623843</v>
      </c>
      <c r="G19" s="13" t="s">
        <v>23</v>
      </c>
      <c r="H19" s="13" t="s">
        <v>24</v>
      </c>
      <c r="I19" s="15" t="s">
        <v>103</v>
      </c>
      <c r="J19" s="13">
        <v>2.0</v>
      </c>
      <c r="K19" s="16">
        <v>0.8090277777777778</v>
      </c>
      <c r="L19" s="16">
        <f t="shared" si="4"/>
        <v>0.01637731481</v>
      </c>
      <c r="M19" s="13" t="s">
        <v>26</v>
      </c>
      <c r="N19" s="13" t="s">
        <v>27</v>
      </c>
      <c r="O19" s="13">
        <v>1.97</v>
      </c>
      <c r="P19" s="53">
        <v>190.1444</v>
      </c>
      <c r="Q19" s="13" t="s">
        <v>28</v>
      </c>
      <c r="R19" s="13" t="s">
        <v>29</v>
      </c>
      <c r="S19" s="17">
        <v>0.81</v>
      </c>
      <c r="T19" s="17">
        <f t="shared" si="5"/>
        <v>0.01734953704</v>
      </c>
      <c r="U19" s="17">
        <f t="shared" si="6"/>
        <v>0.0009722222222</v>
      </c>
      <c r="V19" s="18" t="s">
        <v>104</v>
      </c>
      <c r="W19" s="13" t="s">
        <v>31</v>
      </c>
      <c r="X19" s="13">
        <v>0.0</v>
      </c>
      <c r="Y19" s="13" t="s">
        <v>41</v>
      </c>
      <c r="Z19" s="13" t="s">
        <v>33</v>
      </c>
      <c r="AA19" s="15" t="s">
        <v>105</v>
      </c>
      <c r="AB19" s="15" t="s">
        <v>106</v>
      </c>
      <c r="AC19" s="18" t="str">
        <f t="shared" si="7"/>
        <v>link</v>
      </c>
    </row>
    <row r="20">
      <c r="A20" s="6">
        <v>19.0</v>
      </c>
      <c r="B20" s="7">
        <v>0.8099543402786367</v>
      </c>
      <c r="C20" s="7">
        <v>0.8096071180564144</v>
      </c>
      <c r="D20" s="48">
        <f t="shared" si="1"/>
        <v>0.8092598958</v>
      </c>
      <c r="E20" s="48">
        <f t="shared" si="2"/>
        <v>0.0006516898138</v>
      </c>
      <c r="F20" s="49">
        <f t="shared" si="3"/>
        <v>0.01660943287</v>
      </c>
      <c r="G20" s="6" t="s">
        <v>37</v>
      </c>
      <c r="H20" s="6" t="s">
        <v>24</v>
      </c>
      <c r="I20" s="8" t="s">
        <v>107</v>
      </c>
      <c r="J20" s="6">
        <v>2.0</v>
      </c>
      <c r="K20" s="9">
        <v>0.8097222222222222</v>
      </c>
      <c r="L20" s="9">
        <f t="shared" si="4"/>
        <v>0.01707175926</v>
      </c>
      <c r="M20" s="6" t="s">
        <v>26</v>
      </c>
      <c r="N20" s="6" t="s">
        <v>27</v>
      </c>
      <c r="O20" s="6">
        <v>5.18</v>
      </c>
      <c r="P20" s="50">
        <v>499.9736</v>
      </c>
      <c r="Q20" s="6" t="s">
        <v>28</v>
      </c>
      <c r="R20" s="6" t="s">
        <v>29</v>
      </c>
      <c r="S20" s="10">
        <v>0.8109375</v>
      </c>
      <c r="T20" s="10">
        <f t="shared" si="5"/>
        <v>0.01828703704</v>
      </c>
      <c r="U20" s="10">
        <f t="shared" si="6"/>
        <v>0.001215277778</v>
      </c>
      <c r="V20" s="11" t="s">
        <v>108</v>
      </c>
      <c r="W20" s="6" t="s">
        <v>31</v>
      </c>
      <c r="X20" s="6">
        <v>0.0</v>
      </c>
      <c r="Y20" s="6" t="s">
        <v>41</v>
      </c>
      <c r="Z20" s="6" t="s">
        <v>33</v>
      </c>
      <c r="AA20" s="8" t="s">
        <v>42</v>
      </c>
      <c r="AB20" s="8" t="s">
        <v>109</v>
      </c>
      <c r="AC20" s="11" t="str">
        <f t="shared" si="7"/>
        <v>link</v>
      </c>
    </row>
    <row r="21">
      <c r="A21" s="13">
        <v>20.0</v>
      </c>
      <c r="B21" s="14">
        <v>0.8106060300924582</v>
      </c>
      <c r="C21" s="14">
        <v>0.810258807870236</v>
      </c>
      <c r="D21" s="51">
        <f t="shared" si="1"/>
        <v>0.8099115856</v>
      </c>
      <c r="E21" s="51">
        <f t="shared" si="2"/>
        <v>0.0002543634255</v>
      </c>
      <c r="F21" s="52">
        <f t="shared" si="3"/>
        <v>0.01726112269</v>
      </c>
      <c r="G21" s="13" t="s">
        <v>23</v>
      </c>
      <c r="H21" s="13" t="s">
        <v>24</v>
      </c>
      <c r="I21" s="15" t="s">
        <v>110</v>
      </c>
      <c r="J21" s="13">
        <v>2.0</v>
      </c>
      <c r="K21" s="16">
        <v>0.8104166666666667</v>
      </c>
      <c r="L21" s="16">
        <f t="shared" si="4"/>
        <v>0.0177662037</v>
      </c>
      <c r="M21" s="13" t="s">
        <v>26</v>
      </c>
      <c r="N21" s="13" t="s">
        <v>27</v>
      </c>
      <c r="O21" s="13">
        <v>2.07</v>
      </c>
      <c r="P21" s="53">
        <v>200.0</v>
      </c>
      <c r="Q21" s="13" t="s">
        <v>39</v>
      </c>
      <c r="R21" s="13" t="s">
        <v>29</v>
      </c>
      <c r="S21" s="17">
        <v>0.8120717592592592</v>
      </c>
      <c r="T21" s="17">
        <f t="shared" si="5"/>
        <v>0.0194212963</v>
      </c>
      <c r="U21" s="17">
        <f t="shared" si="6"/>
        <v>0.001655092593</v>
      </c>
      <c r="V21" s="18" t="s">
        <v>111</v>
      </c>
      <c r="W21" s="13" t="s">
        <v>31</v>
      </c>
      <c r="X21" s="13">
        <v>0.0</v>
      </c>
      <c r="Y21" s="13" t="s">
        <v>41</v>
      </c>
      <c r="Z21" s="13" t="s">
        <v>33</v>
      </c>
      <c r="AA21" s="15" t="s">
        <v>112</v>
      </c>
      <c r="AB21" s="15" t="s">
        <v>113</v>
      </c>
      <c r="AC21" s="18" t="str">
        <f t="shared" si="7"/>
        <v>link</v>
      </c>
    </row>
    <row r="22">
      <c r="A22" s="6">
        <v>21.0</v>
      </c>
      <c r="B22" s="7">
        <v>0.8108603935179417</v>
      </c>
      <c r="C22" s="7">
        <v>0.8105131712957194</v>
      </c>
      <c r="D22" s="48">
        <f t="shared" si="1"/>
        <v>0.8101659491</v>
      </c>
      <c r="E22" s="48">
        <f t="shared" si="2"/>
        <v>0.0006694907424</v>
      </c>
      <c r="F22" s="49">
        <f t="shared" si="3"/>
        <v>0.01751548611</v>
      </c>
      <c r="G22" s="6" t="s">
        <v>37</v>
      </c>
      <c r="H22" s="6" t="s">
        <v>24</v>
      </c>
      <c r="I22" s="8" t="s">
        <v>114</v>
      </c>
      <c r="J22" s="6">
        <v>2.0</v>
      </c>
      <c r="K22" s="9">
        <v>0.8111111111111111</v>
      </c>
      <c r="L22" s="9">
        <f t="shared" si="4"/>
        <v>0.01846064815</v>
      </c>
      <c r="M22" s="6" t="s">
        <v>26</v>
      </c>
      <c r="N22" s="6" t="s">
        <v>27</v>
      </c>
      <c r="O22" s="6">
        <v>5.18</v>
      </c>
      <c r="P22" s="50">
        <v>499.9736</v>
      </c>
      <c r="Q22" s="6" t="s">
        <v>28</v>
      </c>
      <c r="R22" s="6" t="s">
        <v>29</v>
      </c>
      <c r="S22" s="10">
        <v>0.8121759259259259</v>
      </c>
      <c r="T22" s="10">
        <f t="shared" si="5"/>
        <v>0.01952546296</v>
      </c>
      <c r="U22" s="10">
        <f t="shared" si="6"/>
        <v>0.001064814815</v>
      </c>
      <c r="V22" s="11" t="s">
        <v>115</v>
      </c>
      <c r="W22" s="6" t="s">
        <v>31</v>
      </c>
      <c r="X22" s="6">
        <v>1.0</v>
      </c>
      <c r="Y22" s="6" t="s">
        <v>32</v>
      </c>
      <c r="Z22" s="6" t="s">
        <v>33</v>
      </c>
      <c r="AA22" s="8" t="s">
        <v>116</v>
      </c>
      <c r="AB22" s="8" t="s">
        <v>117</v>
      </c>
      <c r="AC22" s="11" t="str">
        <f t="shared" si="7"/>
        <v>link</v>
      </c>
    </row>
    <row r="23">
      <c r="A23" s="13">
        <v>22.0</v>
      </c>
      <c r="B23" s="14">
        <v>0.8115298842603806</v>
      </c>
      <c r="C23" s="14">
        <v>0.8111826620381584</v>
      </c>
      <c r="D23" s="51">
        <f t="shared" si="1"/>
        <v>0.8108354398</v>
      </c>
      <c r="E23" s="51">
        <f t="shared" si="2"/>
        <v>0.0001160648098</v>
      </c>
      <c r="F23" s="52">
        <f t="shared" si="3"/>
        <v>0.01818497685</v>
      </c>
      <c r="G23" s="13" t="s">
        <v>37</v>
      </c>
      <c r="H23" s="13" t="s">
        <v>24</v>
      </c>
      <c r="I23" s="15" t="s">
        <v>118</v>
      </c>
      <c r="J23" s="13">
        <v>2.0</v>
      </c>
      <c r="K23" s="16">
        <v>0.8118055555555556</v>
      </c>
      <c r="L23" s="16">
        <f t="shared" si="4"/>
        <v>0.01915509259</v>
      </c>
      <c r="M23" s="13" t="s">
        <v>26</v>
      </c>
      <c r="N23" s="13" t="s">
        <v>27</v>
      </c>
      <c r="O23" s="13">
        <v>20.73</v>
      </c>
      <c r="P23" s="53">
        <v>2000.0</v>
      </c>
      <c r="Q23" s="13" t="s">
        <v>28</v>
      </c>
      <c r="R23" s="13" t="s">
        <v>29</v>
      </c>
      <c r="S23" s="17">
        <v>0.816875</v>
      </c>
      <c r="T23" s="17">
        <f t="shared" si="5"/>
        <v>0.02422453704</v>
      </c>
      <c r="U23" s="17">
        <f t="shared" si="6"/>
        <v>0.005069444444</v>
      </c>
      <c r="V23" s="18" t="s">
        <v>119</v>
      </c>
      <c r="W23" s="13" t="s">
        <v>31</v>
      </c>
      <c r="X23" s="34">
        <v>0.0</v>
      </c>
      <c r="Y23" s="34" t="s">
        <v>41</v>
      </c>
      <c r="Z23" s="29" t="s">
        <v>33</v>
      </c>
      <c r="AA23" s="30" t="s">
        <v>42</v>
      </c>
      <c r="AB23" s="30" t="s">
        <v>120</v>
      </c>
      <c r="AC23" s="33" t="str">
        <f t="shared" si="7"/>
        <v>link</v>
      </c>
    </row>
    <row r="24">
      <c r="A24" s="6">
        <v>23.0</v>
      </c>
      <c r="B24" s="7">
        <v>0.8116459490702255</v>
      </c>
      <c r="C24" s="7">
        <v>0.8112987268480032</v>
      </c>
      <c r="D24" s="48">
        <f t="shared" si="1"/>
        <v>0.8109515046</v>
      </c>
      <c r="E24" s="48">
        <f t="shared" si="2"/>
        <v>0.0007116898196</v>
      </c>
      <c r="F24" s="49">
        <f t="shared" si="3"/>
        <v>0.01830104166</v>
      </c>
      <c r="G24" s="6" t="s">
        <v>37</v>
      </c>
      <c r="H24" s="6" t="s">
        <v>24</v>
      </c>
      <c r="I24" s="8" t="s">
        <v>121</v>
      </c>
      <c r="J24" s="6">
        <v>2.0</v>
      </c>
      <c r="K24" s="9">
        <v>0.8125</v>
      </c>
      <c r="L24" s="9">
        <f t="shared" si="4"/>
        <v>0.01984953704</v>
      </c>
      <c r="M24" s="6" t="s">
        <v>26</v>
      </c>
      <c r="N24" s="6" t="s">
        <v>27</v>
      </c>
      <c r="O24" s="6">
        <v>32.14</v>
      </c>
      <c r="P24" s="50">
        <v>3100.0</v>
      </c>
      <c r="Q24" s="6" t="s">
        <v>67</v>
      </c>
      <c r="R24" s="6" t="s">
        <v>29</v>
      </c>
      <c r="S24" s="10">
        <v>0.815150462962963</v>
      </c>
      <c r="T24" s="10">
        <f t="shared" si="5"/>
        <v>0.0225</v>
      </c>
      <c r="U24" s="10">
        <f t="shared" si="6"/>
        <v>0.002650462963</v>
      </c>
      <c r="V24" s="11" t="s">
        <v>122</v>
      </c>
      <c r="W24" s="6" t="s">
        <v>31</v>
      </c>
      <c r="X24" s="6">
        <v>0.0</v>
      </c>
      <c r="Y24" s="6" t="s">
        <v>32</v>
      </c>
      <c r="Z24" s="6" t="s">
        <v>33</v>
      </c>
      <c r="AA24" s="8" t="s">
        <v>42</v>
      </c>
      <c r="AB24" s="8" t="s">
        <v>123</v>
      </c>
      <c r="AC24" s="11" t="str">
        <f t="shared" si="7"/>
        <v>link</v>
      </c>
    </row>
    <row r="25">
      <c r="A25" s="13">
        <v>24.0</v>
      </c>
      <c r="B25" s="14">
        <v>0.8123576388898073</v>
      </c>
      <c r="C25" s="14">
        <v>0.812010416667585</v>
      </c>
      <c r="D25" s="51">
        <f t="shared" si="1"/>
        <v>0.8116631944</v>
      </c>
      <c r="E25" s="51">
        <f t="shared" si="2"/>
        <v>0.00002349536953</v>
      </c>
      <c r="F25" s="52">
        <f t="shared" si="3"/>
        <v>0.01901273148</v>
      </c>
      <c r="G25" s="13" t="s">
        <v>23</v>
      </c>
      <c r="H25" s="13" t="s">
        <v>24</v>
      </c>
      <c r="I25" s="15" t="s">
        <v>124</v>
      </c>
      <c r="J25" s="13">
        <v>3.0</v>
      </c>
      <c r="K25" s="16">
        <v>0.8138888888888889</v>
      </c>
      <c r="L25" s="16">
        <f t="shared" si="4"/>
        <v>0.02123842593</v>
      </c>
      <c r="M25" s="13" t="s">
        <v>26</v>
      </c>
      <c r="N25" s="13" t="s">
        <v>27</v>
      </c>
      <c r="O25" s="13">
        <v>5.18</v>
      </c>
      <c r="P25" s="53">
        <v>499.9736</v>
      </c>
      <c r="Q25" s="13" t="s">
        <v>28</v>
      </c>
      <c r="R25" s="13" t="s">
        <v>29</v>
      </c>
      <c r="S25" s="17">
        <v>0.8149421296296296</v>
      </c>
      <c r="T25" s="17">
        <f t="shared" si="5"/>
        <v>0.02229166667</v>
      </c>
      <c r="U25" s="17">
        <f t="shared" si="6"/>
        <v>0.001053240741</v>
      </c>
      <c r="V25" s="18" t="s">
        <v>125</v>
      </c>
      <c r="W25" s="13" t="s">
        <v>31</v>
      </c>
      <c r="X25" s="13">
        <v>13.0</v>
      </c>
      <c r="Y25" s="13" t="s">
        <v>32</v>
      </c>
      <c r="Z25" s="13" t="s">
        <v>33</v>
      </c>
      <c r="AA25" s="15" t="s">
        <v>78</v>
      </c>
      <c r="AB25" s="15" t="s">
        <v>126</v>
      </c>
      <c r="AC25" s="35" t="s">
        <v>127</v>
      </c>
    </row>
    <row r="26">
      <c r="A26" s="6">
        <v>25.0</v>
      </c>
      <c r="B26" s="7">
        <v>0.8123811342593399</v>
      </c>
      <c r="C26" s="7">
        <v>0.8120339120371176</v>
      </c>
      <c r="D26" s="48">
        <f t="shared" si="1"/>
        <v>0.8116866898</v>
      </c>
      <c r="E26" s="48">
        <f t="shared" si="2"/>
        <v>0.0002298379623</v>
      </c>
      <c r="F26" s="49">
        <f t="shared" si="3"/>
        <v>0.01903622685</v>
      </c>
      <c r="G26" s="6" t="s">
        <v>44</v>
      </c>
      <c r="H26" s="6" t="s">
        <v>24</v>
      </c>
      <c r="I26" s="8" t="s">
        <v>128</v>
      </c>
      <c r="J26" s="6">
        <v>4.0</v>
      </c>
      <c r="K26" s="9">
        <v>0.8138888888888889</v>
      </c>
      <c r="L26" s="9">
        <f t="shared" si="4"/>
        <v>0.02123842593</v>
      </c>
      <c r="M26" s="6" t="s">
        <v>26</v>
      </c>
      <c r="N26" s="6" t="s">
        <v>27</v>
      </c>
      <c r="O26" s="6">
        <v>0.8</v>
      </c>
      <c r="P26" s="50">
        <v>80.0</v>
      </c>
      <c r="Q26" s="6" t="s">
        <v>39</v>
      </c>
      <c r="R26" s="6" t="s">
        <v>29</v>
      </c>
      <c r="S26" s="10">
        <v>0.8145370370370371</v>
      </c>
      <c r="T26" s="10">
        <f t="shared" si="5"/>
        <v>0.02188657407</v>
      </c>
      <c r="U26" s="10">
        <f t="shared" si="6"/>
        <v>0.0006481481481</v>
      </c>
      <c r="V26" s="11" t="s">
        <v>129</v>
      </c>
      <c r="W26" s="6" t="s">
        <v>31</v>
      </c>
      <c r="X26" s="34">
        <v>0.0</v>
      </c>
      <c r="Y26" s="34" t="s">
        <v>32</v>
      </c>
      <c r="Z26" s="29" t="s">
        <v>33</v>
      </c>
      <c r="AA26" s="30" t="s">
        <v>42</v>
      </c>
      <c r="AB26" s="30" t="s">
        <v>88</v>
      </c>
      <c r="AC26" s="33" t="str">
        <f t="shared" ref="AC26:AC104" si="8">HYPERLINK(V26,"link")</f>
        <v>link</v>
      </c>
    </row>
    <row r="27">
      <c r="A27" s="13">
        <v>26.0</v>
      </c>
      <c r="B27" s="14">
        <v>0.8126109722215915</v>
      </c>
      <c r="C27" s="14">
        <v>0.8122637499993692</v>
      </c>
      <c r="D27" s="51">
        <f t="shared" si="1"/>
        <v>0.8119165278</v>
      </c>
      <c r="E27" s="51">
        <f t="shared" si="2"/>
        <v>0.0005587731503</v>
      </c>
      <c r="F27" s="52">
        <f t="shared" si="3"/>
        <v>0.01926606481</v>
      </c>
      <c r="G27" s="13" t="s">
        <v>37</v>
      </c>
      <c r="H27" s="13" t="s">
        <v>24</v>
      </c>
      <c r="I27" s="15" t="s">
        <v>130</v>
      </c>
      <c r="J27" s="13">
        <v>3.0</v>
      </c>
      <c r="K27" s="16">
        <v>0.8125</v>
      </c>
      <c r="L27" s="16">
        <f t="shared" si="4"/>
        <v>0.01984953704</v>
      </c>
      <c r="M27" s="13" t="s">
        <v>26</v>
      </c>
      <c r="N27" s="13" t="s">
        <v>27</v>
      </c>
      <c r="O27" s="13">
        <v>2.07</v>
      </c>
      <c r="P27" s="53">
        <v>200.0</v>
      </c>
      <c r="Q27" s="13" t="s">
        <v>39</v>
      </c>
      <c r="R27" s="13" t="s">
        <v>29</v>
      </c>
      <c r="S27" s="17">
        <v>0.8139467592592593</v>
      </c>
      <c r="T27" s="17">
        <f t="shared" si="5"/>
        <v>0.0212962963</v>
      </c>
      <c r="U27" s="17">
        <f t="shared" si="6"/>
        <v>0.001446759259</v>
      </c>
      <c r="V27" s="18" t="s">
        <v>131</v>
      </c>
      <c r="W27" s="13" t="s">
        <v>31</v>
      </c>
      <c r="X27" s="13">
        <v>0.0</v>
      </c>
      <c r="Y27" s="13" t="s">
        <v>32</v>
      </c>
      <c r="Z27" s="13" t="s">
        <v>33</v>
      </c>
      <c r="AA27" s="15" t="s">
        <v>132</v>
      </c>
      <c r="AB27" s="15" t="s">
        <v>133</v>
      </c>
      <c r="AC27" s="18" t="str">
        <f t="shared" si="8"/>
        <v>link</v>
      </c>
    </row>
    <row r="28">
      <c r="A28" s="6">
        <v>27.0</v>
      </c>
      <c r="B28" s="7">
        <v>0.8131697453718516</v>
      </c>
      <c r="C28" s="7">
        <v>0.8128225231496293</v>
      </c>
      <c r="D28" s="48">
        <f t="shared" si="1"/>
        <v>0.8124753009</v>
      </c>
      <c r="E28" s="48">
        <f t="shared" si="2"/>
        <v>0.00008914351201</v>
      </c>
      <c r="F28" s="49">
        <f t="shared" si="3"/>
        <v>0.01982483796</v>
      </c>
      <c r="G28" s="6" t="s">
        <v>37</v>
      </c>
      <c r="H28" s="6" t="s">
        <v>24</v>
      </c>
      <c r="I28" s="8" t="s">
        <v>134</v>
      </c>
      <c r="J28" s="6">
        <v>4.0</v>
      </c>
      <c r="K28" s="9">
        <v>0.8159722222222222</v>
      </c>
      <c r="L28" s="9">
        <f t="shared" si="4"/>
        <v>0.02332175926</v>
      </c>
      <c r="M28" s="6" t="s">
        <v>26</v>
      </c>
      <c r="N28" s="6" t="s">
        <v>27</v>
      </c>
      <c r="O28" s="6">
        <v>5.18</v>
      </c>
      <c r="P28" s="50">
        <v>499.9736</v>
      </c>
      <c r="Q28" s="6" t="s">
        <v>39</v>
      </c>
      <c r="R28" s="6" t="s">
        <v>29</v>
      </c>
      <c r="S28" s="10">
        <v>0.8169675925925926</v>
      </c>
      <c r="T28" s="10">
        <f t="shared" si="5"/>
        <v>0.02431712963</v>
      </c>
      <c r="U28" s="10">
        <f t="shared" si="6"/>
        <v>0.0009953703704</v>
      </c>
      <c r="V28" s="11" t="s">
        <v>135</v>
      </c>
      <c r="W28" s="6" t="s">
        <v>31</v>
      </c>
      <c r="X28" s="6">
        <v>0.0</v>
      </c>
      <c r="Y28" s="6" t="s">
        <v>41</v>
      </c>
      <c r="Z28" s="6" t="s">
        <v>33</v>
      </c>
      <c r="AA28" s="8" t="s">
        <v>42</v>
      </c>
      <c r="AB28" s="8" t="s">
        <v>136</v>
      </c>
      <c r="AC28" s="11" t="str">
        <f t="shared" si="8"/>
        <v>link</v>
      </c>
    </row>
    <row r="29">
      <c r="A29" s="13">
        <v>28.0</v>
      </c>
      <c r="B29" s="14">
        <v>0.8132588888838654</v>
      </c>
      <c r="C29" s="14">
        <v>0.8129116666616432</v>
      </c>
      <c r="D29" s="51">
        <f t="shared" si="1"/>
        <v>0.8125644444</v>
      </c>
      <c r="E29" s="51">
        <f t="shared" si="2"/>
        <v>0.0006017708365</v>
      </c>
      <c r="F29" s="52">
        <f t="shared" si="3"/>
        <v>0.01991398148</v>
      </c>
      <c r="G29" s="13" t="s">
        <v>37</v>
      </c>
      <c r="H29" s="13" t="s">
        <v>24</v>
      </c>
      <c r="I29" s="15" t="s">
        <v>137</v>
      </c>
      <c r="J29" s="13">
        <v>2.0</v>
      </c>
      <c r="K29" s="16">
        <v>0.8145833333333333</v>
      </c>
      <c r="L29" s="16">
        <f t="shared" si="4"/>
        <v>0.02193287037</v>
      </c>
      <c r="M29" s="13" t="s">
        <v>26</v>
      </c>
      <c r="N29" s="13" t="s">
        <v>27</v>
      </c>
      <c r="O29" s="13">
        <v>10.38</v>
      </c>
      <c r="P29" s="53">
        <v>1001.8776</v>
      </c>
      <c r="Q29" s="13" t="s">
        <v>28</v>
      </c>
      <c r="R29" s="13" t="s">
        <v>29</v>
      </c>
      <c r="S29" s="17">
        <v>0.8159259259259259</v>
      </c>
      <c r="T29" s="17">
        <f t="shared" si="5"/>
        <v>0.02327546296</v>
      </c>
      <c r="U29" s="17">
        <f t="shared" si="6"/>
        <v>0.001342592593</v>
      </c>
      <c r="V29" s="18" t="s">
        <v>138</v>
      </c>
      <c r="W29" s="13" t="s">
        <v>31</v>
      </c>
      <c r="X29" s="13">
        <v>0.0</v>
      </c>
      <c r="Y29" s="13" t="s">
        <v>41</v>
      </c>
      <c r="Z29" s="13" t="s">
        <v>33</v>
      </c>
      <c r="AA29" s="15" t="s">
        <v>42</v>
      </c>
      <c r="AB29" s="15" t="s">
        <v>139</v>
      </c>
      <c r="AC29" s="18" t="str">
        <f t="shared" si="8"/>
        <v>link</v>
      </c>
    </row>
    <row r="30">
      <c r="A30" s="6">
        <v>29.0</v>
      </c>
      <c r="B30" s="7">
        <v>0.8138606597203761</v>
      </c>
      <c r="C30" s="7">
        <v>0.8135134374981539</v>
      </c>
      <c r="D30" s="48">
        <f t="shared" si="1"/>
        <v>0.8131662153</v>
      </c>
      <c r="E30" s="48">
        <f t="shared" si="2"/>
        <v>0.00001745370537</v>
      </c>
      <c r="F30" s="49">
        <f t="shared" si="3"/>
        <v>0.02051575231</v>
      </c>
      <c r="G30" s="6" t="s">
        <v>37</v>
      </c>
      <c r="H30" s="6" t="s">
        <v>24</v>
      </c>
      <c r="I30" s="8" t="s">
        <v>140</v>
      </c>
      <c r="J30" s="6">
        <v>1.0</v>
      </c>
      <c r="K30" s="9">
        <v>0.8159722222222222</v>
      </c>
      <c r="L30" s="9">
        <f t="shared" si="4"/>
        <v>0.02332175926</v>
      </c>
      <c r="M30" s="6" t="s">
        <v>36</v>
      </c>
      <c r="N30" s="6" t="s">
        <v>27</v>
      </c>
      <c r="O30" s="6">
        <v>11.72</v>
      </c>
      <c r="P30" s="50">
        <f>O30*85.325</f>
        <v>1000.009</v>
      </c>
      <c r="Q30" s="6" t="s">
        <v>39</v>
      </c>
      <c r="R30" s="6" t="s">
        <v>29</v>
      </c>
      <c r="S30" s="10">
        <v>0.8172453703703704</v>
      </c>
      <c r="T30" s="10">
        <f t="shared" si="5"/>
        <v>0.02459490741</v>
      </c>
      <c r="U30" s="10">
        <f t="shared" si="6"/>
        <v>0.001273148148</v>
      </c>
      <c r="V30" s="11" t="s">
        <v>141</v>
      </c>
      <c r="W30" s="6" t="s">
        <v>31</v>
      </c>
      <c r="X30" s="6">
        <v>0.0</v>
      </c>
      <c r="Y30" s="6" t="s">
        <v>41</v>
      </c>
      <c r="Z30" s="6" t="s">
        <v>142</v>
      </c>
      <c r="AA30" s="8" t="s">
        <v>97</v>
      </c>
      <c r="AB30" s="8" t="s">
        <v>143</v>
      </c>
      <c r="AC30" s="11" t="str">
        <f t="shared" si="8"/>
        <v>link</v>
      </c>
    </row>
    <row r="31">
      <c r="A31" s="13">
        <v>30.0</v>
      </c>
      <c r="B31" s="14">
        <v>0.8138781134257442</v>
      </c>
      <c r="C31" s="14">
        <v>0.813530891203522</v>
      </c>
      <c r="D31" s="51">
        <f t="shared" si="1"/>
        <v>0.813183669</v>
      </c>
      <c r="E31" s="51">
        <f t="shared" si="2"/>
        <v>0.0004178472227</v>
      </c>
      <c r="F31" s="52">
        <f t="shared" si="3"/>
        <v>0.02053320602</v>
      </c>
      <c r="G31" s="13" t="s">
        <v>23</v>
      </c>
      <c r="H31" s="13" t="s">
        <v>144</v>
      </c>
      <c r="I31" s="15" t="s">
        <v>145</v>
      </c>
      <c r="J31" s="13">
        <v>2.0</v>
      </c>
      <c r="K31" s="16">
        <v>0.8145833333333333</v>
      </c>
      <c r="L31" s="16">
        <f t="shared" si="4"/>
        <v>0.02193287037</v>
      </c>
      <c r="M31" s="13" t="s">
        <v>26</v>
      </c>
      <c r="N31" s="13" t="s">
        <v>27</v>
      </c>
      <c r="O31" s="13">
        <v>1.49</v>
      </c>
      <c r="P31" s="53">
        <v>155.0</v>
      </c>
      <c r="Q31" s="13" t="s">
        <v>28</v>
      </c>
      <c r="R31" s="13" t="s">
        <v>29</v>
      </c>
      <c r="S31" s="17">
        <v>0.8156134259259259</v>
      </c>
      <c r="T31" s="17">
        <f t="shared" si="5"/>
        <v>0.02296296296</v>
      </c>
      <c r="U31" s="17">
        <f t="shared" si="6"/>
        <v>0.001030092593</v>
      </c>
      <c r="V31" s="18" t="s">
        <v>146</v>
      </c>
      <c r="W31" s="13" t="s">
        <v>31</v>
      </c>
      <c r="X31" s="13">
        <v>1.0</v>
      </c>
      <c r="Y31" s="13" t="s">
        <v>32</v>
      </c>
      <c r="Z31" s="13" t="s">
        <v>147</v>
      </c>
      <c r="AA31" s="15" t="s">
        <v>148</v>
      </c>
      <c r="AB31" s="15" t="s">
        <v>149</v>
      </c>
      <c r="AC31" s="18" t="str">
        <f t="shared" si="8"/>
        <v>link</v>
      </c>
    </row>
    <row r="32">
      <c r="A32" s="6">
        <v>31.0</v>
      </c>
      <c r="B32" s="7">
        <v>0.814295960648451</v>
      </c>
      <c r="C32" s="7">
        <v>0.8139487384262287</v>
      </c>
      <c r="D32" s="48">
        <f t="shared" si="1"/>
        <v>0.8136015162</v>
      </c>
      <c r="E32" s="48">
        <f t="shared" si="2"/>
        <v>0.0008001273163</v>
      </c>
      <c r="F32" s="49">
        <f t="shared" si="3"/>
        <v>0.02095105324</v>
      </c>
      <c r="G32" s="6" t="s">
        <v>23</v>
      </c>
      <c r="H32" s="6" t="s">
        <v>24</v>
      </c>
      <c r="I32" s="8" t="s">
        <v>150</v>
      </c>
      <c r="J32" s="6">
        <v>3.0</v>
      </c>
      <c r="K32" s="9">
        <v>0.8145833333333333</v>
      </c>
      <c r="L32" s="9">
        <f t="shared" si="4"/>
        <v>0.02193287037</v>
      </c>
      <c r="M32" s="6" t="s">
        <v>26</v>
      </c>
      <c r="N32" s="6" t="s">
        <v>27</v>
      </c>
      <c r="O32" s="6">
        <v>1.76</v>
      </c>
      <c r="P32" s="50">
        <v>169.8752</v>
      </c>
      <c r="Q32" s="6" t="s">
        <v>28</v>
      </c>
      <c r="R32" s="6" t="s">
        <v>29</v>
      </c>
      <c r="S32" s="10">
        <v>0.8157638888888888</v>
      </c>
      <c r="T32" s="10">
        <f t="shared" si="5"/>
        <v>0.02311342593</v>
      </c>
      <c r="U32" s="10">
        <f t="shared" si="6"/>
        <v>0.001180555556</v>
      </c>
      <c r="V32" s="11" t="s">
        <v>151</v>
      </c>
      <c r="W32" s="6" t="s">
        <v>31</v>
      </c>
      <c r="X32" s="6">
        <v>0.0</v>
      </c>
      <c r="Y32" s="6" t="s">
        <v>32</v>
      </c>
      <c r="Z32" s="6" t="s">
        <v>33</v>
      </c>
      <c r="AA32" s="8" t="s">
        <v>152</v>
      </c>
      <c r="AB32" s="8" t="s">
        <v>153</v>
      </c>
      <c r="AC32" s="11" t="str">
        <f t="shared" si="8"/>
        <v>link</v>
      </c>
    </row>
    <row r="33">
      <c r="A33" s="13">
        <v>32.0</v>
      </c>
      <c r="B33" s="14">
        <v>0.8150960879647755</v>
      </c>
      <c r="C33" s="14">
        <v>0.8147488657425532</v>
      </c>
      <c r="D33" s="51">
        <f t="shared" si="1"/>
        <v>0.8144016435</v>
      </c>
      <c r="E33" s="51">
        <f t="shared" si="2"/>
        <v>0.0007958912029</v>
      </c>
      <c r="F33" s="52">
        <f t="shared" si="3"/>
        <v>0.02175118056</v>
      </c>
      <c r="G33" s="13" t="s">
        <v>37</v>
      </c>
      <c r="H33" s="13" t="s">
        <v>24</v>
      </c>
      <c r="I33" s="15" t="s">
        <v>154</v>
      </c>
      <c r="J33" s="13">
        <v>2.0</v>
      </c>
      <c r="K33" s="16">
        <v>0.8159722222222222</v>
      </c>
      <c r="L33" s="16">
        <f t="shared" si="4"/>
        <v>0.02332175926</v>
      </c>
      <c r="M33" s="13" t="s">
        <v>26</v>
      </c>
      <c r="N33" s="13" t="s">
        <v>27</v>
      </c>
      <c r="O33" s="13">
        <v>7.28</v>
      </c>
      <c r="P33" s="53">
        <v>700.0</v>
      </c>
      <c r="Q33" s="13" t="s">
        <v>39</v>
      </c>
      <c r="R33" s="13" t="s">
        <v>29</v>
      </c>
      <c r="S33" s="17">
        <v>0.8171064814814815</v>
      </c>
      <c r="T33" s="17">
        <f t="shared" si="5"/>
        <v>0.02445601852</v>
      </c>
      <c r="U33" s="17">
        <f t="shared" si="6"/>
        <v>0.001134259259</v>
      </c>
      <c r="V33" s="18" t="s">
        <v>155</v>
      </c>
      <c r="W33" s="13" t="s">
        <v>31</v>
      </c>
      <c r="X33" s="13">
        <v>0.0</v>
      </c>
      <c r="Y33" s="13" t="s">
        <v>41</v>
      </c>
      <c r="Z33" s="13" t="s">
        <v>33</v>
      </c>
      <c r="AA33" s="15" t="s">
        <v>156</v>
      </c>
      <c r="AB33" s="15" t="s">
        <v>157</v>
      </c>
      <c r="AC33" s="18" t="str">
        <f t="shared" si="8"/>
        <v>link</v>
      </c>
    </row>
    <row r="34">
      <c r="A34" s="6">
        <v>33.0</v>
      </c>
      <c r="B34" s="7">
        <v>0.8158919791676453</v>
      </c>
      <c r="C34" s="7">
        <v>0.815544756945423</v>
      </c>
      <c r="D34" s="48">
        <f t="shared" si="1"/>
        <v>0.8151975347</v>
      </c>
      <c r="E34" s="48">
        <f t="shared" si="2"/>
        <v>0.0001708449054</v>
      </c>
      <c r="F34" s="49">
        <f t="shared" si="3"/>
        <v>0.02254707176</v>
      </c>
      <c r="G34" s="6" t="s">
        <v>37</v>
      </c>
      <c r="H34" s="6" t="s">
        <v>24</v>
      </c>
      <c r="I34" s="8" t="s">
        <v>158</v>
      </c>
      <c r="J34" s="6">
        <v>3.0</v>
      </c>
      <c r="K34" s="9">
        <v>0.8152777777777778</v>
      </c>
      <c r="L34" s="9">
        <f t="shared" si="4"/>
        <v>0.02262731481</v>
      </c>
      <c r="M34" s="6" t="s">
        <v>26</v>
      </c>
      <c r="N34" s="6" t="s">
        <v>27</v>
      </c>
      <c r="O34" s="6">
        <v>18.8</v>
      </c>
      <c r="P34" s="50">
        <v>1810.0</v>
      </c>
      <c r="Q34" s="6" t="s">
        <v>39</v>
      </c>
      <c r="R34" s="6" t="s">
        <v>29</v>
      </c>
      <c r="S34" s="10">
        <v>0.8171643518518519</v>
      </c>
      <c r="T34" s="10">
        <f t="shared" si="5"/>
        <v>0.02451388889</v>
      </c>
      <c r="U34" s="10">
        <f t="shared" si="6"/>
        <v>0.001886574074</v>
      </c>
      <c r="V34" s="11" t="s">
        <v>159</v>
      </c>
      <c r="W34" s="6" t="s">
        <v>31</v>
      </c>
      <c r="X34" s="6">
        <v>0.0</v>
      </c>
      <c r="Y34" s="6" t="s">
        <v>41</v>
      </c>
      <c r="Z34" s="6" t="s">
        <v>33</v>
      </c>
      <c r="AA34" s="8" t="s">
        <v>160</v>
      </c>
      <c r="AB34" s="8" t="s">
        <v>161</v>
      </c>
      <c r="AC34" s="11" t="str">
        <f t="shared" si="8"/>
        <v>link</v>
      </c>
    </row>
    <row r="35">
      <c r="A35" s="13">
        <v>34.0</v>
      </c>
      <c r="B35" s="14">
        <v>0.8160628240730148</v>
      </c>
      <c r="C35" s="14">
        <v>0.8157156018507925</v>
      </c>
      <c r="D35" s="51">
        <f t="shared" si="1"/>
        <v>0.8153683796</v>
      </c>
      <c r="E35" s="51">
        <f t="shared" si="2"/>
        <v>0.001346203702</v>
      </c>
      <c r="F35" s="52">
        <f t="shared" si="3"/>
        <v>0.02271791667</v>
      </c>
      <c r="G35" s="13" t="s">
        <v>37</v>
      </c>
      <c r="H35" s="13" t="s">
        <v>24</v>
      </c>
      <c r="I35" s="15" t="s">
        <v>162</v>
      </c>
      <c r="J35" s="13">
        <v>2.0</v>
      </c>
      <c r="K35" s="16">
        <v>0.8173611111111111</v>
      </c>
      <c r="L35" s="16">
        <f t="shared" si="4"/>
        <v>0.02471064815</v>
      </c>
      <c r="M35" s="13" t="s">
        <v>26</v>
      </c>
      <c r="N35" s="13" t="s">
        <v>27</v>
      </c>
      <c r="O35" s="13">
        <v>5.18</v>
      </c>
      <c r="P35" s="53">
        <v>499.9736</v>
      </c>
      <c r="Q35" s="13" t="s">
        <v>28</v>
      </c>
      <c r="R35" s="13" t="s">
        <v>29</v>
      </c>
      <c r="S35" s="17">
        <v>0.8181828703703704</v>
      </c>
      <c r="T35" s="17">
        <f t="shared" si="5"/>
        <v>0.02553240741</v>
      </c>
      <c r="U35" s="17">
        <f t="shared" si="6"/>
        <v>0.0008217592593</v>
      </c>
      <c r="V35" s="18" t="s">
        <v>163</v>
      </c>
      <c r="W35" s="13" t="s">
        <v>31</v>
      </c>
      <c r="X35" s="13">
        <v>0.0</v>
      </c>
      <c r="Y35" s="13" t="s">
        <v>41</v>
      </c>
      <c r="Z35" s="13" t="s">
        <v>33</v>
      </c>
      <c r="AA35" s="15" t="s">
        <v>164</v>
      </c>
      <c r="AB35" s="15" t="s">
        <v>165</v>
      </c>
      <c r="AC35" s="18" t="str">
        <f t="shared" si="8"/>
        <v>link</v>
      </c>
    </row>
    <row r="36">
      <c r="A36" s="6">
        <v>35.0</v>
      </c>
      <c r="B36" s="7">
        <v>0.8174090277752839</v>
      </c>
      <c r="C36" s="7">
        <v>0.8170618055530616</v>
      </c>
      <c r="D36" s="48">
        <f t="shared" si="1"/>
        <v>0.8167145833</v>
      </c>
      <c r="E36" s="48">
        <f t="shared" si="2"/>
        <v>0.001021469914</v>
      </c>
      <c r="F36" s="49">
        <f t="shared" si="3"/>
        <v>0.02406412037</v>
      </c>
      <c r="G36" s="6" t="s">
        <v>37</v>
      </c>
      <c r="H36" s="6" t="s">
        <v>24</v>
      </c>
      <c r="I36" s="8" t="s">
        <v>166</v>
      </c>
      <c r="J36" s="6">
        <v>3.0</v>
      </c>
      <c r="K36" s="9">
        <v>0.8173611111111111</v>
      </c>
      <c r="L36" s="9">
        <f t="shared" si="4"/>
        <v>0.02471064815</v>
      </c>
      <c r="M36" s="6" t="s">
        <v>26</v>
      </c>
      <c r="N36" s="6" t="s">
        <v>27</v>
      </c>
      <c r="O36" s="6">
        <v>20.73</v>
      </c>
      <c r="P36" s="50">
        <v>2000.0</v>
      </c>
      <c r="Q36" s="6" t="s">
        <v>28</v>
      </c>
      <c r="R36" s="6" t="s">
        <v>29</v>
      </c>
      <c r="S36" s="10">
        <v>0.8190393518518518</v>
      </c>
      <c r="T36" s="10">
        <f t="shared" si="5"/>
        <v>0.02638888889</v>
      </c>
      <c r="U36" s="10">
        <f t="shared" si="6"/>
        <v>0.001678240741</v>
      </c>
      <c r="V36" s="11" t="s">
        <v>167</v>
      </c>
      <c r="W36" s="6" t="s">
        <v>31</v>
      </c>
      <c r="X36" s="6">
        <v>0.0</v>
      </c>
      <c r="Y36" s="6" t="s">
        <v>41</v>
      </c>
      <c r="Z36" s="6" t="s">
        <v>33</v>
      </c>
      <c r="AA36" s="8" t="s">
        <v>42</v>
      </c>
      <c r="AB36" s="8" t="s">
        <v>168</v>
      </c>
      <c r="AC36" s="11" t="str">
        <f t="shared" si="8"/>
        <v>link</v>
      </c>
    </row>
    <row r="37">
      <c r="A37" s="13">
        <v>36.0</v>
      </c>
      <c r="B37" s="14">
        <v>0.8184304976894055</v>
      </c>
      <c r="C37" s="14">
        <v>0.8180832754671832</v>
      </c>
      <c r="D37" s="51">
        <f t="shared" si="1"/>
        <v>0.8177360532</v>
      </c>
      <c r="E37" s="51">
        <f t="shared" si="2"/>
        <v>0.0002213194384</v>
      </c>
      <c r="F37" s="52">
        <f t="shared" si="3"/>
        <v>0.02508559028</v>
      </c>
      <c r="G37" s="13" t="s">
        <v>169</v>
      </c>
      <c r="H37" s="13" t="s">
        <v>24</v>
      </c>
      <c r="I37" s="15" t="s">
        <v>170</v>
      </c>
      <c r="J37" s="13">
        <v>1.0</v>
      </c>
      <c r="K37" s="16">
        <v>0.81875</v>
      </c>
      <c r="L37" s="16">
        <f t="shared" si="4"/>
        <v>0.02609953704</v>
      </c>
      <c r="M37" s="13" t="s">
        <v>36</v>
      </c>
      <c r="N37" s="13" t="s">
        <v>27</v>
      </c>
      <c r="O37" s="13">
        <v>21.09</v>
      </c>
      <c r="P37" s="53">
        <f>O37*85.325</f>
        <v>1799.50425</v>
      </c>
      <c r="Q37" s="13" t="s">
        <v>28</v>
      </c>
      <c r="R37" s="13" t="s">
        <v>29</v>
      </c>
      <c r="S37" s="17">
        <v>0.8208912037037037</v>
      </c>
      <c r="T37" s="17">
        <f t="shared" si="5"/>
        <v>0.02824074074</v>
      </c>
      <c r="U37" s="17">
        <f t="shared" si="6"/>
        <v>0.002141203704</v>
      </c>
      <c r="V37" s="18" t="s">
        <v>171</v>
      </c>
      <c r="W37" s="13" t="s">
        <v>31</v>
      </c>
      <c r="X37" s="13">
        <v>0.0</v>
      </c>
      <c r="Y37" s="13" t="s">
        <v>41</v>
      </c>
      <c r="Z37" s="13" t="s">
        <v>33</v>
      </c>
      <c r="AA37" s="15" t="s">
        <v>53</v>
      </c>
      <c r="AB37" s="15" t="s">
        <v>172</v>
      </c>
      <c r="AC37" s="18" t="str">
        <f t="shared" si="8"/>
        <v>link</v>
      </c>
    </row>
    <row r="38">
      <c r="A38" s="6">
        <v>37.0</v>
      </c>
      <c r="B38" s="7">
        <v>0.8186518171278294</v>
      </c>
      <c r="C38" s="7">
        <v>0.8183045949056071</v>
      </c>
      <c r="D38" s="48">
        <f t="shared" si="1"/>
        <v>0.8179573727</v>
      </c>
      <c r="E38" s="48">
        <f t="shared" si="2"/>
        <v>0.0005299884288</v>
      </c>
      <c r="F38" s="49">
        <f t="shared" si="3"/>
        <v>0.02530690972</v>
      </c>
      <c r="G38" s="6" t="s">
        <v>44</v>
      </c>
      <c r="H38" s="6" t="s">
        <v>24</v>
      </c>
      <c r="I38" s="8" t="s">
        <v>173</v>
      </c>
      <c r="J38" s="6">
        <v>2.0</v>
      </c>
      <c r="K38" s="9">
        <v>0.8180555555555555</v>
      </c>
      <c r="L38" s="9">
        <f t="shared" si="4"/>
        <v>0.02540509259</v>
      </c>
      <c r="M38" s="6" t="s">
        <v>26</v>
      </c>
      <c r="N38" s="6" t="s">
        <v>27</v>
      </c>
      <c r="O38" s="6">
        <v>3.11</v>
      </c>
      <c r="P38" s="50">
        <v>300.17719999999997</v>
      </c>
      <c r="Q38" s="6" t="s">
        <v>28</v>
      </c>
      <c r="R38" s="6" t="s">
        <v>29</v>
      </c>
      <c r="S38" s="10">
        <v>0.8194560185185186</v>
      </c>
      <c r="T38" s="10">
        <f t="shared" si="5"/>
        <v>0.02680555556</v>
      </c>
      <c r="U38" s="10">
        <f t="shared" si="6"/>
        <v>0.001400462963</v>
      </c>
      <c r="V38" s="11" t="s">
        <v>174</v>
      </c>
      <c r="W38" s="6" t="s">
        <v>31</v>
      </c>
      <c r="X38" s="6">
        <v>0.0</v>
      </c>
      <c r="Y38" s="6" t="s">
        <v>32</v>
      </c>
      <c r="Z38" s="6" t="s">
        <v>33</v>
      </c>
      <c r="AA38" s="8" t="s">
        <v>175</v>
      </c>
      <c r="AB38" s="8" t="s">
        <v>176</v>
      </c>
      <c r="AC38" s="11" t="str">
        <f t="shared" si="8"/>
        <v>link</v>
      </c>
    </row>
    <row r="39">
      <c r="A39" s="13">
        <v>38.0</v>
      </c>
      <c r="B39" s="14">
        <v>0.8191818055565818</v>
      </c>
      <c r="C39" s="14">
        <v>0.8188345833343595</v>
      </c>
      <c r="D39" s="51">
        <f t="shared" si="1"/>
        <v>0.8184873611</v>
      </c>
      <c r="E39" s="51">
        <f t="shared" si="2"/>
        <v>0.00107799768</v>
      </c>
      <c r="F39" s="52">
        <f t="shared" si="3"/>
        <v>0.02583689815</v>
      </c>
      <c r="G39" s="13" t="s">
        <v>37</v>
      </c>
      <c r="H39" s="13" t="s">
        <v>24</v>
      </c>
      <c r="I39" s="15" t="s">
        <v>177</v>
      </c>
      <c r="J39" s="13">
        <v>3.0</v>
      </c>
      <c r="K39" s="16">
        <v>0.81875</v>
      </c>
      <c r="L39" s="16">
        <f t="shared" si="4"/>
        <v>0.02609953704</v>
      </c>
      <c r="M39" s="13" t="s">
        <v>26</v>
      </c>
      <c r="N39" s="13" t="s">
        <v>27</v>
      </c>
      <c r="O39" s="13">
        <v>20.73</v>
      </c>
      <c r="P39" s="53">
        <v>2000.0</v>
      </c>
      <c r="Q39" s="13" t="s">
        <v>67</v>
      </c>
      <c r="R39" s="13" t="s">
        <v>29</v>
      </c>
      <c r="S39" s="17">
        <v>0.8206365740740741</v>
      </c>
      <c r="T39" s="17">
        <f t="shared" si="5"/>
        <v>0.02798611111</v>
      </c>
      <c r="U39" s="17">
        <f t="shared" si="6"/>
        <v>0.001886574074</v>
      </c>
      <c r="V39" s="18" t="s">
        <v>178</v>
      </c>
      <c r="W39" s="13" t="s">
        <v>31</v>
      </c>
      <c r="X39" s="13">
        <v>0.0</v>
      </c>
      <c r="Y39" s="13" t="s">
        <v>32</v>
      </c>
      <c r="Z39" s="13" t="s">
        <v>33</v>
      </c>
      <c r="AA39" s="15" t="s">
        <v>156</v>
      </c>
      <c r="AB39" s="15" t="s">
        <v>179</v>
      </c>
      <c r="AC39" s="18" t="str">
        <f t="shared" si="8"/>
        <v>link</v>
      </c>
    </row>
    <row r="40">
      <c r="A40" s="6">
        <v>39.0</v>
      </c>
      <c r="B40" s="7">
        <v>0.820259803236695</v>
      </c>
      <c r="C40" s="7">
        <v>0.8199125810144727</v>
      </c>
      <c r="D40" s="48">
        <f t="shared" si="1"/>
        <v>0.8195653588</v>
      </c>
      <c r="E40" s="48">
        <f t="shared" si="2"/>
        <v>0.003611631953</v>
      </c>
      <c r="F40" s="49">
        <f t="shared" si="3"/>
        <v>0.02691489583</v>
      </c>
      <c r="G40" s="6" t="s">
        <v>37</v>
      </c>
      <c r="H40" s="6" t="s">
        <v>24</v>
      </c>
      <c r="I40" s="8" t="s">
        <v>180</v>
      </c>
      <c r="J40" s="6">
        <v>3.0</v>
      </c>
      <c r="K40" s="9">
        <v>0.8201388888888889</v>
      </c>
      <c r="L40" s="9">
        <f t="shared" si="4"/>
        <v>0.02748842593</v>
      </c>
      <c r="M40" s="6" t="s">
        <v>26</v>
      </c>
      <c r="N40" s="6" t="s">
        <v>27</v>
      </c>
      <c r="O40" s="6">
        <v>2.07</v>
      </c>
      <c r="P40" s="50">
        <v>199.79639999999998</v>
      </c>
      <c r="Q40" s="6" t="s">
        <v>181</v>
      </c>
      <c r="R40" s="6" t="s">
        <v>182</v>
      </c>
      <c r="S40" s="10">
        <v>0.8221527777777777</v>
      </c>
      <c r="T40" s="10">
        <f t="shared" si="5"/>
        <v>0.02950231481</v>
      </c>
      <c r="U40" s="10">
        <f t="shared" si="6"/>
        <v>0.002013888889</v>
      </c>
      <c r="V40" s="11" t="s">
        <v>183</v>
      </c>
      <c r="W40" s="6" t="s">
        <v>31</v>
      </c>
      <c r="X40" s="34">
        <v>3.0</v>
      </c>
      <c r="Y40" s="34" t="s">
        <v>41</v>
      </c>
      <c r="Z40" s="29" t="s">
        <v>33</v>
      </c>
      <c r="AA40" s="30" t="s">
        <v>42</v>
      </c>
      <c r="AB40" s="30" t="s">
        <v>184</v>
      </c>
      <c r="AC40" s="33" t="str">
        <f t="shared" si="8"/>
        <v>link</v>
      </c>
    </row>
    <row r="41">
      <c r="A41" s="13">
        <v>40.0</v>
      </c>
      <c r="B41" s="14">
        <v>0.8238714351900853</v>
      </c>
      <c r="C41" s="14">
        <v>0.823524212967863</v>
      </c>
      <c r="D41" s="51">
        <f t="shared" si="1"/>
        <v>0.8231769907</v>
      </c>
      <c r="E41" s="51">
        <f t="shared" si="2"/>
        <v>0.0003117013839</v>
      </c>
      <c r="F41" s="52">
        <f t="shared" si="3"/>
        <v>0.03052652778</v>
      </c>
      <c r="G41" s="13" t="s">
        <v>37</v>
      </c>
      <c r="H41" s="13" t="s">
        <v>24</v>
      </c>
      <c r="I41" s="15" t="s">
        <v>188</v>
      </c>
      <c r="J41" s="13">
        <v>2.0</v>
      </c>
      <c r="K41" s="16">
        <v>0.8243055555555555</v>
      </c>
      <c r="L41" s="16">
        <f t="shared" si="4"/>
        <v>0.03165509259</v>
      </c>
      <c r="M41" s="13" t="s">
        <v>26</v>
      </c>
      <c r="N41" s="13" t="s">
        <v>27</v>
      </c>
      <c r="O41" s="13">
        <v>4.15</v>
      </c>
      <c r="P41" s="53">
        <v>400.0</v>
      </c>
      <c r="Q41" s="13" t="s">
        <v>28</v>
      </c>
      <c r="R41" s="13" t="s">
        <v>29</v>
      </c>
      <c r="S41" s="17">
        <v>0.8252893518518518</v>
      </c>
      <c r="T41" s="17">
        <f t="shared" si="5"/>
        <v>0.03263888889</v>
      </c>
      <c r="U41" s="17">
        <f t="shared" si="6"/>
        <v>0.0009837962963</v>
      </c>
      <c r="V41" s="18" t="s">
        <v>189</v>
      </c>
      <c r="W41" s="13" t="s">
        <v>31</v>
      </c>
      <c r="X41" s="13">
        <v>0.0</v>
      </c>
      <c r="Y41" s="13" t="s">
        <v>32</v>
      </c>
      <c r="Z41" s="13" t="s">
        <v>33</v>
      </c>
      <c r="AA41" s="15" t="s">
        <v>42</v>
      </c>
      <c r="AB41" s="15" t="s">
        <v>190</v>
      </c>
      <c r="AC41" s="18" t="str">
        <f t="shared" si="8"/>
        <v>link</v>
      </c>
    </row>
    <row r="42">
      <c r="A42" s="6">
        <v>41.0</v>
      </c>
      <c r="B42" s="7">
        <v>0.8241831365739927</v>
      </c>
      <c r="C42" s="7">
        <v>0.8238359143517704</v>
      </c>
      <c r="D42" s="48">
        <f t="shared" si="1"/>
        <v>0.8234886921</v>
      </c>
      <c r="E42" s="48">
        <f t="shared" si="2"/>
        <v>0.00001920139039</v>
      </c>
      <c r="F42" s="49">
        <f t="shared" si="3"/>
        <v>0.03083822917</v>
      </c>
      <c r="G42" s="6" t="s">
        <v>44</v>
      </c>
      <c r="H42" s="6" t="s">
        <v>24</v>
      </c>
      <c r="I42" s="8" t="s">
        <v>191</v>
      </c>
      <c r="J42" s="6">
        <v>4.0</v>
      </c>
      <c r="K42" s="9">
        <v>0.8270833333333333</v>
      </c>
      <c r="L42" s="9">
        <f t="shared" si="4"/>
        <v>0.03443287037</v>
      </c>
      <c r="M42" s="6" t="s">
        <v>26</v>
      </c>
      <c r="N42" s="6" t="s">
        <v>27</v>
      </c>
      <c r="O42" s="6">
        <v>2.07</v>
      </c>
      <c r="P42" s="50">
        <v>199.79639999999998</v>
      </c>
      <c r="Q42" s="6" t="s">
        <v>28</v>
      </c>
      <c r="R42" s="6" t="s">
        <v>29</v>
      </c>
      <c r="S42" s="10">
        <v>0.8284490740740741</v>
      </c>
      <c r="T42" s="10">
        <f t="shared" si="5"/>
        <v>0.03579861111</v>
      </c>
      <c r="U42" s="10">
        <f t="shared" si="6"/>
        <v>0.001365740741</v>
      </c>
      <c r="V42" s="11" t="s">
        <v>192</v>
      </c>
      <c r="W42" s="6" t="s">
        <v>31</v>
      </c>
      <c r="X42" s="21" t="s">
        <v>65</v>
      </c>
      <c r="Y42" s="21" t="s">
        <v>65</v>
      </c>
      <c r="Z42" s="29" t="s">
        <v>33</v>
      </c>
      <c r="AA42" s="30" t="e">
        <v>#VALUE!</v>
      </c>
      <c r="AB42" s="39"/>
      <c r="AC42" s="33" t="str">
        <f t="shared" si="8"/>
        <v>link</v>
      </c>
    </row>
    <row r="43">
      <c r="A43" s="13">
        <v>42.0</v>
      </c>
      <c r="B43" s="14">
        <v>0.8242023379643797</v>
      </c>
      <c r="C43" s="14">
        <v>0.8238551157421574</v>
      </c>
      <c r="D43" s="51">
        <f t="shared" si="1"/>
        <v>0.8235078935</v>
      </c>
      <c r="E43" s="51">
        <f t="shared" si="2"/>
        <v>0.00001408565004</v>
      </c>
      <c r="F43" s="52">
        <f t="shared" si="3"/>
        <v>0.03085743056</v>
      </c>
      <c r="G43" s="13" t="s">
        <v>44</v>
      </c>
      <c r="H43" s="13" t="s">
        <v>24</v>
      </c>
      <c r="I43" s="15" t="s">
        <v>193</v>
      </c>
      <c r="J43" s="13">
        <v>4.0</v>
      </c>
      <c r="K43" s="16">
        <v>0.8256944444444444</v>
      </c>
      <c r="L43" s="16">
        <f t="shared" si="4"/>
        <v>0.03304398148</v>
      </c>
      <c r="M43" s="13" t="s">
        <v>26</v>
      </c>
      <c r="N43" s="13" t="s">
        <v>27</v>
      </c>
      <c r="O43" s="13">
        <v>1.83</v>
      </c>
      <c r="P43" s="53">
        <v>180.0</v>
      </c>
      <c r="Q43" s="13" t="s">
        <v>28</v>
      </c>
      <c r="R43" s="13" t="s">
        <v>29</v>
      </c>
      <c r="S43" s="17">
        <v>0.8282986111111111</v>
      </c>
      <c r="T43" s="17">
        <f t="shared" si="5"/>
        <v>0.03564814815</v>
      </c>
      <c r="U43" s="17">
        <f t="shared" si="6"/>
        <v>0.002604166667</v>
      </c>
      <c r="V43" s="18" t="s">
        <v>194</v>
      </c>
      <c r="W43" s="13" t="s">
        <v>31</v>
      </c>
      <c r="X43" s="21" t="s">
        <v>65</v>
      </c>
      <c r="Y43" s="21" t="s">
        <v>65</v>
      </c>
      <c r="Z43" s="29" t="s">
        <v>65</v>
      </c>
      <c r="AA43" s="30" t="e">
        <v>#VALUE!</v>
      </c>
      <c r="AB43" s="39"/>
      <c r="AC43" s="33" t="str">
        <f t="shared" si="8"/>
        <v>link</v>
      </c>
    </row>
    <row r="44">
      <c r="A44" s="6">
        <v>43.0</v>
      </c>
      <c r="B44" s="7">
        <v>0.8242164236144163</v>
      </c>
      <c r="C44" s="7">
        <v>0.823869201392194</v>
      </c>
      <c r="D44" s="48">
        <f t="shared" si="1"/>
        <v>0.8235219792</v>
      </c>
      <c r="E44" s="48">
        <f t="shared" si="2"/>
        <v>0.0005124999952</v>
      </c>
      <c r="F44" s="49">
        <f t="shared" si="3"/>
        <v>0.03087151621</v>
      </c>
      <c r="G44" s="6" t="s">
        <v>37</v>
      </c>
      <c r="H44" s="6" t="s">
        <v>24</v>
      </c>
      <c r="I44" s="8" t="s">
        <v>195</v>
      </c>
      <c r="J44" s="6">
        <v>3.0</v>
      </c>
      <c r="K44" s="9">
        <v>0.8243055555555555</v>
      </c>
      <c r="L44" s="9">
        <f t="shared" si="4"/>
        <v>0.03165509259</v>
      </c>
      <c r="M44" s="6" t="s">
        <v>26</v>
      </c>
      <c r="N44" s="6" t="s">
        <v>27</v>
      </c>
      <c r="O44" s="6">
        <v>5.18</v>
      </c>
      <c r="P44" s="50">
        <v>499.9736</v>
      </c>
      <c r="Q44" s="6" t="s">
        <v>28</v>
      </c>
      <c r="R44" s="6" t="s">
        <v>29</v>
      </c>
      <c r="S44" s="10">
        <v>0.8254861111111111</v>
      </c>
      <c r="T44" s="10">
        <f t="shared" si="5"/>
        <v>0.03283564815</v>
      </c>
      <c r="U44" s="10">
        <f t="shared" si="6"/>
        <v>0.001180555556</v>
      </c>
      <c r="V44" s="11" t="s">
        <v>196</v>
      </c>
      <c r="W44" s="6" t="s">
        <v>31</v>
      </c>
      <c r="X44" s="6">
        <v>2.0</v>
      </c>
      <c r="Y44" s="6" t="s">
        <v>32</v>
      </c>
      <c r="Z44" s="6" t="s">
        <v>33</v>
      </c>
      <c r="AA44" s="8" t="s">
        <v>42</v>
      </c>
      <c r="AB44" s="8" t="s">
        <v>197</v>
      </c>
      <c r="AC44" s="11" t="str">
        <f t="shared" si="8"/>
        <v>link</v>
      </c>
    </row>
    <row r="45">
      <c r="A45" s="13">
        <v>44.0</v>
      </c>
      <c r="B45" s="14">
        <v>0.8247289236096549</v>
      </c>
      <c r="C45" s="14">
        <v>0.8243817013874326</v>
      </c>
      <c r="D45" s="51">
        <f t="shared" si="1"/>
        <v>0.8240344792</v>
      </c>
      <c r="E45" s="51">
        <f t="shared" si="2"/>
        <v>0.0006648148192</v>
      </c>
      <c r="F45" s="52">
        <f t="shared" si="3"/>
        <v>0.0313840162</v>
      </c>
      <c r="G45" s="13" t="s">
        <v>37</v>
      </c>
      <c r="H45" s="13" t="s">
        <v>24</v>
      </c>
      <c r="I45" s="15" t="s">
        <v>198</v>
      </c>
      <c r="J45" s="13">
        <v>2.0</v>
      </c>
      <c r="K45" s="16">
        <v>0.825</v>
      </c>
      <c r="L45" s="16">
        <f t="shared" si="4"/>
        <v>0.03234953704</v>
      </c>
      <c r="M45" s="13" t="s">
        <v>26</v>
      </c>
      <c r="N45" s="13" t="s">
        <v>27</v>
      </c>
      <c r="O45" s="13">
        <v>5.18</v>
      </c>
      <c r="P45" s="53">
        <v>499.9736</v>
      </c>
      <c r="Q45" s="13" t="s">
        <v>28</v>
      </c>
      <c r="R45" s="13" t="s">
        <v>29</v>
      </c>
      <c r="S45" s="17">
        <v>0.8261111111111111</v>
      </c>
      <c r="T45" s="17">
        <f t="shared" si="5"/>
        <v>0.03346064815</v>
      </c>
      <c r="U45" s="17">
        <f t="shared" si="6"/>
        <v>0.001111111111</v>
      </c>
      <c r="V45" s="18" t="s">
        <v>199</v>
      </c>
      <c r="W45" s="13" t="s">
        <v>31</v>
      </c>
      <c r="X45" s="13">
        <v>0.0</v>
      </c>
      <c r="Y45" s="13" t="s">
        <v>41</v>
      </c>
      <c r="Z45" s="13" t="s">
        <v>33</v>
      </c>
      <c r="AA45" s="15" t="s">
        <v>42</v>
      </c>
      <c r="AB45" s="15" t="s">
        <v>200</v>
      </c>
      <c r="AC45" s="18" t="str">
        <f t="shared" si="8"/>
        <v>link</v>
      </c>
    </row>
    <row r="46">
      <c r="A46" s="6">
        <v>45.0</v>
      </c>
      <c r="B46" s="7">
        <v>0.8253937384288292</v>
      </c>
      <c r="C46" s="7">
        <v>0.825046516206607</v>
      </c>
      <c r="D46" s="48">
        <f t="shared" si="1"/>
        <v>0.824699294</v>
      </c>
      <c r="E46" s="48">
        <f t="shared" si="2"/>
        <v>0.00005501157284</v>
      </c>
      <c r="F46" s="49">
        <f t="shared" si="3"/>
        <v>0.03204883102</v>
      </c>
      <c r="G46" s="6" t="s">
        <v>37</v>
      </c>
      <c r="H46" s="6" t="s">
        <v>24</v>
      </c>
      <c r="I46" s="8" t="s">
        <v>201</v>
      </c>
      <c r="J46" s="6">
        <v>4.0</v>
      </c>
      <c r="K46" s="9">
        <v>0.8256944444444444</v>
      </c>
      <c r="L46" s="9">
        <f t="shared" si="4"/>
        <v>0.03304398148</v>
      </c>
      <c r="M46" s="6" t="s">
        <v>26</v>
      </c>
      <c r="N46" s="6" t="s">
        <v>27</v>
      </c>
      <c r="O46" s="6">
        <v>18.8</v>
      </c>
      <c r="P46" s="50">
        <v>1814.576</v>
      </c>
      <c r="Q46" s="6" t="s">
        <v>28</v>
      </c>
      <c r="R46" s="6" t="s">
        <v>29</v>
      </c>
      <c r="S46" s="10">
        <v>0.8274421296296296</v>
      </c>
      <c r="T46" s="10">
        <f t="shared" si="5"/>
        <v>0.03479166667</v>
      </c>
      <c r="U46" s="10">
        <f t="shared" si="6"/>
        <v>0.001747685185</v>
      </c>
      <c r="V46" s="11" t="s">
        <v>202</v>
      </c>
      <c r="W46" s="6" t="s">
        <v>31</v>
      </c>
      <c r="X46" s="6">
        <v>0.0</v>
      </c>
      <c r="Y46" s="6" t="s">
        <v>41</v>
      </c>
      <c r="Z46" s="6" t="s">
        <v>33</v>
      </c>
      <c r="AA46" s="8" t="s">
        <v>42</v>
      </c>
      <c r="AB46" s="8" t="s">
        <v>203</v>
      </c>
      <c r="AC46" s="11" t="str">
        <f t="shared" si="8"/>
        <v>link</v>
      </c>
    </row>
    <row r="47">
      <c r="A47" s="13">
        <v>46.0</v>
      </c>
      <c r="B47" s="14">
        <v>0.8254487500016694</v>
      </c>
      <c r="C47" s="14">
        <v>0.8251015277794471</v>
      </c>
      <c r="D47" s="51">
        <f t="shared" si="1"/>
        <v>0.8247543056</v>
      </c>
      <c r="E47" s="51">
        <f t="shared" si="2"/>
        <v>0.001010925924</v>
      </c>
      <c r="F47" s="52">
        <f t="shared" si="3"/>
        <v>0.03210384259</v>
      </c>
      <c r="G47" s="13" t="s">
        <v>23</v>
      </c>
      <c r="H47" s="13" t="s">
        <v>24</v>
      </c>
      <c r="I47" s="15" t="s">
        <v>204</v>
      </c>
      <c r="J47" s="13">
        <v>2.0</v>
      </c>
      <c r="K47" s="16">
        <v>0.8263888888888888</v>
      </c>
      <c r="L47" s="16">
        <f t="shared" si="4"/>
        <v>0.03373842593</v>
      </c>
      <c r="M47" s="13" t="s">
        <v>26</v>
      </c>
      <c r="N47" s="13" t="s">
        <v>27</v>
      </c>
      <c r="O47" s="13">
        <v>2.07</v>
      </c>
      <c r="P47" s="53">
        <v>200.0</v>
      </c>
      <c r="Q47" s="13" t="s">
        <v>39</v>
      </c>
      <c r="R47" s="13" t="s">
        <v>29</v>
      </c>
      <c r="S47" s="17">
        <v>0.8273148148148148</v>
      </c>
      <c r="T47" s="17">
        <f t="shared" si="5"/>
        <v>0.03466435185</v>
      </c>
      <c r="U47" s="17">
        <f t="shared" si="6"/>
        <v>0.0009259259259</v>
      </c>
      <c r="V47" s="18" t="s">
        <v>205</v>
      </c>
      <c r="W47" s="13" t="s">
        <v>31</v>
      </c>
      <c r="X47" s="13">
        <v>0.0</v>
      </c>
      <c r="Y47" s="13" t="s">
        <v>41</v>
      </c>
      <c r="Z47" s="13" t="s">
        <v>33</v>
      </c>
      <c r="AA47" s="15" t="s">
        <v>206</v>
      </c>
      <c r="AB47" s="15" t="s">
        <v>126</v>
      </c>
      <c r="AC47" s="18" t="str">
        <f t="shared" si="8"/>
        <v>link</v>
      </c>
    </row>
    <row r="48">
      <c r="A48" s="6">
        <v>47.0</v>
      </c>
      <c r="B48" s="7">
        <v>0.8264596759254346</v>
      </c>
      <c r="C48" s="7">
        <v>0.8261124537032123</v>
      </c>
      <c r="D48" s="48">
        <f t="shared" si="1"/>
        <v>0.8257652315</v>
      </c>
      <c r="E48" s="48">
        <f t="shared" si="2"/>
        <v>0.0003936805588</v>
      </c>
      <c r="F48" s="49">
        <f t="shared" si="3"/>
        <v>0.03311476852</v>
      </c>
      <c r="G48" s="6" t="s">
        <v>207</v>
      </c>
      <c r="H48" s="6" t="s">
        <v>24</v>
      </c>
      <c r="I48" s="8" t="s">
        <v>208</v>
      </c>
      <c r="J48" s="6">
        <v>1.0</v>
      </c>
      <c r="K48" s="9">
        <v>0.8263888888888888</v>
      </c>
      <c r="L48" s="9">
        <f t="shared" si="4"/>
        <v>0.03373842593</v>
      </c>
      <c r="M48" s="6" t="s">
        <v>36</v>
      </c>
      <c r="N48" s="6" t="s">
        <v>27</v>
      </c>
      <c r="O48" s="6">
        <v>15.23</v>
      </c>
      <c r="P48" s="50">
        <f>O48*85.325</f>
        <v>1299.49975</v>
      </c>
      <c r="Q48" s="6" t="s">
        <v>28</v>
      </c>
      <c r="R48" s="6" t="s">
        <v>29</v>
      </c>
      <c r="S48" s="10">
        <v>0.8280671296296296</v>
      </c>
      <c r="T48" s="10">
        <f t="shared" si="5"/>
        <v>0.03541666667</v>
      </c>
      <c r="U48" s="10">
        <f t="shared" si="6"/>
        <v>0.001678240741</v>
      </c>
      <c r="V48" s="11" t="s">
        <v>209</v>
      </c>
      <c r="W48" s="6" t="s">
        <v>52</v>
      </c>
      <c r="X48" s="6">
        <v>3.0</v>
      </c>
      <c r="Y48" s="6" t="s">
        <v>41</v>
      </c>
      <c r="Z48" s="6" t="s">
        <v>33</v>
      </c>
      <c r="AA48" s="8" t="s">
        <v>53</v>
      </c>
      <c r="AB48" s="8" t="s">
        <v>210</v>
      </c>
      <c r="AC48" s="11" t="str">
        <f t="shared" si="8"/>
        <v>link</v>
      </c>
    </row>
    <row r="49">
      <c r="A49" s="13">
        <v>48.0</v>
      </c>
      <c r="B49" s="14">
        <v>0.8268533564842073</v>
      </c>
      <c r="C49" s="14">
        <v>0.826506134261985</v>
      </c>
      <c r="D49" s="51">
        <f t="shared" si="1"/>
        <v>0.826158912</v>
      </c>
      <c r="E49" s="51">
        <f t="shared" si="2"/>
        <v>0.00149200231</v>
      </c>
      <c r="F49" s="52">
        <f t="shared" si="3"/>
        <v>0.03350844908</v>
      </c>
      <c r="G49" s="13" t="s">
        <v>37</v>
      </c>
      <c r="H49" s="13" t="s">
        <v>24</v>
      </c>
      <c r="I49" s="15" t="s">
        <v>211</v>
      </c>
      <c r="J49" s="13">
        <v>2.0</v>
      </c>
      <c r="K49" s="16">
        <v>0.8270833333333333</v>
      </c>
      <c r="L49" s="16">
        <f t="shared" si="4"/>
        <v>0.03443287037</v>
      </c>
      <c r="M49" s="13" t="s">
        <v>26</v>
      </c>
      <c r="N49" s="13" t="s">
        <v>27</v>
      </c>
      <c r="O49" s="13">
        <v>25.9</v>
      </c>
      <c r="P49" s="53">
        <v>2499.868</v>
      </c>
      <c r="Q49" s="13" t="s">
        <v>28</v>
      </c>
      <c r="R49" s="13" t="s">
        <v>29</v>
      </c>
      <c r="S49" s="17">
        <v>0.8285185185185185</v>
      </c>
      <c r="T49" s="17">
        <f t="shared" si="5"/>
        <v>0.03586805556</v>
      </c>
      <c r="U49" s="17">
        <f t="shared" si="6"/>
        <v>0.001435185185</v>
      </c>
      <c r="V49" s="18" t="s">
        <v>212</v>
      </c>
      <c r="W49" s="13" t="s">
        <v>31</v>
      </c>
      <c r="X49" s="13">
        <v>0.0</v>
      </c>
      <c r="Y49" s="13" t="s">
        <v>32</v>
      </c>
      <c r="Z49" s="13" t="s">
        <v>33</v>
      </c>
      <c r="AA49" s="15" t="s">
        <v>42</v>
      </c>
      <c r="AB49" s="15" t="s">
        <v>213</v>
      </c>
      <c r="AC49" s="18" t="str">
        <f t="shared" si="8"/>
        <v>link</v>
      </c>
    </row>
    <row r="50">
      <c r="A50" s="6">
        <v>49.0</v>
      </c>
      <c r="B50" s="7">
        <v>0.8283453587937402</v>
      </c>
      <c r="C50" s="7">
        <v>0.8279981365715179</v>
      </c>
      <c r="D50" s="48">
        <f t="shared" si="1"/>
        <v>0.8276509143</v>
      </c>
      <c r="E50" s="48">
        <f t="shared" si="2"/>
        <v>0.0001229513873</v>
      </c>
      <c r="F50" s="49">
        <f t="shared" si="3"/>
        <v>0.03500045139</v>
      </c>
      <c r="G50" s="6" t="s">
        <v>37</v>
      </c>
      <c r="H50" s="6" t="s">
        <v>24</v>
      </c>
      <c r="I50" s="8" t="s">
        <v>214</v>
      </c>
      <c r="J50" s="6">
        <v>3.0</v>
      </c>
      <c r="K50" s="9">
        <v>0.8284722222222223</v>
      </c>
      <c r="L50" s="9">
        <f t="shared" si="4"/>
        <v>0.03582175926</v>
      </c>
      <c r="M50" s="6" t="s">
        <v>26</v>
      </c>
      <c r="N50" s="6" t="s">
        <v>27</v>
      </c>
      <c r="O50" s="6">
        <v>22.81</v>
      </c>
      <c r="P50" s="50">
        <v>2200.0</v>
      </c>
      <c r="Q50" s="6" t="s">
        <v>28</v>
      </c>
      <c r="R50" s="6" t="s">
        <v>182</v>
      </c>
      <c r="S50" s="10">
        <v>0.8323495370370371</v>
      </c>
      <c r="T50" s="10">
        <f t="shared" si="5"/>
        <v>0.03969907407</v>
      </c>
      <c r="U50" s="10">
        <f t="shared" si="6"/>
        <v>0.003877314815</v>
      </c>
      <c r="V50" s="11" t="s">
        <v>215</v>
      </c>
      <c r="W50" s="6" t="s">
        <v>31</v>
      </c>
      <c r="X50" s="6">
        <v>0.0</v>
      </c>
      <c r="Y50" s="6" t="s">
        <v>41</v>
      </c>
      <c r="Z50" s="6" t="s">
        <v>33</v>
      </c>
      <c r="AA50" s="8" t="s">
        <v>216</v>
      </c>
      <c r="AB50" s="8" t="s">
        <v>217</v>
      </c>
      <c r="AC50" s="11" t="str">
        <f t="shared" si="8"/>
        <v>link</v>
      </c>
    </row>
    <row r="51">
      <c r="A51" s="13">
        <v>50.0</v>
      </c>
      <c r="B51" s="14">
        <v>0.8284683101810515</v>
      </c>
      <c r="C51" s="14">
        <v>0.8281210879588292</v>
      </c>
      <c r="D51" s="51">
        <f t="shared" si="1"/>
        <v>0.8277738657</v>
      </c>
      <c r="E51" s="51">
        <f t="shared" si="2"/>
        <v>0.001742604174</v>
      </c>
      <c r="F51" s="52">
        <f t="shared" si="3"/>
        <v>0.03512340277</v>
      </c>
      <c r="G51" s="13" t="s">
        <v>37</v>
      </c>
      <c r="H51" s="13" t="s">
        <v>24</v>
      </c>
      <c r="I51" s="15" t="s">
        <v>218</v>
      </c>
      <c r="J51" s="13">
        <v>2.0</v>
      </c>
      <c r="K51" s="16">
        <v>0.8284722222222223</v>
      </c>
      <c r="L51" s="16">
        <f t="shared" si="4"/>
        <v>0.03582175926</v>
      </c>
      <c r="M51" s="13" t="s">
        <v>26</v>
      </c>
      <c r="N51" s="13" t="s">
        <v>27</v>
      </c>
      <c r="O51" s="13">
        <v>4.68</v>
      </c>
      <c r="P51" s="53">
        <v>450.0</v>
      </c>
      <c r="Q51" s="13" t="s">
        <v>39</v>
      </c>
      <c r="R51" s="13" t="s">
        <v>29</v>
      </c>
      <c r="S51" s="17">
        <v>0.8302083333333333</v>
      </c>
      <c r="T51" s="17">
        <f t="shared" si="5"/>
        <v>0.03755787037</v>
      </c>
      <c r="U51" s="17">
        <f t="shared" si="6"/>
        <v>0.001736111111</v>
      </c>
      <c r="V51" s="18" t="s">
        <v>219</v>
      </c>
      <c r="W51" s="13" t="s">
        <v>31</v>
      </c>
      <c r="X51" s="13">
        <v>4.0</v>
      </c>
      <c r="Y51" s="13" t="s">
        <v>41</v>
      </c>
      <c r="Z51" s="13" t="s">
        <v>220</v>
      </c>
      <c r="AA51" s="15" t="s">
        <v>42</v>
      </c>
      <c r="AB51" s="15" t="s">
        <v>221</v>
      </c>
      <c r="AC51" s="18" t="str">
        <f t="shared" si="8"/>
        <v>link</v>
      </c>
    </row>
    <row r="52">
      <c r="A52" s="6">
        <v>51.0</v>
      </c>
      <c r="B52" s="7">
        <v>0.8302109143551206</v>
      </c>
      <c r="C52" s="7">
        <v>0.8298636921328983</v>
      </c>
      <c r="D52" s="48">
        <f t="shared" si="1"/>
        <v>0.8295164699</v>
      </c>
      <c r="E52" s="48">
        <f t="shared" si="2"/>
        <v>0.002164571757</v>
      </c>
      <c r="F52" s="49">
        <f t="shared" si="3"/>
        <v>0.03686600695</v>
      </c>
      <c r="G52" s="6" t="s">
        <v>169</v>
      </c>
      <c r="H52" s="6" t="s">
        <v>24</v>
      </c>
      <c r="I52" s="8" t="s">
        <v>222</v>
      </c>
      <c r="J52" s="6">
        <v>5.0</v>
      </c>
      <c r="K52" s="9">
        <v>0.8305555555555556</v>
      </c>
      <c r="L52" s="9">
        <f t="shared" si="4"/>
        <v>0.03790509259</v>
      </c>
      <c r="M52" s="6" t="s">
        <v>36</v>
      </c>
      <c r="N52" s="6" t="s">
        <v>27</v>
      </c>
      <c r="O52" s="6">
        <v>236.62</v>
      </c>
      <c r="P52" s="50">
        <f>O52*85.325</f>
        <v>20189.6015</v>
      </c>
      <c r="Q52" s="6" t="s">
        <v>223</v>
      </c>
      <c r="R52" s="6" t="s">
        <v>29</v>
      </c>
      <c r="S52" s="10">
        <v>0.8360763888888889</v>
      </c>
      <c r="T52" s="10">
        <f t="shared" si="5"/>
        <v>0.04342592593</v>
      </c>
      <c r="U52" s="10">
        <f t="shared" si="6"/>
        <v>0.005520833333</v>
      </c>
      <c r="V52" s="11" t="s">
        <v>224</v>
      </c>
      <c r="W52" s="6" t="s">
        <v>31</v>
      </c>
      <c r="X52" s="6">
        <v>0.0</v>
      </c>
      <c r="Y52" s="6" t="s">
        <v>41</v>
      </c>
      <c r="Z52" s="6" t="s">
        <v>33</v>
      </c>
      <c r="AA52" s="8" t="s">
        <v>53</v>
      </c>
      <c r="AB52" s="8" t="s">
        <v>225</v>
      </c>
      <c r="AC52" s="11" t="str">
        <f t="shared" si="8"/>
        <v>link</v>
      </c>
    </row>
    <row r="53">
      <c r="A53" s="13">
        <v>52.0</v>
      </c>
      <c r="B53" s="14">
        <v>0.8323754861121415</v>
      </c>
      <c r="C53" s="14">
        <v>0.8320282638899192</v>
      </c>
      <c r="D53" s="51">
        <f t="shared" si="1"/>
        <v>0.8316810417</v>
      </c>
      <c r="E53" s="51">
        <f t="shared" si="2"/>
        <v>0.0006454976829</v>
      </c>
      <c r="F53" s="52">
        <f t="shared" si="3"/>
        <v>0.0390305787</v>
      </c>
      <c r="G53" s="13" t="s">
        <v>23</v>
      </c>
      <c r="H53" s="13" t="s">
        <v>144</v>
      </c>
      <c r="I53" s="15" t="s">
        <v>226</v>
      </c>
      <c r="J53" s="13">
        <v>2.0</v>
      </c>
      <c r="K53" s="16">
        <v>0.8319444444444445</v>
      </c>
      <c r="L53" s="16">
        <f t="shared" si="4"/>
        <v>0.03929398148</v>
      </c>
      <c r="M53" s="13" t="s">
        <v>26</v>
      </c>
      <c r="N53" s="13" t="s">
        <v>27</v>
      </c>
      <c r="O53" s="13">
        <v>1.04</v>
      </c>
      <c r="P53" s="53">
        <v>100.3808</v>
      </c>
      <c r="Q53" s="13" t="s">
        <v>28</v>
      </c>
      <c r="R53" s="13" t="s">
        <v>29</v>
      </c>
      <c r="S53" s="17">
        <v>0.8335185185185185</v>
      </c>
      <c r="T53" s="17">
        <f t="shared" si="5"/>
        <v>0.04086805556</v>
      </c>
      <c r="U53" s="17">
        <f t="shared" si="6"/>
        <v>0.001574074074</v>
      </c>
      <c r="V53" s="18" t="s">
        <v>227</v>
      </c>
      <c r="W53" s="13" t="s">
        <v>31</v>
      </c>
      <c r="X53" s="13">
        <v>0.0</v>
      </c>
      <c r="Y53" s="13" t="s">
        <v>32</v>
      </c>
      <c r="Z53" s="13" t="s">
        <v>228</v>
      </c>
      <c r="AA53" s="15" t="s">
        <v>34</v>
      </c>
      <c r="AB53" s="15" t="s">
        <v>229</v>
      </c>
      <c r="AC53" s="18" t="str">
        <f t="shared" si="8"/>
        <v>link</v>
      </c>
    </row>
    <row r="54">
      <c r="A54" s="6">
        <v>53.0</v>
      </c>
      <c r="B54" s="7">
        <v>0.8330209837949951</v>
      </c>
      <c r="C54" s="7">
        <v>0.8326737615727728</v>
      </c>
      <c r="D54" s="48">
        <f t="shared" si="1"/>
        <v>0.8323265394</v>
      </c>
      <c r="E54" s="48">
        <f t="shared" si="2"/>
        <v>0.001559699078</v>
      </c>
      <c r="F54" s="49">
        <f t="shared" si="3"/>
        <v>0.03967607639</v>
      </c>
      <c r="G54" s="6" t="s">
        <v>37</v>
      </c>
      <c r="H54" s="6" t="s">
        <v>24</v>
      </c>
      <c r="I54" s="8" t="s">
        <v>230</v>
      </c>
      <c r="J54" s="6">
        <v>3.0</v>
      </c>
      <c r="K54" s="9">
        <v>0.8333333333333334</v>
      </c>
      <c r="L54" s="9">
        <f t="shared" si="4"/>
        <v>0.04068287037</v>
      </c>
      <c r="M54" s="6" t="s">
        <v>26</v>
      </c>
      <c r="N54" s="6" t="s">
        <v>27</v>
      </c>
      <c r="O54" s="6">
        <v>5.18</v>
      </c>
      <c r="P54" s="50">
        <v>499.9736</v>
      </c>
      <c r="Q54" s="6" t="s">
        <v>28</v>
      </c>
      <c r="R54" s="6" t="s">
        <v>29</v>
      </c>
      <c r="S54" s="10">
        <v>0.8340856481481481</v>
      </c>
      <c r="T54" s="10">
        <f t="shared" si="5"/>
        <v>0.04143518519</v>
      </c>
      <c r="U54" s="10">
        <f t="shared" si="6"/>
        <v>0.0007523148148</v>
      </c>
      <c r="V54" s="11" t="s">
        <v>231</v>
      </c>
      <c r="W54" s="6" t="s">
        <v>31</v>
      </c>
      <c r="X54" s="6">
        <v>0.0</v>
      </c>
      <c r="Y54" s="6" t="s">
        <v>41</v>
      </c>
      <c r="Z54" s="6" t="s">
        <v>33</v>
      </c>
      <c r="AA54" s="8" t="s">
        <v>97</v>
      </c>
      <c r="AB54" s="8" t="s">
        <v>232</v>
      </c>
      <c r="AC54" s="11" t="str">
        <f t="shared" si="8"/>
        <v>link</v>
      </c>
    </row>
    <row r="55">
      <c r="A55" s="13">
        <v>54.0</v>
      </c>
      <c r="B55" s="14">
        <v>0.834580682872911</v>
      </c>
      <c r="C55" s="14">
        <v>0.8342334606506887</v>
      </c>
      <c r="D55" s="51">
        <f t="shared" si="1"/>
        <v>0.8338862384</v>
      </c>
      <c r="E55" s="51">
        <f t="shared" si="2"/>
        <v>0.0002224768541</v>
      </c>
      <c r="F55" s="52">
        <f t="shared" si="3"/>
        <v>0.04123577547</v>
      </c>
      <c r="G55" s="13" t="s">
        <v>37</v>
      </c>
      <c r="H55" s="13" t="s">
        <v>24</v>
      </c>
      <c r="I55" s="15" t="s">
        <v>233</v>
      </c>
      <c r="J55" s="13">
        <v>2.0</v>
      </c>
      <c r="K55" s="16">
        <v>0.8347222222222223</v>
      </c>
      <c r="L55" s="16">
        <f t="shared" si="4"/>
        <v>0.04207175926</v>
      </c>
      <c r="M55" s="13" t="s">
        <v>26</v>
      </c>
      <c r="N55" s="13" t="s">
        <v>27</v>
      </c>
      <c r="O55" s="13">
        <v>5.39</v>
      </c>
      <c r="P55" s="53">
        <v>520.0</v>
      </c>
      <c r="Q55" s="13" t="s">
        <v>28</v>
      </c>
      <c r="R55" s="13" t="s">
        <v>29</v>
      </c>
      <c r="S55" s="17">
        <v>0.8355787037037037</v>
      </c>
      <c r="T55" s="17">
        <f t="shared" si="5"/>
        <v>0.04292824074</v>
      </c>
      <c r="U55" s="17">
        <f t="shared" si="6"/>
        <v>0.0008564814815</v>
      </c>
      <c r="V55" s="18" t="s">
        <v>234</v>
      </c>
      <c r="W55" s="13" t="s">
        <v>31</v>
      </c>
      <c r="X55" s="13">
        <v>1.0</v>
      </c>
      <c r="Y55" s="13" t="s">
        <v>41</v>
      </c>
      <c r="Z55" s="13" t="s">
        <v>220</v>
      </c>
      <c r="AA55" s="15" t="s">
        <v>42</v>
      </c>
      <c r="AB55" s="15" t="s">
        <v>235</v>
      </c>
      <c r="AC55" s="18" t="str">
        <f t="shared" si="8"/>
        <v>link</v>
      </c>
    </row>
    <row r="56">
      <c r="A56" s="6">
        <v>55.0</v>
      </c>
      <c r="B56" s="7">
        <v>0.8348031597270165</v>
      </c>
      <c r="C56" s="7">
        <v>0.8344559375047942</v>
      </c>
      <c r="D56" s="48">
        <f t="shared" si="1"/>
        <v>0.8341087153</v>
      </c>
      <c r="E56" s="48">
        <f t="shared" si="2"/>
        <v>0.0006284490664</v>
      </c>
      <c r="F56" s="49">
        <f t="shared" si="3"/>
        <v>0.04145825232</v>
      </c>
      <c r="G56" s="6" t="s">
        <v>37</v>
      </c>
      <c r="H56" s="6" t="s">
        <v>24</v>
      </c>
      <c r="I56" s="8" t="s">
        <v>236</v>
      </c>
      <c r="J56" s="6">
        <v>2.0</v>
      </c>
      <c r="K56" s="9">
        <v>0.8354166666666667</v>
      </c>
      <c r="L56" s="9">
        <f t="shared" si="4"/>
        <v>0.0427662037</v>
      </c>
      <c r="M56" s="6" t="s">
        <v>26</v>
      </c>
      <c r="N56" s="6" t="s">
        <v>27</v>
      </c>
      <c r="O56" s="6">
        <v>5.18</v>
      </c>
      <c r="P56" s="50">
        <v>499.9736</v>
      </c>
      <c r="Q56" s="6" t="s">
        <v>28</v>
      </c>
      <c r="R56" s="6" t="s">
        <v>29</v>
      </c>
      <c r="S56" s="10">
        <v>0.8370717592592593</v>
      </c>
      <c r="T56" s="10">
        <f t="shared" si="5"/>
        <v>0.0444212963</v>
      </c>
      <c r="U56" s="10">
        <f t="shared" si="6"/>
        <v>0.001655092593</v>
      </c>
      <c r="V56" s="11" t="s">
        <v>237</v>
      </c>
      <c r="W56" s="6" t="s">
        <v>31</v>
      </c>
      <c r="X56" s="6">
        <v>0.0</v>
      </c>
      <c r="Y56" s="6" t="s">
        <v>32</v>
      </c>
      <c r="Z56" s="6" t="s">
        <v>33</v>
      </c>
      <c r="AA56" s="8" t="s">
        <v>42</v>
      </c>
      <c r="AB56" s="8" t="s">
        <v>109</v>
      </c>
      <c r="AC56" s="11" t="str">
        <f t="shared" si="8"/>
        <v>link</v>
      </c>
    </row>
    <row r="57">
      <c r="A57" s="13">
        <v>56.0</v>
      </c>
      <c r="B57" s="14">
        <v>0.8354316087934421</v>
      </c>
      <c r="C57" s="14">
        <v>0.8350843865712199</v>
      </c>
      <c r="D57" s="51">
        <f t="shared" si="1"/>
        <v>0.8347371643</v>
      </c>
      <c r="E57" s="51">
        <f t="shared" si="2"/>
        <v>0.0007965393597</v>
      </c>
      <c r="F57" s="52">
        <f t="shared" si="3"/>
        <v>0.04208670139</v>
      </c>
      <c r="G57" s="13" t="s">
        <v>23</v>
      </c>
      <c r="H57" s="13" t="s">
        <v>24</v>
      </c>
      <c r="I57" s="15" t="s">
        <v>238</v>
      </c>
      <c r="J57" s="13">
        <v>4.0</v>
      </c>
      <c r="K57" s="16">
        <v>0.8361111111111111</v>
      </c>
      <c r="L57" s="16">
        <f t="shared" si="4"/>
        <v>0.04346064815</v>
      </c>
      <c r="M57" s="13" t="s">
        <v>26</v>
      </c>
      <c r="N57" s="13" t="s">
        <v>27</v>
      </c>
      <c r="O57" s="13">
        <v>5.18</v>
      </c>
      <c r="P57" s="53">
        <v>499.9736</v>
      </c>
      <c r="Q57" s="13" t="s">
        <v>39</v>
      </c>
      <c r="R57" s="13" t="s">
        <v>29</v>
      </c>
      <c r="S57" s="17">
        <v>0.8375810185185185</v>
      </c>
      <c r="T57" s="17">
        <f t="shared" si="5"/>
        <v>0.04493055556</v>
      </c>
      <c r="U57" s="17">
        <f t="shared" si="6"/>
        <v>0.001469907407</v>
      </c>
      <c r="V57" s="18" t="s">
        <v>239</v>
      </c>
      <c r="W57" s="13" t="s">
        <v>31</v>
      </c>
      <c r="X57" s="13">
        <v>0.0</v>
      </c>
      <c r="Y57" s="13" t="s">
        <v>41</v>
      </c>
      <c r="Z57" s="13" t="s">
        <v>101</v>
      </c>
      <c r="AA57" s="15" t="s">
        <v>240</v>
      </c>
      <c r="AB57" s="15" t="s">
        <v>241</v>
      </c>
      <c r="AC57" s="18" t="str">
        <f t="shared" si="8"/>
        <v>link</v>
      </c>
    </row>
    <row r="58">
      <c r="A58" s="6">
        <v>57.0</v>
      </c>
      <c r="B58" s="7">
        <v>0.8362281481531681</v>
      </c>
      <c r="C58" s="7">
        <v>0.8358809259309459</v>
      </c>
      <c r="D58" s="48">
        <f t="shared" si="1"/>
        <v>0.8355337037</v>
      </c>
      <c r="E58" s="48">
        <f t="shared" si="2"/>
        <v>0.0006606481475</v>
      </c>
      <c r="F58" s="49">
        <f t="shared" si="3"/>
        <v>0.04288324075</v>
      </c>
      <c r="G58" s="6" t="s">
        <v>37</v>
      </c>
      <c r="H58" s="6" t="s">
        <v>24</v>
      </c>
      <c r="I58" s="8" t="s">
        <v>242</v>
      </c>
      <c r="J58" s="6">
        <v>2.0</v>
      </c>
      <c r="K58" s="9">
        <v>0.8368055555555556</v>
      </c>
      <c r="L58" s="9">
        <f t="shared" si="4"/>
        <v>0.04415509259</v>
      </c>
      <c r="M58" s="6" t="s">
        <v>26</v>
      </c>
      <c r="N58" s="6" t="s">
        <v>27</v>
      </c>
      <c r="O58" s="6">
        <v>5.18</v>
      </c>
      <c r="P58" s="50">
        <v>499.9736</v>
      </c>
      <c r="Q58" s="6" t="s">
        <v>39</v>
      </c>
      <c r="R58" s="6" t="s">
        <v>29</v>
      </c>
      <c r="S58" s="10">
        <v>0.8381018518518518</v>
      </c>
      <c r="T58" s="10">
        <f t="shared" si="5"/>
        <v>0.04545138889</v>
      </c>
      <c r="U58" s="10">
        <f t="shared" si="6"/>
        <v>0.001296296296</v>
      </c>
      <c r="V58" s="11" t="s">
        <v>243</v>
      </c>
      <c r="W58" s="6" t="s">
        <v>31</v>
      </c>
      <c r="X58" s="6">
        <v>0.0</v>
      </c>
      <c r="Y58" s="6" t="s">
        <v>32</v>
      </c>
      <c r="Z58" s="6" t="s">
        <v>33</v>
      </c>
      <c r="AA58" s="8" t="s">
        <v>53</v>
      </c>
      <c r="AB58" s="8" t="s">
        <v>244</v>
      </c>
      <c r="AC58" s="11" t="str">
        <f t="shared" si="8"/>
        <v>link</v>
      </c>
    </row>
    <row r="59">
      <c r="A59" s="13">
        <v>58.0</v>
      </c>
      <c r="B59" s="14">
        <v>0.8368887963006273</v>
      </c>
      <c r="C59" s="14">
        <v>0.836541574078405</v>
      </c>
      <c r="D59" s="51">
        <f t="shared" si="1"/>
        <v>0.8361943519</v>
      </c>
      <c r="E59" s="51">
        <f t="shared" si="2"/>
        <v>0.0005314351802</v>
      </c>
      <c r="F59" s="52">
        <f t="shared" si="3"/>
        <v>0.04354388889</v>
      </c>
      <c r="G59" s="13" t="s">
        <v>37</v>
      </c>
      <c r="H59" s="13" t="s">
        <v>24</v>
      </c>
      <c r="I59" s="15" t="s">
        <v>245</v>
      </c>
      <c r="J59" s="13">
        <v>3.0</v>
      </c>
      <c r="K59" s="16">
        <v>0.8368055555555556</v>
      </c>
      <c r="L59" s="16">
        <f t="shared" si="4"/>
        <v>0.04415509259</v>
      </c>
      <c r="M59" s="13" t="s">
        <v>26</v>
      </c>
      <c r="N59" s="13" t="s">
        <v>27</v>
      </c>
      <c r="O59" s="13">
        <v>3.11</v>
      </c>
      <c r="P59" s="53">
        <v>300.17719999999997</v>
      </c>
      <c r="Q59" s="13" t="s">
        <v>67</v>
      </c>
      <c r="R59" s="13" t="s">
        <v>29</v>
      </c>
      <c r="S59" s="17">
        <v>0.8385532407407408</v>
      </c>
      <c r="T59" s="17">
        <f t="shared" si="5"/>
        <v>0.04590277778</v>
      </c>
      <c r="U59" s="17">
        <f t="shared" si="6"/>
        <v>0.001747685185</v>
      </c>
      <c r="V59" s="18" t="s">
        <v>246</v>
      </c>
      <c r="W59" s="13" t="s">
        <v>31</v>
      </c>
      <c r="X59" s="13">
        <v>0.0</v>
      </c>
      <c r="Y59" s="13" t="s">
        <v>41</v>
      </c>
      <c r="Z59" s="13" t="s">
        <v>247</v>
      </c>
      <c r="AA59" s="15" t="s">
        <v>160</v>
      </c>
      <c r="AB59" s="15" t="s">
        <v>248</v>
      </c>
      <c r="AC59" s="18" t="str">
        <f t="shared" si="8"/>
        <v>link</v>
      </c>
    </row>
    <row r="60">
      <c r="A60" s="6">
        <v>59.0</v>
      </c>
      <c r="B60" s="7">
        <v>0.8374202314807917</v>
      </c>
      <c r="C60" s="7">
        <v>0.8370730092585694</v>
      </c>
      <c r="D60" s="48">
        <f t="shared" si="1"/>
        <v>0.836725787</v>
      </c>
      <c r="E60" s="48">
        <f t="shared" si="2"/>
        <v>0.0002288310206</v>
      </c>
      <c r="F60" s="49">
        <f t="shared" si="3"/>
        <v>0.04407532407</v>
      </c>
      <c r="G60" s="6" t="s">
        <v>23</v>
      </c>
      <c r="H60" s="6" t="s">
        <v>24</v>
      </c>
      <c r="I60" s="8" t="s">
        <v>249</v>
      </c>
      <c r="J60" s="6">
        <v>2.0</v>
      </c>
      <c r="K60" s="9">
        <v>0.8375</v>
      </c>
      <c r="L60" s="9">
        <f t="shared" si="4"/>
        <v>0.04484953704</v>
      </c>
      <c r="M60" s="6" t="s">
        <v>26</v>
      </c>
      <c r="N60" s="6" t="s">
        <v>27</v>
      </c>
      <c r="O60" s="6">
        <v>3.11</v>
      </c>
      <c r="P60" s="50">
        <v>300.17719999999997</v>
      </c>
      <c r="Q60" s="6" t="s">
        <v>39</v>
      </c>
      <c r="R60" s="6" t="s">
        <v>29</v>
      </c>
      <c r="S60" s="10">
        <v>0.8386111111111111</v>
      </c>
      <c r="T60" s="10">
        <f t="shared" si="5"/>
        <v>0.04596064815</v>
      </c>
      <c r="U60" s="10">
        <f t="shared" si="6"/>
        <v>0.001111111111</v>
      </c>
      <c r="V60" s="11" t="s">
        <v>250</v>
      </c>
      <c r="W60" s="6" t="s">
        <v>31</v>
      </c>
      <c r="X60" s="6">
        <v>3.0</v>
      </c>
      <c r="Y60" s="6" t="s">
        <v>41</v>
      </c>
      <c r="Z60" s="6" t="s">
        <v>251</v>
      </c>
      <c r="AA60" s="8" t="s">
        <v>252</v>
      </c>
      <c r="AB60" s="8" t="s">
        <v>253</v>
      </c>
      <c r="AC60" s="11" t="str">
        <f t="shared" si="8"/>
        <v>link</v>
      </c>
    </row>
    <row r="61">
      <c r="A61" s="13">
        <v>60.0</v>
      </c>
      <c r="B61" s="14">
        <v>0.8376490625014412</v>
      </c>
      <c r="C61" s="14">
        <v>0.837301840279219</v>
      </c>
      <c r="D61" s="51">
        <f t="shared" si="1"/>
        <v>0.8369546181</v>
      </c>
      <c r="E61" s="51">
        <f t="shared" si="2"/>
        <v>0.002385868058</v>
      </c>
      <c r="F61" s="52">
        <f t="shared" si="3"/>
        <v>0.04430415509</v>
      </c>
      <c r="G61" s="13" t="s">
        <v>37</v>
      </c>
      <c r="H61" s="13" t="s">
        <v>24</v>
      </c>
      <c r="I61" s="15" t="s">
        <v>254</v>
      </c>
      <c r="J61" s="13">
        <v>3.0</v>
      </c>
      <c r="K61" s="16">
        <v>0.8381944444444445</v>
      </c>
      <c r="L61" s="16">
        <f t="shared" si="4"/>
        <v>0.04554398148</v>
      </c>
      <c r="M61" s="13" t="s">
        <v>26</v>
      </c>
      <c r="N61" s="13" t="s">
        <v>27</v>
      </c>
      <c r="O61" s="13">
        <v>1.86</v>
      </c>
      <c r="P61" s="53">
        <v>180.0</v>
      </c>
      <c r="Q61" s="13" t="s">
        <v>28</v>
      </c>
      <c r="R61" s="13" t="s">
        <v>29</v>
      </c>
      <c r="S61" s="17">
        <v>0.8392361111111111</v>
      </c>
      <c r="T61" s="17">
        <f t="shared" si="5"/>
        <v>0.04658564815</v>
      </c>
      <c r="U61" s="17">
        <f t="shared" si="6"/>
        <v>0.001041666667</v>
      </c>
      <c r="V61" s="18" t="s">
        <v>255</v>
      </c>
      <c r="W61" s="13" t="s">
        <v>31</v>
      </c>
      <c r="X61" s="13">
        <v>1.0</v>
      </c>
      <c r="Y61" s="13" t="s">
        <v>32</v>
      </c>
      <c r="Z61" s="13" t="s">
        <v>33</v>
      </c>
      <c r="AA61" s="15" t="s">
        <v>42</v>
      </c>
      <c r="AB61" s="15" t="s">
        <v>256</v>
      </c>
      <c r="AC61" s="18" t="str">
        <f t="shared" si="8"/>
        <v>link</v>
      </c>
    </row>
    <row r="62">
      <c r="A62" s="6">
        <v>61.0</v>
      </c>
      <c r="B62" s="7">
        <v>0.8400349305593409</v>
      </c>
      <c r="C62" s="7">
        <v>0.8396877083371186</v>
      </c>
      <c r="D62" s="48">
        <f t="shared" si="1"/>
        <v>0.8393404861</v>
      </c>
      <c r="E62" s="48">
        <f t="shared" si="2"/>
        <v>0.0003889699001</v>
      </c>
      <c r="F62" s="49">
        <f t="shared" si="3"/>
        <v>0.04669002315</v>
      </c>
      <c r="G62" s="6" t="s">
        <v>23</v>
      </c>
      <c r="H62" s="6" t="s">
        <v>24</v>
      </c>
      <c r="I62" s="8" t="s">
        <v>257</v>
      </c>
      <c r="J62" s="6">
        <v>3.0</v>
      </c>
      <c r="K62" s="9">
        <v>0.8402777777777778</v>
      </c>
      <c r="L62" s="9">
        <f t="shared" si="4"/>
        <v>0.04762731481</v>
      </c>
      <c r="M62" s="6" t="s">
        <v>26</v>
      </c>
      <c r="N62" s="6" t="s">
        <v>27</v>
      </c>
      <c r="O62" s="6">
        <v>2.07</v>
      </c>
      <c r="P62" s="50">
        <v>199.79639999999998</v>
      </c>
      <c r="Q62" s="6" t="s">
        <v>28</v>
      </c>
      <c r="R62" s="6" t="s">
        <v>29</v>
      </c>
      <c r="S62" s="10">
        <v>0.8417592592592592</v>
      </c>
      <c r="T62" s="10">
        <f t="shared" si="5"/>
        <v>0.0491087963</v>
      </c>
      <c r="U62" s="10">
        <f t="shared" si="6"/>
        <v>0.001481481481</v>
      </c>
      <c r="V62" s="11" t="s">
        <v>258</v>
      </c>
      <c r="W62" s="6" t="s">
        <v>31</v>
      </c>
      <c r="X62" s="6">
        <v>0.0</v>
      </c>
      <c r="Y62" s="6" t="s">
        <v>41</v>
      </c>
      <c r="Z62" s="6" t="s">
        <v>33</v>
      </c>
      <c r="AA62" s="8" t="s">
        <v>47</v>
      </c>
      <c r="AB62" s="8" t="s">
        <v>259</v>
      </c>
      <c r="AC62" s="11" t="str">
        <f t="shared" si="8"/>
        <v>link</v>
      </c>
    </row>
    <row r="63">
      <c r="A63" s="13">
        <v>62.0</v>
      </c>
      <c r="B63" s="14">
        <v>0.8404239004594274</v>
      </c>
      <c r="C63" s="14">
        <v>0.8400766782372051</v>
      </c>
      <c r="D63" s="51">
        <f t="shared" si="1"/>
        <v>0.839729456</v>
      </c>
      <c r="E63" s="51">
        <f t="shared" si="2"/>
        <v>0.001332013897</v>
      </c>
      <c r="F63" s="52">
        <f t="shared" si="3"/>
        <v>0.04707899305</v>
      </c>
      <c r="G63" s="13" t="s">
        <v>49</v>
      </c>
      <c r="H63" s="13" t="s">
        <v>24</v>
      </c>
      <c r="I63" s="15" t="s">
        <v>260</v>
      </c>
      <c r="J63" s="13">
        <v>3.0</v>
      </c>
      <c r="K63" s="16">
        <v>0.8416666666666667</v>
      </c>
      <c r="L63" s="16">
        <f t="shared" si="4"/>
        <v>0.0490162037</v>
      </c>
      <c r="M63" s="13" t="s">
        <v>26</v>
      </c>
      <c r="N63" s="13" t="s">
        <v>27</v>
      </c>
      <c r="O63" s="13">
        <v>5.86</v>
      </c>
      <c r="P63" s="53">
        <v>570.0</v>
      </c>
      <c r="Q63" s="13" t="s">
        <v>28</v>
      </c>
      <c r="R63" s="13" t="s">
        <v>29</v>
      </c>
      <c r="S63" s="17">
        <v>0.8427083333333333</v>
      </c>
      <c r="T63" s="17">
        <f t="shared" si="5"/>
        <v>0.05005787037</v>
      </c>
      <c r="U63" s="17">
        <f t="shared" si="6"/>
        <v>0.001041666667</v>
      </c>
      <c r="V63" s="18" t="s">
        <v>261</v>
      </c>
      <c r="W63" s="13" t="s">
        <v>31</v>
      </c>
      <c r="X63" s="13">
        <v>1.0</v>
      </c>
      <c r="Y63" s="13" t="s">
        <v>41</v>
      </c>
      <c r="Z63" s="13" t="s">
        <v>33</v>
      </c>
      <c r="AA63" s="15" t="s">
        <v>53</v>
      </c>
      <c r="AB63" s="15" t="s">
        <v>262</v>
      </c>
      <c r="AC63" s="18" t="str">
        <f t="shared" si="8"/>
        <v>link</v>
      </c>
    </row>
    <row r="64">
      <c r="A64" s="6">
        <v>63.0</v>
      </c>
      <c r="B64" s="7">
        <v>0.8417559143563267</v>
      </c>
      <c r="C64" s="7">
        <v>0.8414086921341044</v>
      </c>
      <c r="D64" s="48">
        <f t="shared" si="1"/>
        <v>0.8410614699</v>
      </c>
      <c r="E64" s="48">
        <f t="shared" si="2"/>
        <v>0.0004527661949</v>
      </c>
      <c r="F64" s="49">
        <f t="shared" si="3"/>
        <v>0.04841100695</v>
      </c>
      <c r="G64" s="6" t="s">
        <v>49</v>
      </c>
      <c r="H64" s="6" t="s">
        <v>24</v>
      </c>
      <c r="I64" s="8" t="s">
        <v>263</v>
      </c>
      <c r="J64" s="6">
        <v>4.0</v>
      </c>
      <c r="K64" s="9">
        <v>0.8416666666666667</v>
      </c>
      <c r="L64" s="9">
        <f t="shared" si="4"/>
        <v>0.0490162037</v>
      </c>
      <c r="M64" s="6" t="s">
        <v>26</v>
      </c>
      <c r="N64" s="6" t="s">
        <v>27</v>
      </c>
      <c r="O64" s="6">
        <v>1.04</v>
      </c>
      <c r="P64" s="50">
        <v>100.3808</v>
      </c>
      <c r="Q64" s="6" t="s">
        <v>39</v>
      </c>
      <c r="R64" s="6" t="s">
        <v>29</v>
      </c>
      <c r="S64" s="10">
        <v>0.8431018518518518</v>
      </c>
      <c r="T64" s="10">
        <f t="shared" si="5"/>
        <v>0.05045138889</v>
      </c>
      <c r="U64" s="10">
        <f t="shared" si="6"/>
        <v>0.001435185185</v>
      </c>
      <c r="V64" s="11" t="s">
        <v>264</v>
      </c>
      <c r="W64" s="6" t="s">
        <v>31</v>
      </c>
      <c r="X64" s="6">
        <v>0.0</v>
      </c>
      <c r="Y64" s="6" t="s">
        <v>32</v>
      </c>
      <c r="Z64" s="6" t="s">
        <v>33</v>
      </c>
      <c r="AA64" s="8" t="s">
        <v>112</v>
      </c>
      <c r="AB64" s="8" t="s">
        <v>265</v>
      </c>
      <c r="AC64" s="11" t="str">
        <f t="shared" si="8"/>
        <v>link</v>
      </c>
    </row>
    <row r="65">
      <c r="A65" s="13">
        <v>64.0</v>
      </c>
      <c r="B65" s="14">
        <v>0.8422086805512663</v>
      </c>
      <c r="C65" s="14">
        <v>0.841861458329044</v>
      </c>
      <c r="D65" s="51">
        <f t="shared" si="1"/>
        <v>0.8415142361</v>
      </c>
      <c r="E65" s="51">
        <f t="shared" si="2"/>
        <v>0.0005651388929</v>
      </c>
      <c r="F65" s="52">
        <f t="shared" si="3"/>
        <v>0.04886377314</v>
      </c>
      <c r="G65" s="13" t="s">
        <v>37</v>
      </c>
      <c r="H65" s="13" t="s">
        <v>24</v>
      </c>
      <c r="I65" s="15" t="s">
        <v>266</v>
      </c>
      <c r="J65" s="13">
        <v>2.0</v>
      </c>
      <c r="K65" s="16">
        <v>0.8423611111111111</v>
      </c>
      <c r="L65" s="16">
        <f t="shared" si="4"/>
        <v>0.04971064815</v>
      </c>
      <c r="M65" s="13" t="s">
        <v>26</v>
      </c>
      <c r="N65" s="13" t="s">
        <v>27</v>
      </c>
      <c r="O65" s="13">
        <v>10.36</v>
      </c>
      <c r="P65" s="53">
        <v>999.9472</v>
      </c>
      <c r="Q65" s="13" t="s">
        <v>28</v>
      </c>
      <c r="R65" s="13" t="s">
        <v>29</v>
      </c>
      <c r="S65" s="17">
        <v>0.8435300925925926</v>
      </c>
      <c r="T65" s="17">
        <f t="shared" si="5"/>
        <v>0.05087962963</v>
      </c>
      <c r="U65" s="17">
        <f t="shared" si="6"/>
        <v>0.001168981481</v>
      </c>
      <c r="V65" s="18" t="s">
        <v>267</v>
      </c>
      <c r="W65" s="13" t="s">
        <v>31</v>
      </c>
      <c r="X65" s="13">
        <v>0.0</v>
      </c>
      <c r="Y65" s="13" t="s">
        <v>41</v>
      </c>
      <c r="Z65" s="13" t="s">
        <v>33</v>
      </c>
      <c r="AA65" s="15" t="s">
        <v>42</v>
      </c>
      <c r="AB65" s="15" t="s">
        <v>268</v>
      </c>
      <c r="AC65" s="18" t="str">
        <f t="shared" si="8"/>
        <v>link</v>
      </c>
    </row>
    <row r="66">
      <c r="A66" s="6">
        <v>65.0</v>
      </c>
      <c r="B66" s="7">
        <v>0.842773819444119</v>
      </c>
      <c r="C66" s="7">
        <v>0.8424265972218967</v>
      </c>
      <c r="D66" s="48">
        <f t="shared" si="1"/>
        <v>0.842079375</v>
      </c>
      <c r="E66" s="48">
        <f t="shared" si="2"/>
        <v>0.0002868287047</v>
      </c>
      <c r="F66" s="49">
        <f t="shared" si="3"/>
        <v>0.04942891204</v>
      </c>
      <c r="G66" s="6" t="s">
        <v>23</v>
      </c>
      <c r="H66" s="6" t="s">
        <v>144</v>
      </c>
      <c r="I66" s="8" t="s">
        <v>269</v>
      </c>
      <c r="J66" s="6">
        <v>3.0</v>
      </c>
      <c r="K66" s="9">
        <v>0.8430555555555556</v>
      </c>
      <c r="L66" s="9">
        <f t="shared" si="4"/>
        <v>0.05040509259</v>
      </c>
      <c r="M66" s="6" t="s">
        <v>26</v>
      </c>
      <c r="N66" s="6" t="s">
        <v>27</v>
      </c>
      <c r="O66" s="6">
        <v>2.07</v>
      </c>
      <c r="P66" s="50">
        <v>199.79639999999998</v>
      </c>
      <c r="Q66" s="6" t="s">
        <v>28</v>
      </c>
      <c r="R66" s="6" t="s">
        <v>29</v>
      </c>
      <c r="S66" s="10">
        <v>0.8444328703703704</v>
      </c>
      <c r="T66" s="10">
        <f t="shared" si="5"/>
        <v>0.05178240741</v>
      </c>
      <c r="U66" s="10">
        <f t="shared" si="6"/>
        <v>0.001377314815</v>
      </c>
      <c r="V66" s="11" t="s">
        <v>270</v>
      </c>
      <c r="W66" s="6" t="s">
        <v>31</v>
      </c>
      <c r="X66" s="6">
        <v>0.0</v>
      </c>
      <c r="Y66" s="6" t="s">
        <v>32</v>
      </c>
      <c r="Z66" s="6" t="s">
        <v>147</v>
      </c>
      <c r="AA66" s="8" t="s">
        <v>34</v>
      </c>
      <c r="AB66" s="8" t="s">
        <v>73</v>
      </c>
      <c r="AC66" s="11" t="str">
        <f t="shared" si="8"/>
        <v>link</v>
      </c>
    </row>
    <row r="67">
      <c r="A67" s="13">
        <v>66.0</v>
      </c>
      <c r="B67" s="14">
        <v>0.8430606481488212</v>
      </c>
      <c r="C67" s="14">
        <v>0.8427134259265989</v>
      </c>
      <c r="D67" s="51">
        <f t="shared" si="1"/>
        <v>0.8423662037</v>
      </c>
      <c r="E67" s="51">
        <f t="shared" si="2"/>
        <v>0.00002856481296</v>
      </c>
      <c r="F67" s="52">
        <f t="shared" si="3"/>
        <v>0.04971574074</v>
      </c>
      <c r="G67" s="13" t="s">
        <v>37</v>
      </c>
      <c r="H67" s="13" t="s">
        <v>24</v>
      </c>
      <c r="I67" s="15" t="s">
        <v>271</v>
      </c>
      <c r="J67" s="13">
        <v>2.0</v>
      </c>
      <c r="K67" s="16">
        <v>0.84375</v>
      </c>
      <c r="L67" s="16">
        <f t="shared" si="4"/>
        <v>0.05109953704</v>
      </c>
      <c r="M67" s="13" t="s">
        <v>26</v>
      </c>
      <c r="N67" s="13" t="s">
        <v>27</v>
      </c>
      <c r="O67" s="13">
        <v>27.99</v>
      </c>
      <c r="P67" s="53">
        <v>2700.0</v>
      </c>
      <c r="Q67" s="13" t="s">
        <v>39</v>
      </c>
      <c r="R67" s="13" t="s">
        <v>29</v>
      </c>
      <c r="S67" s="17">
        <v>0.8456481481481481</v>
      </c>
      <c r="T67" s="17">
        <f t="shared" si="5"/>
        <v>0.05299768519</v>
      </c>
      <c r="U67" s="17">
        <f t="shared" si="6"/>
        <v>0.001898148148</v>
      </c>
      <c r="V67" s="18" t="s">
        <v>272</v>
      </c>
      <c r="W67" s="13" t="s">
        <v>31</v>
      </c>
      <c r="X67" s="13">
        <v>0.0</v>
      </c>
      <c r="Y67" s="13" t="s">
        <v>32</v>
      </c>
      <c r="Z67" s="13" t="s">
        <v>33</v>
      </c>
      <c r="AA67" s="15" t="s">
        <v>42</v>
      </c>
      <c r="AB67" s="15" t="s">
        <v>273</v>
      </c>
      <c r="AC67" s="18" t="str">
        <f t="shared" si="8"/>
        <v>link</v>
      </c>
    </row>
    <row r="68">
      <c r="A68" s="6">
        <v>67.0</v>
      </c>
      <c r="B68" s="7">
        <v>0.843089212961786</v>
      </c>
      <c r="C68" s="7">
        <v>0.8427419907395637</v>
      </c>
      <c r="D68" s="48">
        <f t="shared" si="1"/>
        <v>0.8423947685</v>
      </c>
      <c r="E68" s="48">
        <f t="shared" si="2"/>
        <v>0.0009789120377</v>
      </c>
      <c r="F68" s="49">
        <f t="shared" si="3"/>
        <v>0.04974430555</v>
      </c>
      <c r="G68" s="6" t="s">
        <v>49</v>
      </c>
      <c r="H68" s="6" t="s">
        <v>24</v>
      </c>
      <c r="I68" s="8" t="s">
        <v>274</v>
      </c>
      <c r="J68" s="6">
        <v>1.0</v>
      </c>
      <c r="K68" s="9">
        <v>0.84375</v>
      </c>
      <c r="L68" s="9">
        <f t="shared" si="4"/>
        <v>0.05109953704</v>
      </c>
      <c r="M68" s="6" t="s">
        <v>36</v>
      </c>
      <c r="N68" s="6" t="s">
        <v>27</v>
      </c>
      <c r="O68" s="6">
        <v>5.86</v>
      </c>
      <c r="P68" s="50">
        <f>O68*85.325</f>
        <v>500.0045</v>
      </c>
      <c r="Q68" s="6" t="s">
        <v>28</v>
      </c>
      <c r="R68" s="6" t="s">
        <v>29</v>
      </c>
      <c r="S68" s="10">
        <v>0.845</v>
      </c>
      <c r="T68" s="10">
        <f t="shared" si="5"/>
        <v>0.05234953704</v>
      </c>
      <c r="U68" s="10">
        <f t="shared" si="6"/>
        <v>0.00125</v>
      </c>
      <c r="V68" s="11" t="s">
        <v>275</v>
      </c>
      <c r="W68" s="6" t="s">
        <v>52</v>
      </c>
      <c r="X68" s="6">
        <v>0.0</v>
      </c>
      <c r="Y68" s="6" t="s">
        <v>41</v>
      </c>
      <c r="Z68" s="6" t="s">
        <v>33</v>
      </c>
      <c r="AA68" s="8" t="s">
        <v>276</v>
      </c>
      <c r="AB68" s="8" t="s">
        <v>277</v>
      </c>
      <c r="AC68" s="11" t="str">
        <f t="shared" si="8"/>
        <v>link</v>
      </c>
    </row>
    <row r="69">
      <c r="A69" s="13">
        <v>68.0</v>
      </c>
      <c r="B69" s="14">
        <v>0.8440681249994668</v>
      </c>
      <c r="C69" s="14">
        <v>0.8437209027772445</v>
      </c>
      <c r="D69" s="51">
        <f t="shared" si="1"/>
        <v>0.8433736806</v>
      </c>
      <c r="E69" s="51">
        <f t="shared" si="2"/>
        <v>0.001785266206</v>
      </c>
      <c r="F69" s="52">
        <f t="shared" si="3"/>
        <v>0.05072321759</v>
      </c>
      <c r="G69" s="13" t="s">
        <v>49</v>
      </c>
      <c r="H69" s="13" t="s">
        <v>24</v>
      </c>
      <c r="I69" s="15" t="s">
        <v>278</v>
      </c>
      <c r="J69" s="13">
        <v>4.0</v>
      </c>
      <c r="K69" s="16">
        <v>0.8451388888888889</v>
      </c>
      <c r="L69" s="16">
        <f t="shared" si="4"/>
        <v>0.05248842593</v>
      </c>
      <c r="M69" s="13" t="s">
        <v>26</v>
      </c>
      <c r="N69" s="13" t="s">
        <v>27</v>
      </c>
      <c r="O69" s="13">
        <v>5.16</v>
      </c>
      <c r="P69" s="53">
        <v>500.0</v>
      </c>
      <c r="Q69" s="13" t="s">
        <v>28</v>
      </c>
      <c r="R69" s="13" t="s">
        <v>29</v>
      </c>
      <c r="S69" s="17">
        <v>0.8464930555555555</v>
      </c>
      <c r="T69" s="17">
        <f t="shared" si="5"/>
        <v>0.05384259259</v>
      </c>
      <c r="U69" s="17">
        <f t="shared" si="6"/>
        <v>0.001354166667</v>
      </c>
      <c r="V69" s="18" t="s">
        <v>279</v>
      </c>
      <c r="W69" s="13" t="s">
        <v>52</v>
      </c>
      <c r="X69" s="13">
        <v>0.0</v>
      </c>
      <c r="Y69" s="13" t="s">
        <v>41</v>
      </c>
      <c r="Z69" s="13" t="s">
        <v>33</v>
      </c>
      <c r="AA69" s="15" t="s">
        <v>112</v>
      </c>
      <c r="AB69" s="15" t="s">
        <v>280</v>
      </c>
      <c r="AC69" s="18" t="str">
        <f t="shared" si="8"/>
        <v>link</v>
      </c>
    </row>
    <row r="70">
      <c r="A70" s="6">
        <v>69.0</v>
      </c>
      <c r="B70" s="7">
        <v>0.8458533912053099</v>
      </c>
      <c r="C70" s="7">
        <v>0.8455061689830876</v>
      </c>
      <c r="D70" s="48">
        <f t="shared" si="1"/>
        <v>0.8451589468</v>
      </c>
      <c r="E70" s="48">
        <f t="shared" si="2"/>
        <v>0.0002601967572</v>
      </c>
      <c r="F70" s="49">
        <f t="shared" si="3"/>
        <v>0.0525084838</v>
      </c>
      <c r="G70" s="6" t="s">
        <v>37</v>
      </c>
      <c r="H70" s="6" t="s">
        <v>24</v>
      </c>
      <c r="I70" s="8" t="s">
        <v>281</v>
      </c>
      <c r="J70" s="6">
        <v>2.0</v>
      </c>
      <c r="K70" s="9">
        <v>0.8458333333333333</v>
      </c>
      <c r="L70" s="9">
        <f t="shared" si="4"/>
        <v>0.05318287037</v>
      </c>
      <c r="M70" s="6" t="s">
        <v>26</v>
      </c>
      <c r="N70" s="6" t="s">
        <v>27</v>
      </c>
      <c r="O70" s="6">
        <v>1.04</v>
      </c>
      <c r="P70" s="50">
        <v>100.3808</v>
      </c>
      <c r="Q70" s="6" t="s">
        <v>28</v>
      </c>
      <c r="R70" s="6" t="s">
        <v>29</v>
      </c>
      <c r="S70" s="10">
        <v>0.8470717592592593</v>
      </c>
      <c r="T70" s="10">
        <f t="shared" si="5"/>
        <v>0.0544212963</v>
      </c>
      <c r="U70" s="10">
        <f t="shared" si="6"/>
        <v>0.001238425926</v>
      </c>
      <c r="V70" s="11" t="s">
        <v>282</v>
      </c>
      <c r="W70" s="6" t="s">
        <v>31</v>
      </c>
      <c r="X70" s="6">
        <v>0.0</v>
      </c>
      <c r="Y70" s="6" t="s">
        <v>32</v>
      </c>
      <c r="Z70" s="6" t="s">
        <v>33</v>
      </c>
      <c r="AA70" s="8" t="s">
        <v>42</v>
      </c>
      <c r="AB70" s="8" t="s">
        <v>283</v>
      </c>
      <c r="AC70" s="11" t="str">
        <f t="shared" si="8"/>
        <v>link</v>
      </c>
    </row>
    <row r="71">
      <c r="A71" s="13">
        <v>70.0</v>
      </c>
      <c r="B71" s="14">
        <v>0.8461135879624635</v>
      </c>
      <c r="C71" s="14">
        <v>0.8457663657402412</v>
      </c>
      <c r="D71" s="51">
        <f t="shared" si="1"/>
        <v>0.8454191435</v>
      </c>
      <c r="E71" s="51">
        <f t="shared" si="2"/>
        <v>0.0004584143535</v>
      </c>
      <c r="F71" s="52">
        <f t="shared" si="3"/>
        <v>0.05276868056</v>
      </c>
      <c r="G71" s="13" t="s">
        <v>23</v>
      </c>
      <c r="H71" s="13" t="s">
        <v>24</v>
      </c>
      <c r="I71" s="15" t="s">
        <v>284</v>
      </c>
      <c r="J71" s="13">
        <v>2.0</v>
      </c>
      <c r="K71" s="16">
        <v>0.8465277777777778</v>
      </c>
      <c r="L71" s="16">
        <f t="shared" si="4"/>
        <v>0.05387731481</v>
      </c>
      <c r="M71" s="13" t="s">
        <v>26</v>
      </c>
      <c r="N71" s="13" t="s">
        <v>27</v>
      </c>
      <c r="O71" s="13">
        <v>0.52</v>
      </c>
      <c r="P71" s="53">
        <v>50.1904</v>
      </c>
      <c r="Q71" s="13" t="s">
        <v>28</v>
      </c>
      <c r="R71" s="13" t="s">
        <v>29</v>
      </c>
      <c r="S71" s="17">
        <v>0.8472569444444444</v>
      </c>
      <c r="T71" s="17">
        <f t="shared" si="5"/>
        <v>0.05460648148</v>
      </c>
      <c r="U71" s="17">
        <f t="shared" si="6"/>
        <v>0.0007291666667</v>
      </c>
      <c r="V71" s="18" t="s">
        <v>285</v>
      </c>
      <c r="W71" s="13" t="s">
        <v>31</v>
      </c>
      <c r="X71" s="13">
        <v>0.0</v>
      </c>
      <c r="Y71" s="13" t="s">
        <v>32</v>
      </c>
      <c r="Z71" s="13" t="s">
        <v>220</v>
      </c>
      <c r="AA71" s="15" t="s">
        <v>34</v>
      </c>
      <c r="AB71" s="15" t="s">
        <v>286</v>
      </c>
      <c r="AC71" s="18" t="str">
        <f t="shared" si="8"/>
        <v>link</v>
      </c>
    </row>
    <row r="72">
      <c r="A72" s="6">
        <v>71.0</v>
      </c>
      <c r="B72" s="7">
        <v>0.846572002315952</v>
      </c>
      <c r="C72" s="7">
        <v>0.8462247800937297</v>
      </c>
      <c r="D72" s="48">
        <f t="shared" si="1"/>
        <v>0.8458775579</v>
      </c>
      <c r="E72" s="48">
        <f t="shared" si="2"/>
        <v>0.002161770833</v>
      </c>
      <c r="F72" s="49">
        <f t="shared" si="3"/>
        <v>0.05322709491</v>
      </c>
      <c r="G72" s="6" t="s">
        <v>44</v>
      </c>
      <c r="H72" s="6" t="s">
        <v>24</v>
      </c>
      <c r="I72" s="8" t="s">
        <v>287</v>
      </c>
      <c r="J72" s="6">
        <v>4.0</v>
      </c>
      <c r="K72" s="9">
        <v>0.8465277777777778</v>
      </c>
      <c r="L72" s="9">
        <f t="shared" si="4"/>
        <v>0.05387731481</v>
      </c>
      <c r="M72" s="6" t="s">
        <v>26</v>
      </c>
      <c r="N72" s="6" t="s">
        <v>27</v>
      </c>
      <c r="O72" s="6">
        <v>1.04</v>
      </c>
      <c r="P72" s="50">
        <v>100.3808</v>
      </c>
      <c r="Q72" s="6" t="s">
        <v>28</v>
      </c>
      <c r="R72" s="6" t="s">
        <v>29</v>
      </c>
      <c r="S72" s="10">
        <v>0.8486574074074074</v>
      </c>
      <c r="T72" s="10">
        <f t="shared" si="5"/>
        <v>0.05600694444</v>
      </c>
      <c r="U72" s="10">
        <f t="shared" si="6"/>
        <v>0.00212962963</v>
      </c>
      <c r="V72" s="11" t="s">
        <v>288</v>
      </c>
      <c r="W72" s="6" t="s">
        <v>31</v>
      </c>
      <c r="X72" s="6">
        <v>0.0</v>
      </c>
      <c r="Y72" s="6" t="s">
        <v>32</v>
      </c>
      <c r="Z72" s="6" t="s">
        <v>33</v>
      </c>
      <c r="AA72" s="8" t="s">
        <v>289</v>
      </c>
      <c r="AB72" s="8" t="s">
        <v>290</v>
      </c>
      <c r="AC72" s="11" t="str">
        <f t="shared" si="8"/>
        <v>link</v>
      </c>
    </row>
    <row r="73">
      <c r="A73" s="13">
        <v>72.0</v>
      </c>
      <c r="B73" s="14">
        <v>0.8487337731494335</v>
      </c>
      <c r="C73" s="14">
        <v>0.8483865509272113</v>
      </c>
      <c r="D73" s="51">
        <f t="shared" si="1"/>
        <v>0.8480393287</v>
      </c>
      <c r="E73" s="51">
        <f t="shared" si="2"/>
        <v>0.000749166662</v>
      </c>
      <c r="F73" s="52">
        <f t="shared" si="3"/>
        <v>0.05538886574</v>
      </c>
      <c r="G73" s="13" t="s">
        <v>37</v>
      </c>
      <c r="H73" s="13" t="s">
        <v>24</v>
      </c>
      <c r="I73" s="15" t="s">
        <v>291</v>
      </c>
      <c r="J73" s="13">
        <v>2.0</v>
      </c>
      <c r="K73" s="16">
        <v>0.8486111111111111</v>
      </c>
      <c r="L73" s="16">
        <f t="shared" si="4"/>
        <v>0.05596064815</v>
      </c>
      <c r="M73" s="13" t="s">
        <v>26</v>
      </c>
      <c r="N73" s="13" t="s">
        <v>27</v>
      </c>
      <c r="O73" s="13">
        <v>31.31</v>
      </c>
      <c r="P73" s="53">
        <v>3020.0</v>
      </c>
      <c r="Q73" s="13" t="s">
        <v>39</v>
      </c>
      <c r="R73" s="13" t="s">
        <v>29</v>
      </c>
      <c r="S73" s="17">
        <v>0.8508796296296296</v>
      </c>
      <c r="T73" s="17">
        <f t="shared" si="5"/>
        <v>0.05822916667</v>
      </c>
      <c r="U73" s="17">
        <f t="shared" si="6"/>
        <v>0.002268518519</v>
      </c>
      <c r="V73" s="18" t="s">
        <v>292</v>
      </c>
      <c r="W73" s="13" t="s">
        <v>31</v>
      </c>
      <c r="X73" s="13">
        <v>0.0</v>
      </c>
      <c r="Y73" s="13" t="s">
        <v>41</v>
      </c>
      <c r="Z73" s="13" t="s">
        <v>101</v>
      </c>
      <c r="AA73" s="15" t="s">
        <v>164</v>
      </c>
      <c r="AB73" s="15" t="s">
        <v>293</v>
      </c>
      <c r="AC73" s="18" t="str">
        <f t="shared" si="8"/>
        <v>link</v>
      </c>
    </row>
    <row r="74">
      <c r="A74" s="6">
        <v>73.0</v>
      </c>
      <c r="B74" s="7">
        <v>0.8494829398114234</v>
      </c>
      <c r="C74" s="7">
        <v>0.8491357175892011</v>
      </c>
      <c r="D74" s="48">
        <f t="shared" si="1"/>
        <v>0.8487884954</v>
      </c>
      <c r="E74" s="48">
        <f t="shared" si="2"/>
        <v>0.0002154745453</v>
      </c>
      <c r="F74" s="49">
        <f t="shared" si="3"/>
        <v>0.0561380324</v>
      </c>
      <c r="G74" s="6" t="s">
        <v>169</v>
      </c>
      <c r="H74" s="6" t="s">
        <v>24</v>
      </c>
      <c r="I74" s="8" t="s">
        <v>294</v>
      </c>
      <c r="J74" s="6">
        <v>3.0</v>
      </c>
      <c r="K74" s="9">
        <v>0.8493055555555555</v>
      </c>
      <c r="L74" s="9">
        <f t="shared" si="4"/>
        <v>0.05665509259</v>
      </c>
      <c r="M74" s="6" t="s">
        <v>26</v>
      </c>
      <c r="N74" s="6" t="s">
        <v>27</v>
      </c>
      <c r="O74" s="6">
        <v>29.3</v>
      </c>
      <c r="P74" s="50">
        <v>2830.0</v>
      </c>
      <c r="Q74" s="6" t="s">
        <v>28</v>
      </c>
      <c r="R74" s="6" t="s">
        <v>29</v>
      </c>
      <c r="S74" s="10">
        <v>0.853125</v>
      </c>
      <c r="T74" s="10">
        <f t="shared" si="5"/>
        <v>0.06047453704</v>
      </c>
      <c r="U74" s="10">
        <f t="shared" si="6"/>
        <v>0.003819444444</v>
      </c>
      <c r="V74" s="11" t="s">
        <v>295</v>
      </c>
      <c r="W74" s="6" t="s">
        <v>31</v>
      </c>
      <c r="X74" s="6">
        <v>0.0</v>
      </c>
      <c r="Y74" s="6" t="s">
        <v>41</v>
      </c>
      <c r="Z74" s="6" t="s">
        <v>101</v>
      </c>
      <c r="AA74" s="8" t="s">
        <v>53</v>
      </c>
      <c r="AB74" s="8" t="s">
        <v>296</v>
      </c>
      <c r="AC74" s="11" t="str">
        <f t="shared" si="8"/>
        <v>link</v>
      </c>
    </row>
    <row r="75">
      <c r="A75" s="13">
        <v>74.0</v>
      </c>
      <c r="B75" s="14">
        <v>0.8496984143566806</v>
      </c>
      <c r="C75" s="14">
        <v>0.8493511921344583</v>
      </c>
      <c r="D75" s="51">
        <f t="shared" si="1"/>
        <v>0.8490039699</v>
      </c>
      <c r="E75" s="51">
        <f t="shared" si="2"/>
        <v>0.0005281712947</v>
      </c>
      <c r="F75" s="52">
        <f t="shared" si="3"/>
        <v>0.05635350695</v>
      </c>
      <c r="G75" s="13" t="s">
        <v>37</v>
      </c>
      <c r="H75" s="13" t="s">
        <v>144</v>
      </c>
      <c r="I75" s="15" t="s">
        <v>297</v>
      </c>
      <c r="J75" s="13">
        <v>1.0</v>
      </c>
      <c r="K75" s="16">
        <v>0.85</v>
      </c>
      <c r="L75" s="16">
        <f t="shared" si="4"/>
        <v>0.05734953704</v>
      </c>
      <c r="M75" s="13" t="s">
        <v>36</v>
      </c>
      <c r="N75" s="13" t="s">
        <v>27</v>
      </c>
      <c r="O75" s="13">
        <v>13.48</v>
      </c>
      <c r="P75" s="53">
        <f>O75*85.325</f>
        <v>1150.181</v>
      </c>
      <c r="Q75" s="13" t="s">
        <v>39</v>
      </c>
      <c r="R75" s="13" t="s">
        <v>29</v>
      </c>
      <c r="S75" s="17">
        <v>0.8514814814814815</v>
      </c>
      <c r="T75" s="17">
        <f t="shared" si="5"/>
        <v>0.05883101852</v>
      </c>
      <c r="U75" s="17">
        <f t="shared" si="6"/>
        <v>0.001481481481</v>
      </c>
      <c r="V75" s="18" t="s">
        <v>298</v>
      </c>
      <c r="W75" s="13" t="s">
        <v>31</v>
      </c>
      <c r="X75" s="13">
        <v>2.0</v>
      </c>
      <c r="Y75" s="13" t="s">
        <v>32</v>
      </c>
      <c r="Z75" s="13" t="s">
        <v>147</v>
      </c>
      <c r="AA75" s="15" t="s">
        <v>97</v>
      </c>
      <c r="AB75" s="15" t="s">
        <v>299</v>
      </c>
      <c r="AC75" s="18" t="str">
        <f t="shared" si="8"/>
        <v>link</v>
      </c>
    </row>
    <row r="76">
      <c r="A76" s="6">
        <v>75.0</v>
      </c>
      <c r="B76" s="7">
        <v>0.8502265856513986</v>
      </c>
      <c r="C76" s="7">
        <v>0.8498793634291764</v>
      </c>
      <c r="D76" s="48">
        <f t="shared" si="1"/>
        <v>0.8495321412</v>
      </c>
      <c r="E76" s="48">
        <f t="shared" si="2"/>
        <v>0.004277824075</v>
      </c>
      <c r="F76" s="49">
        <f t="shared" si="3"/>
        <v>0.05688167824</v>
      </c>
      <c r="G76" s="6" t="s">
        <v>37</v>
      </c>
      <c r="H76" s="6" t="s">
        <v>24</v>
      </c>
      <c r="I76" s="8" t="s">
        <v>300</v>
      </c>
      <c r="J76" s="6">
        <v>4.0</v>
      </c>
      <c r="K76" s="9">
        <v>0.85</v>
      </c>
      <c r="L76" s="9">
        <f t="shared" si="4"/>
        <v>0.05734953704</v>
      </c>
      <c r="M76" s="6" t="s">
        <v>26</v>
      </c>
      <c r="N76" s="6" t="s">
        <v>27</v>
      </c>
      <c r="O76" s="6">
        <v>3.11</v>
      </c>
      <c r="P76" s="50">
        <v>300.17719999999997</v>
      </c>
      <c r="Q76" s="6" t="s">
        <v>28</v>
      </c>
      <c r="R76" s="6" t="s">
        <v>29</v>
      </c>
      <c r="S76" s="10">
        <v>0.8512268518518519</v>
      </c>
      <c r="T76" s="10">
        <f t="shared" si="5"/>
        <v>0.05857638889</v>
      </c>
      <c r="U76" s="10">
        <f t="shared" si="6"/>
        <v>0.001226851852</v>
      </c>
      <c r="V76" s="11" t="s">
        <v>301</v>
      </c>
      <c r="W76" s="6" t="s">
        <v>31</v>
      </c>
      <c r="X76" s="6">
        <v>4.0</v>
      </c>
      <c r="Y76" s="6" t="s">
        <v>41</v>
      </c>
      <c r="Z76" s="6" t="s">
        <v>33</v>
      </c>
      <c r="AA76" s="8" t="s">
        <v>42</v>
      </c>
      <c r="AB76" s="8" t="s">
        <v>302</v>
      </c>
      <c r="AC76" s="11" t="str">
        <f t="shared" si="8"/>
        <v>link</v>
      </c>
    </row>
    <row r="77">
      <c r="A77" s="13">
        <v>76.0</v>
      </c>
      <c r="B77" s="14">
        <v>0.8545044097263599</v>
      </c>
      <c r="C77" s="14">
        <v>0.8541571875041376</v>
      </c>
      <c r="D77" s="51">
        <f t="shared" si="1"/>
        <v>0.8538099653</v>
      </c>
      <c r="E77" s="51">
        <f t="shared" si="2"/>
        <v>0.001000324075</v>
      </c>
      <c r="F77" s="52">
        <f t="shared" si="3"/>
        <v>0.06115950232</v>
      </c>
      <c r="G77" s="13" t="s">
        <v>306</v>
      </c>
      <c r="H77" s="13" t="s">
        <v>24</v>
      </c>
      <c r="I77" s="15" t="s">
        <v>307</v>
      </c>
      <c r="J77" s="13">
        <v>1.0</v>
      </c>
      <c r="K77" s="16">
        <v>0.8548611111111111</v>
      </c>
      <c r="L77" s="16">
        <f t="shared" si="4"/>
        <v>0.06221064815</v>
      </c>
      <c r="M77" s="13" t="s">
        <v>36</v>
      </c>
      <c r="N77" s="13" t="s">
        <v>27</v>
      </c>
      <c r="O77" s="13">
        <v>9.38</v>
      </c>
      <c r="P77" s="53">
        <f>O77*85.325</f>
        <v>800.3485</v>
      </c>
      <c r="Q77" s="13" t="s">
        <v>28</v>
      </c>
      <c r="R77" s="13" t="s">
        <v>29</v>
      </c>
      <c r="S77" s="17">
        <v>0.8563194444444444</v>
      </c>
      <c r="T77" s="17">
        <f t="shared" si="5"/>
        <v>0.06366898148</v>
      </c>
      <c r="U77" s="17">
        <f t="shared" si="6"/>
        <v>0.001458333333</v>
      </c>
      <c r="V77" s="18" t="s">
        <v>308</v>
      </c>
      <c r="W77" s="13" t="s">
        <v>309</v>
      </c>
      <c r="X77" s="13">
        <v>0.0</v>
      </c>
      <c r="Y77" s="13" t="s">
        <v>41</v>
      </c>
      <c r="Z77" s="13" t="s">
        <v>33</v>
      </c>
      <c r="AA77" s="15" t="s">
        <v>92</v>
      </c>
      <c r="AB77" s="15" t="s">
        <v>310</v>
      </c>
      <c r="AC77" s="18" t="str">
        <f t="shared" si="8"/>
        <v>link</v>
      </c>
    </row>
    <row r="78">
      <c r="A78" s="6">
        <v>77.0</v>
      </c>
      <c r="B78" s="7">
        <v>0.8555047338013537</v>
      </c>
      <c r="C78" s="7">
        <v>0.8551575115791314</v>
      </c>
      <c r="D78" s="48">
        <f t="shared" si="1"/>
        <v>0.8548102894</v>
      </c>
      <c r="E78" s="48">
        <f t="shared" si="2"/>
        <v>0.002592222212</v>
      </c>
      <c r="F78" s="49">
        <f t="shared" si="3"/>
        <v>0.06215982639</v>
      </c>
      <c r="G78" s="6" t="s">
        <v>23</v>
      </c>
      <c r="H78" s="6" t="s">
        <v>24</v>
      </c>
      <c r="I78" s="8" t="s">
        <v>311</v>
      </c>
      <c r="J78" s="6">
        <v>2.0</v>
      </c>
      <c r="K78" s="9">
        <v>0.8555555555555555</v>
      </c>
      <c r="L78" s="9">
        <f t="shared" si="4"/>
        <v>0.06290509259</v>
      </c>
      <c r="M78" s="6" t="s">
        <v>26</v>
      </c>
      <c r="N78" s="6" t="s">
        <v>27</v>
      </c>
      <c r="O78" s="6">
        <v>1.04</v>
      </c>
      <c r="P78" s="50">
        <v>100.3808</v>
      </c>
      <c r="Q78" s="6" t="s">
        <v>28</v>
      </c>
      <c r="R78" s="6" t="s">
        <v>29</v>
      </c>
      <c r="S78" s="10">
        <v>0.8562037037037037</v>
      </c>
      <c r="T78" s="10">
        <f t="shared" si="5"/>
        <v>0.06355324074</v>
      </c>
      <c r="U78" s="10">
        <f t="shared" si="6"/>
        <v>0.0006481481481</v>
      </c>
      <c r="V78" s="11" t="s">
        <v>312</v>
      </c>
      <c r="W78" s="6" t="s">
        <v>31</v>
      </c>
      <c r="X78" s="6">
        <v>0.0</v>
      </c>
      <c r="Y78" s="6" t="s">
        <v>32</v>
      </c>
      <c r="Z78" s="6" t="s">
        <v>33</v>
      </c>
      <c r="AA78" s="8" t="s">
        <v>72</v>
      </c>
      <c r="AB78" s="8" t="s">
        <v>313</v>
      </c>
      <c r="AC78" s="11" t="str">
        <f t="shared" si="8"/>
        <v>link</v>
      </c>
    </row>
    <row r="79">
      <c r="A79" s="13">
        <v>78.0</v>
      </c>
      <c r="B79" s="14">
        <v>0.858096956013469</v>
      </c>
      <c r="C79" s="14">
        <v>0.8577497337912467</v>
      </c>
      <c r="D79" s="51">
        <f t="shared" si="1"/>
        <v>0.8574025116</v>
      </c>
      <c r="E79" s="51">
        <f t="shared" si="2"/>
        <v>0.0002315046295</v>
      </c>
      <c r="F79" s="52">
        <f t="shared" si="3"/>
        <v>0.06475204861</v>
      </c>
      <c r="G79" s="13" t="s">
        <v>23</v>
      </c>
      <c r="H79" s="13" t="s">
        <v>24</v>
      </c>
      <c r="I79" s="15" t="s">
        <v>314</v>
      </c>
      <c r="J79" s="13">
        <v>3.0</v>
      </c>
      <c r="K79" s="16">
        <v>0.8583333333333333</v>
      </c>
      <c r="L79" s="16">
        <f t="shared" si="4"/>
        <v>0.06568287037</v>
      </c>
      <c r="M79" s="13" t="s">
        <v>26</v>
      </c>
      <c r="N79" s="13" t="s">
        <v>27</v>
      </c>
      <c r="O79" s="13">
        <v>0.73</v>
      </c>
      <c r="P79" s="53">
        <v>70.4596</v>
      </c>
      <c r="Q79" s="13" t="s">
        <v>39</v>
      </c>
      <c r="R79" s="13" t="s">
        <v>29</v>
      </c>
      <c r="S79" s="17">
        <v>0.8592476851851852</v>
      </c>
      <c r="T79" s="17">
        <f t="shared" si="5"/>
        <v>0.06659722222</v>
      </c>
      <c r="U79" s="17">
        <f t="shared" si="6"/>
        <v>0.0009143518519</v>
      </c>
      <c r="V79" s="18" t="s">
        <v>315</v>
      </c>
      <c r="W79" s="13" t="s">
        <v>31</v>
      </c>
      <c r="X79" s="13">
        <v>5.0</v>
      </c>
      <c r="Y79" s="13" t="s">
        <v>41</v>
      </c>
      <c r="Z79" s="13" t="s">
        <v>33</v>
      </c>
      <c r="AA79" s="15" t="s">
        <v>112</v>
      </c>
      <c r="AB79" s="15" t="s">
        <v>316</v>
      </c>
      <c r="AC79" s="18" t="str">
        <f t="shared" si="8"/>
        <v>link</v>
      </c>
    </row>
    <row r="80">
      <c r="A80" s="6">
        <v>79.0</v>
      </c>
      <c r="B80" s="7">
        <v>0.8583284606429515</v>
      </c>
      <c r="C80" s="7">
        <v>0.8579812384207293</v>
      </c>
      <c r="D80" s="48">
        <f t="shared" si="1"/>
        <v>0.8576340162</v>
      </c>
      <c r="E80" s="48">
        <f t="shared" si="2"/>
        <v>0.002236793982</v>
      </c>
      <c r="F80" s="49">
        <f t="shared" si="3"/>
        <v>0.06498355324</v>
      </c>
      <c r="G80" s="6" t="s">
        <v>37</v>
      </c>
      <c r="H80" s="6" t="s">
        <v>24</v>
      </c>
      <c r="I80" s="8" t="s">
        <v>317</v>
      </c>
      <c r="J80" s="6">
        <v>4.0</v>
      </c>
      <c r="K80" s="9">
        <v>0.8583333333333333</v>
      </c>
      <c r="L80" s="9">
        <f t="shared" si="4"/>
        <v>0.06568287037</v>
      </c>
      <c r="M80" s="6" t="s">
        <v>26</v>
      </c>
      <c r="N80" s="6" t="s">
        <v>27</v>
      </c>
      <c r="O80" s="6">
        <v>10.36</v>
      </c>
      <c r="P80" s="50">
        <v>999.9472</v>
      </c>
      <c r="Q80" s="6" t="s">
        <v>28</v>
      </c>
      <c r="R80" s="6" t="s">
        <v>29</v>
      </c>
      <c r="S80" s="10">
        <v>0.8596759259259259</v>
      </c>
      <c r="T80" s="10">
        <f t="shared" si="5"/>
        <v>0.06702546296</v>
      </c>
      <c r="U80" s="10">
        <f t="shared" si="6"/>
        <v>0.001342592593</v>
      </c>
      <c r="V80" s="11" t="s">
        <v>318</v>
      </c>
      <c r="W80" s="6" t="s">
        <v>31</v>
      </c>
      <c r="X80" s="6">
        <v>0.0</v>
      </c>
      <c r="Y80" s="6" t="s">
        <v>41</v>
      </c>
      <c r="Z80" s="6" t="s">
        <v>33</v>
      </c>
      <c r="AA80" s="8" t="s">
        <v>42</v>
      </c>
      <c r="AB80" s="8" t="s">
        <v>319</v>
      </c>
      <c r="AC80" s="11" t="str">
        <f t="shared" si="8"/>
        <v>link</v>
      </c>
    </row>
    <row r="81">
      <c r="A81" s="13">
        <v>80.0</v>
      </c>
      <c r="B81" s="14">
        <v>0.8605652546248166</v>
      </c>
      <c r="C81" s="14">
        <v>0.8602180324025943</v>
      </c>
      <c r="D81" s="51">
        <f t="shared" si="1"/>
        <v>0.8598708102</v>
      </c>
      <c r="E81" s="51">
        <f t="shared" si="2"/>
        <v>0.003594027781</v>
      </c>
      <c r="F81" s="52">
        <f t="shared" si="3"/>
        <v>0.06722034722</v>
      </c>
      <c r="G81" s="13" t="s">
        <v>37</v>
      </c>
      <c r="H81" s="13" t="s">
        <v>24</v>
      </c>
      <c r="I81" s="15" t="s">
        <v>320</v>
      </c>
      <c r="J81" s="13">
        <v>2.0</v>
      </c>
      <c r="K81" s="16">
        <v>0.8604166666666667</v>
      </c>
      <c r="L81" s="16">
        <f t="shared" si="4"/>
        <v>0.0677662037</v>
      </c>
      <c r="M81" s="13" t="s">
        <v>26</v>
      </c>
      <c r="N81" s="13" t="s">
        <v>27</v>
      </c>
      <c r="O81" s="13">
        <v>10.36</v>
      </c>
      <c r="P81" s="53">
        <v>999.9472</v>
      </c>
      <c r="Q81" s="13" t="s">
        <v>67</v>
      </c>
      <c r="R81" s="13" t="s">
        <v>29</v>
      </c>
      <c r="S81" s="17">
        <v>0.8618518518518519</v>
      </c>
      <c r="T81" s="17">
        <f t="shared" si="5"/>
        <v>0.06920138889</v>
      </c>
      <c r="U81" s="17">
        <f t="shared" si="6"/>
        <v>0.001435185185</v>
      </c>
      <c r="V81" s="18" t="s">
        <v>321</v>
      </c>
      <c r="W81" s="13" t="s">
        <v>31</v>
      </c>
      <c r="X81" s="13">
        <v>0.0</v>
      </c>
      <c r="Y81" s="13" t="s">
        <v>32</v>
      </c>
      <c r="Z81" s="13" t="s">
        <v>101</v>
      </c>
      <c r="AA81" s="15" t="s">
        <v>156</v>
      </c>
      <c r="AB81" s="15" t="s">
        <v>322</v>
      </c>
      <c r="AC81" s="18" t="str">
        <f t="shared" si="8"/>
        <v>link</v>
      </c>
    </row>
    <row r="82">
      <c r="A82" s="6">
        <v>81.0</v>
      </c>
      <c r="B82" s="7">
        <v>0.8641592824060353</v>
      </c>
      <c r="C82" s="7">
        <v>0.8638120601838131</v>
      </c>
      <c r="D82" s="48">
        <f t="shared" si="1"/>
        <v>0.863464838</v>
      </c>
      <c r="E82" s="48">
        <f t="shared" si="2"/>
        <v>0.00001454861194</v>
      </c>
      <c r="F82" s="49">
        <f t="shared" si="3"/>
        <v>0.070814375</v>
      </c>
      <c r="G82" s="6" t="s">
        <v>23</v>
      </c>
      <c r="H82" s="6" t="s">
        <v>24</v>
      </c>
      <c r="I82" s="8" t="s">
        <v>327</v>
      </c>
      <c r="J82" s="6">
        <v>2.0</v>
      </c>
      <c r="K82" s="9">
        <v>0.8638888888888889</v>
      </c>
      <c r="L82" s="9">
        <f t="shared" si="4"/>
        <v>0.07123842593</v>
      </c>
      <c r="M82" s="6" t="s">
        <v>26</v>
      </c>
      <c r="N82" s="6" t="s">
        <v>27</v>
      </c>
      <c r="O82" s="6">
        <v>5.18</v>
      </c>
      <c r="P82" s="50">
        <v>500.0</v>
      </c>
      <c r="Q82" s="6" t="s">
        <v>39</v>
      </c>
      <c r="R82" s="6" t="s">
        <v>29</v>
      </c>
      <c r="S82" s="10">
        <v>0.8654050925925926</v>
      </c>
      <c r="T82" s="10">
        <f t="shared" si="5"/>
        <v>0.07275462963</v>
      </c>
      <c r="U82" s="10">
        <f t="shared" si="6"/>
        <v>0.001516203704</v>
      </c>
      <c r="V82" s="11" t="s">
        <v>328</v>
      </c>
      <c r="W82" s="6" t="s">
        <v>31</v>
      </c>
      <c r="X82" s="6">
        <v>1.0</v>
      </c>
      <c r="Y82" s="6" t="s">
        <v>41</v>
      </c>
      <c r="Z82" s="6" t="s">
        <v>33</v>
      </c>
      <c r="AA82" s="8" t="s">
        <v>78</v>
      </c>
      <c r="AB82" s="8" t="s">
        <v>329</v>
      </c>
      <c r="AC82" s="11" t="str">
        <f t="shared" si="8"/>
        <v>link</v>
      </c>
    </row>
    <row r="83">
      <c r="A83" s="13">
        <v>82.0</v>
      </c>
      <c r="B83" s="14">
        <v>0.864173831017979</v>
      </c>
      <c r="C83" s="14">
        <v>0.8638266087957567</v>
      </c>
      <c r="D83" s="51">
        <f t="shared" si="1"/>
        <v>0.8634793866</v>
      </c>
      <c r="E83" s="51">
        <f t="shared" si="2"/>
        <v>0.0004472222281</v>
      </c>
      <c r="F83" s="52">
        <f t="shared" si="3"/>
        <v>0.07082892361</v>
      </c>
      <c r="G83" s="13" t="s">
        <v>37</v>
      </c>
      <c r="H83" s="13" t="s">
        <v>24</v>
      </c>
      <c r="I83" s="15" t="s">
        <v>330</v>
      </c>
      <c r="J83" s="13">
        <v>2.0</v>
      </c>
      <c r="K83" s="16">
        <v>0.8652777777777778</v>
      </c>
      <c r="L83" s="16">
        <f t="shared" si="4"/>
        <v>0.07262731481</v>
      </c>
      <c r="M83" s="13" t="s">
        <v>26</v>
      </c>
      <c r="N83" s="13" t="s">
        <v>27</v>
      </c>
      <c r="O83" s="13">
        <v>2.07</v>
      </c>
      <c r="P83" s="53">
        <v>199.79639999999998</v>
      </c>
      <c r="Q83" s="13" t="s">
        <v>39</v>
      </c>
      <c r="R83" s="13" t="s">
        <v>29</v>
      </c>
      <c r="S83" s="17">
        <v>0.8663425925925926</v>
      </c>
      <c r="T83" s="17">
        <f t="shared" si="5"/>
        <v>0.07369212963</v>
      </c>
      <c r="U83" s="17">
        <f t="shared" si="6"/>
        <v>0.001064814815</v>
      </c>
      <c r="V83" s="18" t="s">
        <v>331</v>
      </c>
      <c r="W83" s="13" t="s">
        <v>31</v>
      </c>
      <c r="X83" s="13">
        <v>0.0</v>
      </c>
      <c r="Y83" s="13" t="s">
        <v>32</v>
      </c>
      <c r="Z83" s="13" t="s">
        <v>33</v>
      </c>
      <c r="AA83" s="15" t="s">
        <v>42</v>
      </c>
      <c r="AB83" s="15" t="s">
        <v>332</v>
      </c>
      <c r="AC83" s="18" t="str">
        <f t="shared" si="8"/>
        <v>link</v>
      </c>
    </row>
    <row r="84">
      <c r="A84" s="6">
        <v>83.0</v>
      </c>
      <c r="B84" s="7">
        <v>0.8646210532460827</v>
      </c>
      <c r="C84" s="7">
        <v>0.8642738310238605</v>
      </c>
      <c r="D84" s="48">
        <f t="shared" si="1"/>
        <v>0.8639266088</v>
      </c>
      <c r="E84" s="48">
        <f t="shared" si="2"/>
        <v>0.001766134257</v>
      </c>
      <c r="F84" s="49">
        <f t="shared" si="3"/>
        <v>0.07127614584</v>
      </c>
      <c r="G84" s="6" t="s">
        <v>23</v>
      </c>
      <c r="H84" s="6" t="s">
        <v>24</v>
      </c>
      <c r="I84" s="8" t="s">
        <v>333</v>
      </c>
      <c r="J84" s="6">
        <v>4.0</v>
      </c>
      <c r="K84" s="9">
        <v>0.8645833333333334</v>
      </c>
      <c r="L84" s="9">
        <f t="shared" si="4"/>
        <v>0.07193287037</v>
      </c>
      <c r="M84" s="6" t="s">
        <v>26</v>
      </c>
      <c r="N84" s="6" t="s">
        <v>27</v>
      </c>
      <c r="O84" s="6">
        <v>5.18</v>
      </c>
      <c r="P84" s="50">
        <v>499.9736</v>
      </c>
      <c r="Q84" s="6" t="s">
        <v>28</v>
      </c>
      <c r="R84" s="6" t="s">
        <v>29</v>
      </c>
      <c r="S84" s="10">
        <v>0.8659722222222223</v>
      </c>
      <c r="T84" s="10">
        <f t="shared" si="5"/>
        <v>0.07332175926</v>
      </c>
      <c r="U84" s="10">
        <f t="shared" si="6"/>
        <v>0.001388888889</v>
      </c>
      <c r="V84" s="11" t="s">
        <v>334</v>
      </c>
      <c r="W84" s="6" t="s">
        <v>31</v>
      </c>
      <c r="X84" s="6">
        <v>0.0</v>
      </c>
      <c r="Y84" s="6" t="s">
        <v>32</v>
      </c>
      <c r="Z84" s="6" t="s">
        <v>57</v>
      </c>
      <c r="AA84" s="8" t="s">
        <v>152</v>
      </c>
      <c r="AB84" s="8" t="s">
        <v>35</v>
      </c>
      <c r="AC84" s="11" t="str">
        <f t="shared" si="8"/>
        <v>link</v>
      </c>
    </row>
    <row r="85">
      <c r="A85" s="13">
        <v>84.0</v>
      </c>
      <c r="B85" s="14">
        <v>0.8663871875032783</v>
      </c>
      <c r="C85" s="14">
        <v>0.866039965281056</v>
      </c>
      <c r="D85" s="51">
        <f t="shared" si="1"/>
        <v>0.8656927431</v>
      </c>
      <c r="E85" s="51">
        <f t="shared" si="2"/>
        <v>0.002475254631</v>
      </c>
      <c r="F85" s="52">
        <f t="shared" si="3"/>
        <v>0.0730422801</v>
      </c>
      <c r="G85" s="13" t="s">
        <v>23</v>
      </c>
      <c r="H85" s="13" t="s">
        <v>144</v>
      </c>
      <c r="I85" s="15" t="s">
        <v>335</v>
      </c>
      <c r="J85" s="13">
        <v>2.0</v>
      </c>
      <c r="K85" s="16">
        <v>0.8666666666666667</v>
      </c>
      <c r="L85" s="16">
        <f t="shared" si="4"/>
        <v>0.0740162037</v>
      </c>
      <c r="M85" s="13" t="s">
        <v>26</v>
      </c>
      <c r="N85" s="13" t="s">
        <v>27</v>
      </c>
      <c r="O85" s="13">
        <v>5.29</v>
      </c>
      <c r="P85" s="53">
        <v>510.0</v>
      </c>
      <c r="Q85" s="13" t="s">
        <v>39</v>
      </c>
      <c r="R85" s="13" t="s">
        <v>29</v>
      </c>
      <c r="S85" s="17">
        <v>0.871099537037037</v>
      </c>
      <c r="T85" s="17">
        <f t="shared" si="5"/>
        <v>0.07844907407</v>
      </c>
      <c r="U85" s="17">
        <f t="shared" si="6"/>
        <v>0.00443287037</v>
      </c>
      <c r="V85" s="18" t="s">
        <v>336</v>
      </c>
      <c r="W85" s="13" t="s">
        <v>31</v>
      </c>
      <c r="X85" s="13">
        <v>12.0</v>
      </c>
      <c r="Y85" s="13" t="s">
        <v>32</v>
      </c>
      <c r="Z85" s="13" t="s">
        <v>142</v>
      </c>
      <c r="AA85" s="15" t="s">
        <v>337</v>
      </c>
      <c r="AB85" s="15" t="s">
        <v>338</v>
      </c>
      <c r="AC85" s="18" t="str">
        <f t="shared" si="8"/>
        <v>link</v>
      </c>
    </row>
    <row r="86">
      <c r="A86" s="6">
        <v>85.0</v>
      </c>
      <c r="B86" s="7">
        <v>0.8688624421338318</v>
      </c>
      <c r="C86" s="7">
        <v>0.8685152199116095</v>
      </c>
      <c r="D86" s="48">
        <f t="shared" si="1"/>
        <v>0.8681679977</v>
      </c>
      <c r="E86" s="48">
        <f t="shared" si="2"/>
        <v>0.0008355208265</v>
      </c>
      <c r="F86" s="49">
        <f t="shared" si="3"/>
        <v>0.07551753473</v>
      </c>
      <c r="G86" s="6" t="s">
        <v>37</v>
      </c>
      <c r="H86" s="6" t="s">
        <v>144</v>
      </c>
      <c r="I86" s="8" t="s">
        <v>339</v>
      </c>
      <c r="J86" s="6">
        <v>1.0</v>
      </c>
      <c r="K86" s="9">
        <v>0.8694444444444445</v>
      </c>
      <c r="L86" s="9">
        <f t="shared" si="4"/>
        <v>0.07679398148</v>
      </c>
      <c r="M86" s="6" t="s">
        <v>36</v>
      </c>
      <c r="N86" s="6" t="s">
        <v>27</v>
      </c>
      <c r="O86" s="6">
        <v>52.15</v>
      </c>
      <c r="P86" s="50">
        <f>O86*85.325</f>
        <v>4449.69875</v>
      </c>
      <c r="Q86" s="6" t="s">
        <v>39</v>
      </c>
      <c r="R86" s="6" t="s">
        <v>29</v>
      </c>
      <c r="S86" s="10">
        <v>0.8730555555555556</v>
      </c>
      <c r="T86" s="10">
        <f t="shared" si="5"/>
        <v>0.08040509259</v>
      </c>
      <c r="U86" s="10">
        <f t="shared" si="6"/>
        <v>0.003611111111</v>
      </c>
      <c r="V86" s="11" t="s">
        <v>340</v>
      </c>
      <c r="W86" s="6" t="s">
        <v>31</v>
      </c>
      <c r="X86" s="6">
        <v>0.0</v>
      </c>
      <c r="Y86" s="6" t="s">
        <v>41</v>
      </c>
      <c r="Z86" s="6" t="s">
        <v>341</v>
      </c>
      <c r="AA86" s="8" t="s">
        <v>92</v>
      </c>
      <c r="AB86" s="8" t="s">
        <v>342</v>
      </c>
      <c r="AC86" s="11" t="str">
        <f t="shared" si="8"/>
        <v>link</v>
      </c>
    </row>
    <row r="87">
      <c r="A87" s="13">
        <v>86.0</v>
      </c>
      <c r="B87" s="14">
        <v>0.8696979629603447</v>
      </c>
      <c r="C87" s="14">
        <v>0.8693507407381225</v>
      </c>
      <c r="D87" s="51">
        <f t="shared" si="1"/>
        <v>0.8690035185</v>
      </c>
      <c r="E87" s="51">
        <f t="shared" si="2"/>
        <v>0.001277581017</v>
      </c>
      <c r="F87" s="52">
        <f t="shared" si="3"/>
        <v>0.07635305555</v>
      </c>
      <c r="G87" s="13" t="s">
        <v>94</v>
      </c>
      <c r="H87" s="13" t="s">
        <v>24</v>
      </c>
      <c r="I87" s="15" t="s">
        <v>343</v>
      </c>
      <c r="J87" s="13">
        <v>3.0</v>
      </c>
      <c r="K87" s="16">
        <v>0.8701388888888889</v>
      </c>
      <c r="L87" s="16">
        <f t="shared" si="4"/>
        <v>0.07748842593</v>
      </c>
      <c r="M87" s="13" t="s">
        <v>26</v>
      </c>
      <c r="N87" s="13" t="s">
        <v>27</v>
      </c>
      <c r="O87" s="13">
        <v>5.86</v>
      </c>
      <c r="P87" s="53">
        <v>570.0</v>
      </c>
      <c r="Q87" s="13" t="s">
        <v>28</v>
      </c>
      <c r="R87" s="13" t="s">
        <v>29</v>
      </c>
      <c r="S87" s="17">
        <v>0.8715856481481481</v>
      </c>
      <c r="T87" s="17">
        <f t="shared" si="5"/>
        <v>0.07893518519</v>
      </c>
      <c r="U87" s="17">
        <f t="shared" si="6"/>
        <v>0.001446759259</v>
      </c>
      <c r="V87" s="18" t="s">
        <v>344</v>
      </c>
      <c r="W87" s="13" t="s">
        <v>345</v>
      </c>
      <c r="X87" s="13">
        <v>1.0</v>
      </c>
      <c r="Y87" s="13" t="s">
        <v>32</v>
      </c>
      <c r="Z87" s="13" t="s">
        <v>33</v>
      </c>
      <c r="AA87" s="15" t="s">
        <v>97</v>
      </c>
      <c r="AB87" s="15" t="s">
        <v>346</v>
      </c>
      <c r="AC87" s="18" t="str">
        <f t="shared" si="8"/>
        <v>link</v>
      </c>
    </row>
    <row r="88">
      <c r="A88" s="6">
        <v>87.0</v>
      </c>
      <c r="B88" s="7">
        <v>0.8709755439776927</v>
      </c>
      <c r="C88" s="7">
        <v>0.8706283217554704</v>
      </c>
      <c r="D88" s="48">
        <f t="shared" si="1"/>
        <v>0.8702810995</v>
      </c>
      <c r="E88" s="48">
        <f t="shared" si="2"/>
        <v>0.004190081017</v>
      </c>
      <c r="F88" s="49">
        <f t="shared" si="3"/>
        <v>0.07763063657</v>
      </c>
      <c r="G88" s="6" t="s">
        <v>23</v>
      </c>
      <c r="H88" s="6" t="s">
        <v>24</v>
      </c>
      <c r="I88" s="8" t="s">
        <v>347</v>
      </c>
      <c r="J88" s="6">
        <v>2.0</v>
      </c>
      <c r="K88" s="9">
        <v>0.8708333333333333</v>
      </c>
      <c r="L88" s="9">
        <f t="shared" si="4"/>
        <v>0.07818287037</v>
      </c>
      <c r="M88" s="6" t="s">
        <v>26</v>
      </c>
      <c r="N88" s="6" t="s">
        <v>27</v>
      </c>
      <c r="O88" s="6">
        <v>2.07</v>
      </c>
      <c r="P88" s="50">
        <v>199.79639999999998</v>
      </c>
      <c r="Q88" s="6" t="s">
        <v>28</v>
      </c>
      <c r="R88" s="6" t="s">
        <v>29</v>
      </c>
      <c r="S88" s="10">
        <v>0.8717824074074074</v>
      </c>
      <c r="T88" s="10">
        <f t="shared" si="5"/>
        <v>0.07913194444</v>
      </c>
      <c r="U88" s="10">
        <f t="shared" si="6"/>
        <v>0.0009490740741</v>
      </c>
      <c r="V88" s="11" t="s">
        <v>348</v>
      </c>
      <c r="W88" s="6" t="s">
        <v>31</v>
      </c>
      <c r="X88" s="6">
        <v>0.0</v>
      </c>
      <c r="Y88" s="6" t="s">
        <v>41</v>
      </c>
      <c r="Z88" s="6" t="s">
        <v>33</v>
      </c>
      <c r="AA88" s="8" t="s">
        <v>72</v>
      </c>
      <c r="AB88" s="8" t="s">
        <v>305</v>
      </c>
      <c r="AC88" s="11" t="str">
        <f t="shared" si="8"/>
        <v>link</v>
      </c>
    </row>
    <row r="89">
      <c r="A89" s="13">
        <v>88.0</v>
      </c>
      <c r="B89" s="14">
        <v>0.8751656249951338</v>
      </c>
      <c r="C89" s="14">
        <v>0.8748184027729116</v>
      </c>
      <c r="D89" s="51">
        <f t="shared" si="1"/>
        <v>0.8744711806</v>
      </c>
      <c r="E89" s="51">
        <f t="shared" si="2"/>
        <v>0.002302916677</v>
      </c>
      <c r="F89" s="52">
        <f t="shared" si="3"/>
        <v>0.08182071759</v>
      </c>
      <c r="G89" s="13" t="s">
        <v>37</v>
      </c>
      <c r="H89" s="13" t="s">
        <v>24</v>
      </c>
      <c r="I89" s="15" t="s">
        <v>349</v>
      </c>
      <c r="J89" s="13">
        <v>3.0</v>
      </c>
      <c r="K89" s="16">
        <v>0.8770833333333333</v>
      </c>
      <c r="L89" s="16">
        <f t="shared" si="4"/>
        <v>0.08443287037</v>
      </c>
      <c r="M89" s="13" t="s">
        <v>26</v>
      </c>
      <c r="N89" s="13" t="s">
        <v>27</v>
      </c>
      <c r="O89" s="13">
        <v>10.36</v>
      </c>
      <c r="P89" s="53">
        <v>100.0</v>
      </c>
      <c r="Q89" s="13" t="s">
        <v>39</v>
      </c>
      <c r="R89" s="13" t="s">
        <v>29</v>
      </c>
      <c r="S89" s="17">
        <v>0.8787847222222223</v>
      </c>
      <c r="T89" s="17">
        <f t="shared" si="5"/>
        <v>0.08613425926</v>
      </c>
      <c r="U89" s="17">
        <f t="shared" si="6"/>
        <v>0.001701388889</v>
      </c>
      <c r="V89" s="18" t="s">
        <v>350</v>
      </c>
      <c r="W89" s="13" t="s">
        <v>31</v>
      </c>
      <c r="X89" s="13">
        <v>0.0</v>
      </c>
      <c r="Y89" s="13" t="s">
        <v>41</v>
      </c>
      <c r="Z89" s="13" t="s">
        <v>101</v>
      </c>
      <c r="AA89" s="15" t="s">
        <v>42</v>
      </c>
      <c r="AB89" s="15" t="s">
        <v>332</v>
      </c>
      <c r="AC89" s="18" t="str">
        <f t="shared" si="8"/>
        <v>link</v>
      </c>
    </row>
    <row r="90">
      <c r="A90" s="6">
        <v>89.0</v>
      </c>
      <c r="B90" s="7">
        <v>0.8774685416719876</v>
      </c>
      <c r="C90" s="7">
        <v>0.8771213194497653</v>
      </c>
      <c r="D90" s="48">
        <f t="shared" si="1"/>
        <v>0.8767740972</v>
      </c>
      <c r="E90" s="48">
        <f t="shared" si="2"/>
        <v>0.001014305555</v>
      </c>
      <c r="F90" s="49">
        <f t="shared" si="3"/>
        <v>0.08412363426</v>
      </c>
      <c r="G90" s="6" t="s">
        <v>44</v>
      </c>
      <c r="H90" s="6" t="s">
        <v>24</v>
      </c>
      <c r="I90" s="8" t="s">
        <v>351</v>
      </c>
      <c r="J90" s="6">
        <v>2.0</v>
      </c>
      <c r="K90" s="9">
        <v>0.8770833333333333</v>
      </c>
      <c r="L90" s="9">
        <f t="shared" si="4"/>
        <v>0.08443287037</v>
      </c>
      <c r="M90" s="6" t="s">
        <v>26</v>
      </c>
      <c r="N90" s="6" t="s">
        <v>27</v>
      </c>
      <c r="O90" s="6">
        <v>1.04</v>
      </c>
      <c r="P90" s="50">
        <v>100.3808</v>
      </c>
      <c r="Q90" s="6" t="s">
        <v>28</v>
      </c>
      <c r="R90" s="6" t="s">
        <v>29</v>
      </c>
      <c r="S90" s="10">
        <v>0.877974537037037</v>
      </c>
      <c r="T90" s="10">
        <f t="shared" si="5"/>
        <v>0.08532407407</v>
      </c>
      <c r="U90" s="10">
        <f t="shared" si="6"/>
        <v>0.0008912037037</v>
      </c>
      <c r="V90" s="11" t="s">
        <v>352</v>
      </c>
      <c r="W90" s="6" t="s">
        <v>31</v>
      </c>
      <c r="X90" s="6">
        <v>0.0</v>
      </c>
      <c r="Y90" s="6" t="s">
        <v>41</v>
      </c>
      <c r="Z90" s="6" t="s">
        <v>33</v>
      </c>
      <c r="AA90" s="8" t="s">
        <v>47</v>
      </c>
      <c r="AB90" s="8" t="s">
        <v>353</v>
      </c>
      <c r="AC90" s="11" t="str">
        <f t="shared" si="8"/>
        <v>link</v>
      </c>
    </row>
    <row r="91">
      <c r="A91" s="13">
        <v>90.0</v>
      </c>
      <c r="B91" s="14">
        <v>0.8784828472271329</v>
      </c>
      <c r="C91" s="14">
        <v>0.8781356250049106</v>
      </c>
      <c r="D91" s="51">
        <f t="shared" si="1"/>
        <v>0.8777884028</v>
      </c>
      <c r="E91" s="51">
        <f t="shared" si="2"/>
        <v>0.0005173726822</v>
      </c>
      <c r="F91" s="52">
        <f t="shared" si="3"/>
        <v>0.08513793982</v>
      </c>
      <c r="G91" s="13" t="s">
        <v>37</v>
      </c>
      <c r="H91" s="13" t="s">
        <v>24</v>
      </c>
      <c r="I91" s="15" t="s">
        <v>354</v>
      </c>
      <c r="J91" s="13">
        <v>1.0</v>
      </c>
      <c r="K91" s="16">
        <v>0.8784722222222222</v>
      </c>
      <c r="L91" s="16">
        <f t="shared" si="4"/>
        <v>0.08582175926</v>
      </c>
      <c r="M91" s="13" t="s">
        <v>36</v>
      </c>
      <c r="N91" s="13" t="s">
        <v>27</v>
      </c>
      <c r="O91" s="13">
        <v>5.86</v>
      </c>
      <c r="P91" s="53">
        <f>O91*85.325</f>
        <v>500.0045</v>
      </c>
      <c r="Q91" s="13" t="s">
        <v>39</v>
      </c>
      <c r="R91" s="13" t="s">
        <v>29</v>
      </c>
      <c r="S91" s="17">
        <v>0.8804861111111111</v>
      </c>
      <c r="T91" s="17">
        <f t="shared" si="5"/>
        <v>0.08783564815</v>
      </c>
      <c r="U91" s="17">
        <f t="shared" si="6"/>
        <v>0.002013888889</v>
      </c>
      <c r="V91" s="18" t="s">
        <v>355</v>
      </c>
      <c r="W91" s="13" t="s">
        <v>31</v>
      </c>
      <c r="X91" s="13">
        <v>0.0</v>
      </c>
      <c r="Y91" s="13" t="s">
        <v>41</v>
      </c>
      <c r="Z91" s="13" t="s">
        <v>33</v>
      </c>
      <c r="AA91" s="15" t="s">
        <v>156</v>
      </c>
      <c r="AB91" s="15" t="s">
        <v>356</v>
      </c>
      <c r="AC91" s="18" t="str">
        <f t="shared" si="8"/>
        <v>link</v>
      </c>
    </row>
    <row r="92">
      <c r="A92" s="6">
        <v>91.0</v>
      </c>
      <c r="B92" s="7">
        <v>0.8790002199093578</v>
      </c>
      <c r="C92" s="7">
        <v>0.8786529976871356</v>
      </c>
      <c r="D92" s="48">
        <f t="shared" si="1"/>
        <v>0.8783057755</v>
      </c>
      <c r="E92" s="48">
        <f t="shared" si="2"/>
        <v>0.00382356481</v>
      </c>
      <c r="F92" s="49">
        <f t="shared" si="3"/>
        <v>0.0856553125</v>
      </c>
      <c r="G92" s="6" t="s">
        <v>23</v>
      </c>
      <c r="H92" s="6" t="s">
        <v>24</v>
      </c>
      <c r="I92" s="8" t="s">
        <v>357</v>
      </c>
      <c r="J92" s="6">
        <v>3.0</v>
      </c>
      <c r="K92" s="9">
        <v>0.8791666666666667</v>
      </c>
      <c r="L92" s="9">
        <f t="shared" si="4"/>
        <v>0.0865162037</v>
      </c>
      <c r="M92" s="6" t="s">
        <v>26</v>
      </c>
      <c r="N92" s="6" t="s">
        <v>27</v>
      </c>
      <c r="O92" s="6">
        <v>1.04</v>
      </c>
      <c r="P92" s="50">
        <v>100.3808</v>
      </c>
      <c r="Q92" s="6" t="s">
        <v>28</v>
      </c>
      <c r="R92" s="6" t="s">
        <v>29</v>
      </c>
      <c r="S92" s="10">
        <v>0.8804166666666666</v>
      </c>
      <c r="T92" s="10">
        <f t="shared" si="5"/>
        <v>0.0877662037</v>
      </c>
      <c r="U92" s="10">
        <f t="shared" si="6"/>
        <v>0.00125</v>
      </c>
      <c r="V92" s="11" t="s">
        <v>358</v>
      </c>
      <c r="W92" s="6" t="s">
        <v>31</v>
      </c>
      <c r="X92" s="6">
        <v>3.0</v>
      </c>
      <c r="Y92" s="6" t="s">
        <v>32</v>
      </c>
      <c r="Z92" s="6" t="s">
        <v>33</v>
      </c>
      <c r="AA92" s="8" t="s">
        <v>34</v>
      </c>
      <c r="AB92" s="8" t="s">
        <v>35</v>
      </c>
      <c r="AC92" s="11" t="str">
        <f t="shared" si="8"/>
        <v>link</v>
      </c>
    </row>
    <row r="93">
      <c r="A93" s="13">
        <v>92.0</v>
      </c>
      <c r="B93" s="14">
        <v>0.8828237847192213</v>
      </c>
      <c r="C93" s="14">
        <v>0.882476562496999</v>
      </c>
      <c r="D93" s="51">
        <f t="shared" si="1"/>
        <v>0.8821293403</v>
      </c>
      <c r="E93" s="51">
        <f t="shared" si="2"/>
        <v>0.000285439819</v>
      </c>
      <c r="F93" s="52">
        <f t="shared" si="3"/>
        <v>0.08947887731</v>
      </c>
      <c r="G93" s="13" t="s">
        <v>37</v>
      </c>
      <c r="H93" s="13" t="s">
        <v>24</v>
      </c>
      <c r="I93" s="15" t="s">
        <v>359</v>
      </c>
      <c r="J93" s="13">
        <v>4.0</v>
      </c>
      <c r="K93" s="16">
        <v>0.8826388888888889</v>
      </c>
      <c r="L93" s="16">
        <f t="shared" si="4"/>
        <v>0.08998842593</v>
      </c>
      <c r="M93" s="13" t="s">
        <v>26</v>
      </c>
      <c r="N93" s="13" t="s">
        <v>27</v>
      </c>
      <c r="O93" s="13">
        <v>10.47</v>
      </c>
      <c r="P93" s="53">
        <v>1010.0</v>
      </c>
      <c r="Q93" s="13" t="s">
        <v>39</v>
      </c>
      <c r="R93" s="13" t="s">
        <v>29</v>
      </c>
      <c r="S93" s="17">
        <v>0.8843865740740741</v>
      </c>
      <c r="T93" s="17">
        <f t="shared" si="5"/>
        <v>0.09173611111</v>
      </c>
      <c r="U93" s="17">
        <f t="shared" si="6"/>
        <v>0.001747685185</v>
      </c>
      <c r="V93" s="18" t="s">
        <v>360</v>
      </c>
      <c r="W93" s="13" t="s">
        <v>31</v>
      </c>
      <c r="X93" s="13">
        <v>0.0</v>
      </c>
      <c r="Y93" s="13" t="s">
        <v>41</v>
      </c>
      <c r="Z93" s="13" t="s">
        <v>33</v>
      </c>
      <c r="AA93" s="15" t="s">
        <v>42</v>
      </c>
      <c r="AB93" s="15" t="s">
        <v>361</v>
      </c>
      <c r="AC93" s="18" t="str">
        <f t="shared" si="8"/>
        <v>link</v>
      </c>
    </row>
    <row r="94">
      <c r="A94" s="6">
        <v>93.0</v>
      </c>
      <c r="B94" s="7">
        <v>0.8831092245382024</v>
      </c>
      <c r="C94" s="7">
        <v>0.8827620023159801</v>
      </c>
      <c r="D94" s="48">
        <f t="shared" si="1"/>
        <v>0.8824147801</v>
      </c>
      <c r="E94" s="48">
        <f t="shared" si="2"/>
        <v>0.0004362847249</v>
      </c>
      <c r="F94" s="49">
        <f t="shared" si="3"/>
        <v>0.08976431713</v>
      </c>
      <c r="G94" s="6" t="s">
        <v>49</v>
      </c>
      <c r="H94" s="6" t="s">
        <v>24</v>
      </c>
      <c r="I94" s="8" t="s">
        <v>362</v>
      </c>
      <c r="J94" s="6">
        <v>2.0</v>
      </c>
      <c r="K94" s="9">
        <v>0.8833333333333333</v>
      </c>
      <c r="L94" s="9">
        <f t="shared" si="4"/>
        <v>0.09068287037</v>
      </c>
      <c r="M94" s="6" t="s">
        <v>26</v>
      </c>
      <c r="N94" s="6" t="s">
        <v>27</v>
      </c>
      <c r="O94" s="6">
        <v>4.34</v>
      </c>
      <c r="P94" s="50">
        <v>420.0</v>
      </c>
      <c r="Q94" s="6" t="s">
        <v>28</v>
      </c>
      <c r="R94" s="6" t="s">
        <v>29</v>
      </c>
      <c r="S94" s="10">
        <v>0.8849074074074074</v>
      </c>
      <c r="T94" s="10">
        <f t="shared" si="5"/>
        <v>0.09225694444</v>
      </c>
      <c r="U94" s="10">
        <f t="shared" si="6"/>
        <v>0.001574074074</v>
      </c>
      <c r="V94" s="11" t="s">
        <v>363</v>
      </c>
      <c r="W94" s="6" t="s">
        <v>52</v>
      </c>
      <c r="X94" s="6">
        <v>0.0</v>
      </c>
      <c r="Y94" s="6" t="s">
        <v>41</v>
      </c>
      <c r="Z94" s="6" t="s">
        <v>33</v>
      </c>
      <c r="AA94" s="8" t="s">
        <v>252</v>
      </c>
      <c r="AB94" s="8" t="s">
        <v>364</v>
      </c>
      <c r="AC94" s="11" t="str">
        <f t="shared" si="8"/>
        <v>link</v>
      </c>
    </row>
    <row r="95">
      <c r="A95" s="13">
        <v>94.0</v>
      </c>
      <c r="B95" s="14">
        <v>0.8835455092630582</v>
      </c>
      <c r="C95" s="14">
        <v>0.8831982870408359</v>
      </c>
      <c r="D95" s="51">
        <f t="shared" si="1"/>
        <v>0.8828510648</v>
      </c>
      <c r="E95" s="51">
        <f t="shared" si="2"/>
        <v>0.0001030208296</v>
      </c>
      <c r="F95" s="52">
        <f t="shared" si="3"/>
        <v>0.09020060186</v>
      </c>
      <c r="G95" s="13" t="s">
        <v>49</v>
      </c>
      <c r="H95" s="13" t="s">
        <v>24</v>
      </c>
      <c r="I95" s="15" t="s">
        <v>365</v>
      </c>
      <c r="J95" s="13">
        <v>1.0</v>
      </c>
      <c r="K95" s="16">
        <v>0.8847222222222222</v>
      </c>
      <c r="L95" s="16">
        <f t="shared" si="4"/>
        <v>0.09207175926</v>
      </c>
      <c r="M95" s="13" t="s">
        <v>36</v>
      </c>
      <c r="N95" s="13" t="s">
        <v>27</v>
      </c>
      <c r="O95" s="13">
        <v>4.69</v>
      </c>
      <c r="P95" s="53">
        <f t="shared" ref="P95:P96" si="9">O95*85.325</f>
        <v>400.17425</v>
      </c>
      <c r="Q95" s="13" t="s">
        <v>28</v>
      </c>
      <c r="R95" s="13" t="s">
        <v>29</v>
      </c>
      <c r="S95" s="17">
        <v>0.8876273148148148</v>
      </c>
      <c r="T95" s="17">
        <f t="shared" si="5"/>
        <v>0.09497685185</v>
      </c>
      <c r="U95" s="17">
        <f t="shared" si="6"/>
        <v>0.002905092593</v>
      </c>
      <c r="V95" s="18" t="s">
        <v>366</v>
      </c>
      <c r="W95" s="13" t="s">
        <v>52</v>
      </c>
      <c r="X95" s="13">
        <v>0.0</v>
      </c>
      <c r="Y95" s="13" t="s">
        <v>32</v>
      </c>
      <c r="Z95" s="13" t="s">
        <v>33</v>
      </c>
      <c r="AA95" s="15" t="s">
        <v>53</v>
      </c>
      <c r="AB95" s="15" t="s">
        <v>367</v>
      </c>
      <c r="AC95" s="18" t="str">
        <f t="shared" si="8"/>
        <v>link</v>
      </c>
    </row>
    <row r="96">
      <c r="A96" s="6">
        <v>95.0</v>
      </c>
      <c r="B96" s="7">
        <v>0.8836485300926142</v>
      </c>
      <c r="C96" s="7">
        <v>0.883301307870392</v>
      </c>
      <c r="D96" s="48">
        <f t="shared" si="1"/>
        <v>0.8829540856</v>
      </c>
      <c r="E96" s="48">
        <f t="shared" si="2"/>
        <v>0.001559814817</v>
      </c>
      <c r="F96" s="49">
        <f t="shared" si="3"/>
        <v>0.09030362269</v>
      </c>
      <c r="G96" s="6" t="s">
        <v>345</v>
      </c>
      <c r="H96" s="6" t="s">
        <v>24</v>
      </c>
      <c r="I96" s="8" t="s">
        <v>368</v>
      </c>
      <c r="J96" s="6">
        <v>5.0</v>
      </c>
      <c r="K96" s="9">
        <v>0.8840277777777777</v>
      </c>
      <c r="L96" s="9">
        <f t="shared" si="4"/>
        <v>0.09137731481</v>
      </c>
      <c r="M96" s="6" t="s">
        <v>36</v>
      </c>
      <c r="N96" s="6" t="s">
        <v>27</v>
      </c>
      <c r="O96" s="6">
        <v>23.44</v>
      </c>
      <c r="P96" s="50">
        <f t="shared" si="9"/>
        <v>2000.018</v>
      </c>
      <c r="Q96" s="6" t="s">
        <v>28</v>
      </c>
      <c r="R96" s="6" t="s">
        <v>29</v>
      </c>
      <c r="S96" s="10">
        <v>0.8875115740740741</v>
      </c>
      <c r="T96" s="10">
        <f t="shared" si="5"/>
        <v>0.09486111111</v>
      </c>
      <c r="U96" s="10">
        <f t="shared" si="6"/>
        <v>0.003483796296</v>
      </c>
      <c r="V96" s="11" t="s">
        <v>369</v>
      </c>
      <c r="W96" s="6" t="s">
        <v>345</v>
      </c>
      <c r="X96" s="6">
        <v>0.0</v>
      </c>
      <c r="Y96" s="6" t="s">
        <v>41</v>
      </c>
      <c r="Z96" s="6" t="s">
        <v>33</v>
      </c>
      <c r="AA96" s="8" t="s">
        <v>92</v>
      </c>
      <c r="AB96" s="8" t="s">
        <v>370</v>
      </c>
      <c r="AC96" s="11" t="str">
        <f t="shared" si="8"/>
        <v>link</v>
      </c>
    </row>
    <row r="97">
      <c r="A97" s="13">
        <v>96.0</v>
      </c>
      <c r="B97" s="14">
        <v>0.8852083449091879</v>
      </c>
      <c r="C97" s="14">
        <v>0.8848611226869656</v>
      </c>
      <c r="D97" s="51">
        <f t="shared" si="1"/>
        <v>0.8845139005</v>
      </c>
      <c r="E97" s="51">
        <f t="shared" si="2"/>
        <v>0.0001291666631</v>
      </c>
      <c r="F97" s="52">
        <f t="shared" si="3"/>
        <v>0.0918634375</v>
      </c>
      <c r="G97" s="13" t="s">
        <v>37</v>
      </c>
      <c r="H97" s="13" t="s">
        <v>24</v>
      </c>
      <c r="I97" s="15" t="s">
        <v>371</v>
      </c>
      <c r="J97" s="13">
        <v>2.0</v>
      </c>
      <c r="K97" s="16">
        <v>0.8854166666666666</v>
      </c>
      <c r="L97" s="16">
        <f t="shared" si="4"/>
        <v>0.0927662037</v>
      </c>
      <c r="M97" s="13" t="s">
        <v>26</v>
      </c>
      <c r="N97" s="13" t="s">
        <v>27</v>
      </c>
      <c r="O97" s="13">
        <v>25.91</v>
      </c>
      <c r="P97" s="53">
        <v>2500.0</v>
      </c>
      <c r="Q97" s="13" t="s">
        <v>39</v>
      </c>
      <c r="R97" s="13" t="s">
        <v>29</v>
      </c>
      <c r="S97" s="17">
        <v>0.887337962962963</v>
      </c>
      <c r="T97" s="17">
        <f t="shared" si="5"/>
        <v>0.0946875</v>
      </c>
      <c r="U97" s="17">
        <f t="shared" si="6"/>
        <v>0.001921296296</v>
      </c>
      <c r="V97" s="18" t="s">
        <v>372</v>
      </c>
      <c r="W97" s="13" t="s">
        <v>52</v>
      </c>
      <c r="X97" s="13">
        <v>0.0</v>
      </c>
      <c r="Y97" s="13" t="s">
        <v>32</v>
      </c>
      <c r="Z97" s="13" t="s">
        <v>33</v>
      </c>
      <c r="AA97" s="15" t="s">
        <v>42</v>
      </c>
      <c r="AB97" s="15" t="s">
        <v>373</v>
      </c>
      <c r="AC97" s="18" t="str">
        <f t="shared" si="8"/>
        <v>link</v>
      </c>
    </row>
    <row r="98">
      <c r="A98" s="6">
        <v>97.0</v>
      </c>
      <c r="B98" s="7">
        <v>0.8853375115722883</v>
      </c>
      <c r="C98" s="7">
        <v>0.8849902893500661</v>
      </c>
      <c r="D98" s="48">
        <f t="shared" si="1"/>
        <v>0.8846430671</v>
      </c>
      <c r="E98" s="48">
        <f t="shared" si="2"/>
        <v>0.0009038310236</v>
      </c>
      <c r="F98" s="49">
        <f t="shared" si="3"/>
        <v>0.09199260416</v>
      </c>
      <c r="G98" s="6" t="s">
        <v>37</v>
      </c>
      <c r="H98" s="6" t="s">
        <v>144</v>
      </c>
      <c r="I98" s="8" t="s">
        <v>374</v>
      </c>
      <c r="J98" s="6">
        <v>3.0</v>
      </c>
      <c r="K98" s="9">
        <v>0.8861111111111111</v>
      </c>
      <c r="L98" s="9">
        <f t="shared" si="4"/>
        <v>0.09346064815</v>
      </c>
      <c r="M98" s="6" t="s">
        <v>26</v>
      </c>
      <c r="N98" s="6" t="s">
        <v>27</v>
      </c>
      <c r="O98" s="6">
        <v>22.29</v>
      </c>
      <c r="P98" s="50">
        <v>2150.0</v>
      </c>
      <c r="Q98" s="6" t="s">
        <v>39</v>
      </c>
      <c r="R98" s="6" t="s">
        <v>29</v>
      </c>
      <c r="S98" s="10">
        <v>0.8883912037037037</v>
      </c>
      <c r="T98" s="10">
        <f t="shared" si="5"/>
        <v>0.09574074074</v>
      </c>
      <c r="U98" s="10">
        <f t="shared" si="6"/>
        <v>0.002280092593</v>
      </c>
      <c r="V98" s="11" t="s">
        <v>375</v>
      </c>
      <c r="W98" s="6" t="s">
        <v>31</v>
      </c>
      <c r="X98" s="6">
        <v>4.0</v>
      </c>
      <c r="Y98" s="6" t="s">
        <v>32</v>
      </c>
      <c r="Z98" s="6" t="s">
        <v>376</v>
      </c>
      <c r="AA98" s="8" t="s">
        <v>42</v>
      </c>
      <c r="AB98" s="8" t="s">
        <v>377</v>
      </c>
      <c r="AC98" s="11" t="str">
        <f t="shared" si="8"/>
        <v>link</v>
      </c>
    </row>
    <row r="99">
      <c r="A99" s="13">
        <v>98.0</v>
      </c>
      <c r="B99" s="14">
        <v>0.8862413425958948</v>
      </c>
      <c r="C99" s="14">
        <v>0.8858941203736725</v>
      </c>
      <c r="D99" s="51">
        <f t="shared" si="1"/>
        <v>0.8855468982</v>
      </c>
      <c r="E99" s="51">
        <f t="shared" si="2"/>
        <v>0.0005756249957</v>
      </c>
      <c r="F99" s="52">
        <f t="shared" si="3"/>
        <v>0.09289643519</v>
      </c>
      <c r="G99" s="13" t="s">
        <v>169</v>
      </c>
      <c r="H99" s="13" t="s">
        <v>24</v>
      </c>
      <c r="I99" s="15" t="s">
        <v>378</v>
      </c>
      <c r="J99" s="13">
        <v>1.0</v>
      </c>
      <c r="K99" s="16">
        <v>0.8868055555555555</v>
      </c>
      <c r="L99" s="16">
        <f t="shared" si="4"/>
        <v>0.09415509259</v>
      </c>
      <c r="M99" s="13" t="s">
        <v>36</v>
      </c>
      <c r="N99" s="13" t="s">
        <v>27</v>
      </c>
      <c r="O99" s="13">
        <v>32.82</v>
      </c>
      <c r="P99" s="53">
        <f>O99*85.325</f>
        <v>2800.3665</v>
      </c>
      <c r="Q99" s="13" t="s">
        <v>28</v>
      </c>
      <c r="R99" s="13" t="s">
        <v>29</v>
      </c>
      <c r="S99" s="17">
        <v>0.8899421296296296</v>
      </c>
      <c r="T99" s="17">
        <f t="shared" si="5"/>
        <v>0.09729166667</v>
      </c>
      <c r="U99" s="17">
        <f t="shared" si="6"/>
        <v>0.003136574074</v>
      </c>
      <c r="V99" s="18" t="s">
        <v>379</v>
      </c>
      <c r="W99" s="54"/>
      <c r="X99" s="21" t="s">
        <v>65</v>
      </c>
      <c r="Y99" s="21" t="s">
        <v>65</v>
      </c>
      <c r="Z99" s="29" t="s">
        <v>33</v>
      </c>
      <c r="AA99" s="30" t="e">
        <v>#VALUE!</v>
      </c>
      <c r="AB99" s="39"/>
      <c r="AC99" s="33" t="str">
        <f t="shared" si="8"/>
        <v>link</v>
      </c>
    </row>
    <row r="100">
      <c r="A100" s="6">
        <v>99.0</v>
      </c>
      <c r="B100" s="7">
        <v>0.8868169675915851</v>
      </c>
      <c r="C100" s="7">
        <v>0.8864697453693628</v>
      </c>
      <c r="D100" s="48">
        <f t="shared" si="1"/>
        <v>0.8861225231</v>
      </c>
      <c r="E100" s="48">
        <f t="shared" si="2"/>
        <v>0.002229548612</v>
      </c>
      <c r="F100" s="49">
        <f t="shared" si="3"/>
        <v>0.09347206018</v>
      </c>
      <c r="G100" s="6" t="s">
        <v>23</v>
      </c>
      <c r="H100" s="6" t="s">
        <v>24</v>
      </c>
      <c r="I100" s="8" t="s">
        <v>380</v>
      </c>
      <c r="J100" s="6">
        <v>2.0</v>
      </c>
      <c r="K100" s="9">
        <v>0.8868055555555555</v>
      </c>
      <c r="L100" s="9">
        <f t="shared" si="4"/>
        <v>0.09415509259</v>
      </c>
      <c r="M100" s="6" t="s">
        <v>26</v>
      </c>
      <c r="N100" s="6" t="s">
        <v>27</v>
      </c>
      <c r="O100" s="6">
        <v>1.04</v>
      </c>
      <c r="P100" s="50">
        <v>100.3808</v>
      </c>
      <c r="Q100" s="6" t="s">
        <v>28</v>
      </c>
      <c r="R100" s="6" t="s">
        <v>29</v>
      </c>
      <c r="S100" s="10">
        <v>0.8878587962962963</v>
      </c>
      <c r="T100" s="10">
        <f t="shared" si="5"/>
        <v>0.09520833333</v>
      </c>
      <c r="U100" s="10">
        <f t="shared" si="6"/>
        <v>0.001053240741</v>
      </c>
      <c r="V100" s="11" t="s">
        <v>381</v>
      </c>
      <c r="W100" s="6" t="s">
        <v>31</v>
      </c>
      <c r="X100" s="6">
        <v>1.0</v>
      </c>
      <c r="Y100" s="6" t="s">
        <v>41</v>
      </c>
      <c r="Z100" s="6" t="s">
        <v>33</v>
      </c>
      <c r="AA100" s="8" t="s">
        <v>382</v>
      </c>
      <c r="AB100" s="8" t="s">
        <v>305</v>
      </c>
      <c r="AC100" s="11" t="str">
        <f t="shared" si="8"/>
        <v>link</v>
      </c>
    </row>
    <row r="101">
      <c r="A101" s="13">
        <v>100.0</v>
      </c>
      <c r="B101" s="14">
        <v>0.8890465162039618</v>
      </c>
      <c r="C101" s="14">
        <v>0.8886992939817395</v>
      </c>
      <c r="D101" s="51">
        <f t="shared" si="1"/>
        <v>0.8883520718</v>
      </c>
      <c r="E101" s="51">
        <f t="shared" si="2"/>
        <v>0.0008073148128</v>
      </c>
      <c r="F101" s="52">
        <f t="shared" si="3"/>
        <v>0.0957016088</v>
      </c>
      <c r="G101" s="13" t="s">
        <v>37</v>
      </c>
      <c r="H101" s="13" t="s">
        <v>24</v>
      </c>
      <c r="I101" s="15" t="s">
        <v>383</v>
      </c>
      <c r="J101" s="13">
        <v>2.0</v>
      </c>
      <c r="K101" s="16">
        <v>0.8888888888888888</v>
      </c>
      <c r="L101" s="16">
        <f t="shared" si="4"/>
        <v>0.09623842593</v>
      </c>
      <c r="M101" s="13" t="s">
        <v>26</v>
      </c>
      <c r="N101" s="13" t="s">
        <v>27</v>
      </c>
      <c r="O101" s="13">
        <v>10.36</v>
      </c>
      <c r="P101" s="53">
        <v>999.9472</v>
      </c>
      <c r="Q101" s="13" t="s">
        <v>28</v>
      </c>
      <c r="R101" s="13" t="s">
        <v>29</v>
      </c>
      <c r="S101" s="17">
        <v>0.8906944444444445</v>
      </c>
      <c r="T101" s="17">
        <f t="shared" si="5"/>
        <v>0.09804398148</v>
      </c>
      <c r="U101" s="17">
        <f t="shared" si="6"/>
        <v>0.001805555556</v>
      </c>
      <c r="V101" s="18" t="s">
        <v>384</v>
      </c>
      <c r="W101" s="13" t="s">
        <v>31</v>
      </c>
      <c r="X101" s="13">
        <v>0.0</v>
      </c>
      <c r="Y101" s="13" t="s">
        <v>32</v>
      </c>
      <c r="Z101" s="13" t="s">
        <v>33</v>
      </c>
      <c r="AA101" s="15" t="s">
        <v>156</v>
      </c>
      <c r="AB101" s="15" t="s">
        <v>385</v>
      </c>
      <c r="AC101" s="18" t="str">
        <f t="shared" si="8"/>
        <v>link</v>
      </c>
    </row>
    <row r="102">
      <c r="A102" s="6">
        <v>101.0</v>
      </c>
      <c r="B102" s="7">
        <v>0.8898538310168078</v>
      </c>
      <c r="C102" s="7">
        <v>0.8895066087945855</v>
      </c>
      <c r="D102" s="48">
        <f t="shared" si="1"/>
        <v>0.8891593866</v>
      </c>
      <c r="E102" s="48">
        <f t="shared" si="2"/>
        <v>0.003295578703</v>
      </c>
      <c r="F102" s="49">
        <f t="shared" si="3"/>
        <v>0.09650892361</v>
      </c>
      <c r="G102" s="6" t="s">
        <v>37</v>
      </c>
      <c r="H102" s="6" t="s">
        <v>24</v>
      </c>
      <c r="I102" s="8" t="s">
        <v>386</v>
      </c>
      <c r="J102" s="6">
        <v>1.0</v>
      </c>
      <c r="K102" s="9">
        <v>0.8902777777777777</v>
      </c>
      <c r="L102" s="9">
        <f t="shared" si="4"/>
        <v>0.09762731481</v>
      </c>
      <c r="M102" s="6" t="s">
        <v>36</v>
      </c>
      <c r="N102" s="6" t="s">
        <v>27</v>
      </c>
      <c r="O102" s="6">
        <v>11.72</v>
      </c>
      <c r="P102" s="50">
        <f>O102*85.325</f>
        <v>1000.009</v>
      </c>
      <c r="Q102" s="6" t="s">
        <v>39</v>
      </c>
      <c r="R102" s="6" t="s">
        <v>29</v>
      </c>
      <c r="S102" s="10">
        <v>0.8912962962962963</v>
      </c>
      <c r="T102" s="10">
        <f t="shared" si="5"/>
        <v>0.09864583333</v>
      </c>
      <c r="U102" s="10">
        <f t="shared" si="6"/>
        <v>0.001018518519</v>
      </c>
      <c r="V102" s="11" t="s">
        <v>387</v>
      </c>
      <c r="W102" s="6" t="s">
        <v>31</v>
      </c>
      <c r="X102" s="6">
        <v>1.0</v>
      </c>
      <c r="Y102" s="6" t="s">
        <v>32</v>
      </c>
      <c r="Z102" s="6" t="s">
        <v>33</v>
      </c>
      <c r="AA102" s="8" t="s">
        <v>388</v>
      </c>
      <c r="AB102" s="8" t="s">
        <v>389</v>
      </c>
      <c r="AC102" s="11" t="str">
        <f t="shared" si="8"/>
        <v>link</v>
      </c>
    </row>
    <row r="103">
      <c r="A103" s="13">
        <v>102.0</v>
      </c>
      <c r="B103" s="14">
        <v>0.8931494097196264</v>
      </c>
      <c r="C103" s="14">
        <v>0.8928021874974041</v>
      </c>
      <c r="D103" s="51">
        <f t="shared" si="1"/>
        <v>0.8924549653</v>
      </c>
      <c r="E103" s="51">
        <f t="shared" si="2"/>
        <v>0.0003855439863</v>
      </c>
      <c r="F103" s="52">
        <f t="shared" si="3"/>
        <v>0.09980450231</v>
      </c>
      <c r="G103" s="13" t="s">
        <v>23</v>
      </c>
      <c r="H103" s="13" t="s">
        <v>24</v>
      </c>
      <c r="I103" s="15" t="s">
        <v>390</v>
      </c>
      <c r="J103" s="13">
        <v>2.0</v>
      </c>
      <c r="K103" s="16">
        <v>0.8930555555555556</v>
      </c>
      <c r="L103" s="16">
        <f t="shared" si="4"/>
        <v>0.1004050926</v>
      </c>
      <c r="M103" s="13" t="s">
        <v>26</v>
      </c>
      <c r="N103" s="13" t="s">
        <v>27</v>
      </c>
      <c r="O103" s="13">
        <v>2.07</v>
      </c>
      <c r="P103" s="53">
        <v>199.79639999999998</v>
      </c>
      <c r="Q103" s="13" t="s">
        <v>28</v>
      </c>
      <c r="R103" s="13" t="s">
        <v>29</v>
      </c>
      <c r="S103" s="17">
        <v>0.8944212962962963</v>
      </c>
      <c r="T103" s="17">
        <f t="shared" si="5"/>
        <v>0.1017708333</v>
      </c>
      <c r="U103" s="17">
        <f t="shared" si="6"/>
        <v>0.001365740741</v>
      </c>
      <c r="V103" s="18" t="s">
        <v>391</v>
      </c>
      <c r="W103" s="13" t="s">
        <v>31</v>
      </c>
      <c r="X103" s="13">
        <v>0.0</v>
      </c>
      <c r="Y103" s="13" t="s">
        <v>32</v>
      </c>
      <c r="Z103" s="13" t="s">
        <v>33</v>
      </c>
      <c r="AA103" s="15" t="s">
        <v>58</v>
      </c>
      <c r="AB103" s="15" t="s">
        <v>392</v>
      </c>
      <c r="AC103" s="18" t="str">
        <f t="shared" si="8"/>
        <v>link</v>
      </c>
    </row>
    <row r="104">
      <c r="A104" s="6">
        <v>103.0</v>
      </c>
      <c r="B104" s="7">
        <v>0.8935349537059665</v>
      </c>
      <c r="C104" s="7">
        <v>0.8931877314837442</v>
      </c>
      <c r="D104" s="48">
        <f t="shared" si="1"/>
        <v>0.8928405093</v>
      </c>
      <c r="E104" s="55">
        <v>0.0</v>
      </c>
      <c r="F104" s="49">
        <f t="shared" si="3"/>
        <v>0.1001900463</v>
      </c>
      <c r="G104" s="6" t="s">
        <v>23</v>
      </c>
      <c r="H104" s="6" t="s">
        <v>24</v>
      </c>
      <c r="I104" s="8" t="s">
        <v>393</v>
      </c>
      <c r="J104" s="6">
        <v>3.0</v>
      </c>
      <c r="K104" s="9">
        <v>0.8944444444444445</v>
      </c>
      <c r="L104" s="9">
        <f t="shared" si="4"/>
        <v>0.1017939815</v>
      </c>
      <c r="M104" s="6" t="s">
        <v>26</v>
      </c>
      <c r="N104" s="6" t="s">
        <v>27</v>
      </c>
      <c r="O104" s="6">
        <v>1.55</v>
      </c>
      <c r="P104" s="50">
        <v>149.606</v>
      </c>
      <c r="Q104" s="6" t="s">
        <v>28</v>
      </c>
      <c r="R104" s="6" t="s">
        <v>29</v>
      </c>
      <c r="S104" s="10">
        <v>0.8953240740740741</v>
      </c>
      <c r="T104" s="10">
        <f t="shared" si="5"/>
        <v>0.1026736111</v>
      </c>
      <c r="U104" s="10">
        <f t="shared" si="6"/>
        <v>0.0008796296296</v>
      </c>
      <c r="V104" s="11" t="s">
        <v>394</v>
      </c>
      <c r="W104" s="6" t="s">
        <v>31</v>
      </c>
      <c r="X104" s="6">
        <v>0.0</v>
      </c>
      <c r="Y104" s="6" t="s">
        <v>41</v>
      </c>
      <c r="Z104" s="6" t="s">
        <v>33</v>
      </c>
      <c r="AA104" s="8" t="s">
        <v>34</v>
      </c>
      <c r="AB104" s="8" t="s">
        <v>305</v>
      </c>
      <c r="AC104" s="11" t="str">
        <f t="shared" si="8"/>
        <v>link</v>
      </c>
    </row>
  </sheetData>
  <autoFilter ref="$A$1:$AC$997"/>
  <conditionalFormatting sqref="Y2:Y104 X8 X11 X42:X43 X99">
    <cfRule type="containsText" dxfId="1" priority="1" operator="containsText" text="Valid">
      <formula>NOT(ISERROR(SEARCH(("Valid"),(Y2))))</formula>
    </cfRule>
  </conditionalFormatting>
  <conditionalFormatting sqref="Y2:Y104 X8 X11 X42:X43 X99">
    <cfRule type="containsText" dxfId="2" priority="2" operator="containsText" text="Expired">
      <formula>NOT(ISERROR(SEARCH(("Expired"),(Y2))))</formula>
    </cfRule>
  </conditionalFormatting>
  <conditionalFormatting sqref="X2:X104">
    <cfRule type="cellIs" dxfId="1" priority="3" operator="equal">
      <formula>0</formula>
    </cfRule>
  </conditionalFormatting>
  <conditionalFormatting sqref="X2:X104">
    <cfRule type="cellIs" dxfId="3" priority="4" operator="equal">
      <formula>1</formula>
    </cfRule>
  </conditionalFormatting>
  <conditionalFormatting sqref="X2:X104">
    <cfRule type="cellIs" dxfId="4" priority="5" operator="equal">
      <formula>2</formula>
    </cfRule>
  </conditionalFormatting>
  <conditionalFormatting sqref="X2:X104">
    <cfRule type="cellIs" dxfId="5" priority="6" operator="equal">
      <formula>3</formula>
    </cfRule>
  </conditionalFormatting>
  <conditionalFormatting sqref="X2:X104">
    <cfRule type="cellIs" dxfId="5" priority="7" operator="equal">
      <formula>4</formula>
    </cfRule>
  </conditionalFormatting>
  <conditionalFormatting sqref="X2:X104">
    <cfRule type="cellIs" dxfId="5" priority="8" operator="equal">
      <formula>5</formula>
    </cfRule>
  </conditionalFormatting>
  <conditionalFormatting sqref="X2:X104">
    <cfRule type="cellIs" dxfId="6" priority="9" operator="equal">
      <formula>12</formula>
    </cfRule>
  </conditionalFormatting>
  <conditionalFormatting sqref="X2:X104">
    <cfRule type="cellIs" dxfId="6" priority="10" operator="equal">
      <formula>13</formula>
    </cfRule>
  </conditionalFormatting>
  <conditionalFormatting sqref="X2:X104">
    <cfRule type="cellIs" dxfId="6" priority="11" operator="equal">
      <formula>9</formula>
    </cfRule>
  </conditionalFormatting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AC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7"/>
    <hyperlink r:id="rId58" ref="V58"/>
    <hyperlink r:id="rId59" ref="V59"/>
    <hyperlink r:id="rId60" ref="V60"/>
    <hyperlink r:id="rId61" ref="V61"/>
    <hyperlink r:id="rId62" ref="V62"/>
    <hyperlink r:id="rId63" ref="V63"/>
    <hyperlink r:id="rId64" ref="V64"/>
    <hyperlink r:id="rId65" ref="V65"/>
    <hyperlink r:id="rId66" ref="V66"/>
    <hyperlink r:id="rId67" ref="V67"/>
    <hyperlink r:id="rId68" ref="V68"/>
    <hyperlink r:id="rId69" ref="V69"/>
    <hyperlink r:id="rId70" ref="V70"/>
    <hyperlink r:id="rId71" ref="V71"/>
    <hyperlink r:id="rId72" ref="V72"/>
    <hyperlink r:id="rId73" ref="V73"/>
    <hyperlink r:id="rId74" ref="V74"/>
    <hyperlink r:id="rId75" ref="V75"/>
    <hyperlink r:id="rId76" ref="V76"/>
    <hyperlink r:id="rId77" ref="V77"/>
    <hyperlink r:id="rId78" ref="V78"/>
    <hyperlink r:id="rId79" ref="V79"/>
    <hyperlink r:id="rId80" ref="V80"/>
    <hyperlink r:id="rId81" ref="V81"/>
    <hyperlink r:id="rId82" ref="V82"/>
    <hyperlink r:id="rId83" ref="V83"/>
    <hyperlink r:id="rId84" ref="V84"/>
    <hyperlink r:id="rId85" ref="V85"/>
    <hyperlink r:id="rId86" ref="V86"/>
    <hyperlink r:id="rId87" ref="V87"/>
    <hyperlink r:id="rId88" ref="V88"/>
    <hyperlink r:id="rId89" ref="V89"/>
    <hyperlink r:id="rId90" ref="V90"/>
    <hyperlink r:id="rId91" ref="V91"/>
    <hyperlink r:id="rId92" ref="V92"/>
    <hyperlink r:id="rId93" ref="V93"/>
    <hyperlink r:id="rId94" ref="V94"/>
    <hyperlink r:id="rId95" ref="V95"/>
    <hyperlink r:id="rId96" ref="V96"/>
    <hyperlink r:id="rId97" ref="V97"/>
    <hyperlink r:id="rId98" ref="V98"/>
    <hyperlink r:id="rId99" ref="V99"/>
    <hyperlink r:id="rId100" ref="V100"/>
    <hyperlink r:id="rId101" ref="V101"/>
    <hyperlink r:id="rId102" ref="V102"/>
    <hyperlink r:id="rId103" ref="V103"/>
    <hyperlink r:id="rId104" ref="V104"/>
  </hyperlinks>
  <drawing r:id="rId10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2.63"/>
    <col customWidth="1" min="5" max="5" width="17.63"/>
    <col customWidth="1" min="6" max="6" width="10.88"/>
  </cols>
  <sheetData>
    <row r="1">
      <c r="A1" s="56"/>
    </row>
    <row r="2">
      <c r="A2" s="57" t="s">
        <v>401</v>
      </c>
      <c r="B2" s="58"/>
      <c r="C2" s="58"/>
      <c r="D2" s="58"/>
      <c r="E2" s="58"/>
      <c r="F2" s="58"/>
      <c r="G2" s="59"/>
    </row>
    <row r="3">
      <c r="A3" s="57" t="s">
        <v>26</v>
      </c>
      <c r="B3" s="58"/>
      <c r="C3" s="58"/>
      <c r="D3" s="58"/>
      <c r="E3" s="58"/>
      <c r="F3" s="58"/>
      <c r="G3" s="59"/>
    </row>
    <row r="4">
      <c r="A4" s="60" t="s">
        <v>402</v>
      </c>
      <c r="B4" s="60" t="s">
        <v>403</v>
      </c>
      <c r="C4" s="60" t="s">
        <v>404</v>
      </c>
      <c r="D4" s="60" t="s">
        <v>405</v>
      </c>
      <c r="E4" s="60" t="s">
        <v>406</v>
      </c>
      <c r="F4" s="61" t="s">
        <v>407</v>
      </c>
      <c r="G4" s="61" t="s">
        <v>408</v>
      </c>
    </row>
    <row r="5">
      <c r="A5" s="62">
        <v>1.0</v>
      </c>
      <c r="B5" s="63">
        <v>2.0</v>
      </c>
      <c r="C5" s="63">
        <v>46.0</v>
      </c>
      <c r="D5" s="64">
        <f t="shared" ref="D5:D7" si="1">C5/$C$8</f>
        <v>0.5227272727</v>
      </c>
      <c r="E5" s="64">
        <v>0.5227272727272727</v>
      </c>
      <c r="F5" s="64">
        <v>0.0</v>
      </c>
      <c r="G5" s="65">
        <f t="shared" ref="G5:G7" si="2">E5-0.001</f>
        <v>0.5217272727</v>
      </c>
    </row>
    <row r="6">
      <c r="A6" s="62">
        <v>2.0</v>
      </c>
      <c r="B6" s="63">
        <v>3.0</v>
      </c>
      <c r="C6" s="63">
        <v>28.0</v>
      </c>
      <c r="D6" s="64">
        <f t="shared" si="1"/>
        <v>0.3181818182</v>
      </c>
      <c r="E6" s="64">
        <f t="shared" ref="E6:E7" si="3">E5+D6</f>
        <v>0.8409090909</v>
      </c>
      <c r="F6" s="64">
        <v>0.5227272727272727</v>
      </c>
      <c r="G6" s="65">
        <f t="shared" si="2"/>
        <v>0.8399090909</v>
      </c>
      <c r="J6" s="66"/>
    </row>
    <row r="7">
      <c r="A7" s="62">
        <v>3.0</v>
      </c>
      <c r="B7" s="63">
        <v>4.0</v>
      </c>
      <c r="C7" s="63">
        <v>14.0</v>
      </c>
      <c r="D7" s="64">
        <f t="shared" si="1"/>
        <v>0.1590909091</v>
      </c>
      <c r="E7" s="64">
        <f t="shared" si="3"/>
        <v>1</v>
      </c>
      <c r="F7" s="64">
        <v>0.8409090909090908</v>
      </c>
      <c r="G7" s="65">
        <f t="shared" si="2"/>
        <v>0.999</v>
      </c>
    </row>
    <row r="8">
      <c r="A8" s="67"/>
      <c r="B8" s="68" t="s">
        <v>409</v>
      </c>
      <c r="C8" s="63">
        <f t="shared" ref="C8:D8" si="4">SUM(C5:C7)</f>
        <v>88</v>
      </c>
      <c r="D8" s="64">
        <f t="shared" si="4"/>
        <v>1</v>
      </c>
      <c r="E8" s="63"/>
      <c r="F8" s="63"/>
      <c r="G8" s="69"/>
    </row>
    <row r="9">
      <c r="A9" s="70"/>
    </row>
    <row r="10">
      <c r="A10" s="57" t="s">
        <v>401</v>
      </c>
      <c r="B10" s="58"/>
      <c r="C10" s="58"/>
      <c r="D10" s="58"/>
      <c r="E10" s="58"/>
      <c r="F10" s="58"/>
      <c r="G10" s="59"/>
    </row>
    <row r="11">
      <c r="A11" s="57" t="s">
        <v>36</v>
      </c>
      <c r="B11" s="58"/>
      <c r="C11" s="58"/>
      <c r="D11" s="58"/>
      <c r="E11" s="58"/>
      <c r="F11" s="58"/>
      <c r="G11" s="59"/>
    </row>
    <row r="12">
      <c r="A12" s="60" t="s">
        <v>402</v>
      </c>
      <c r="B12" s="60" t="s">
        <v>403</v>
      </c>
      <c r="C12" s="60" t="s">
        <v>404</v>
      </c>
      <c r="D12" s="60" t="s">
        <v>405</v>
      </c>
      <c r="E12" s="60" t="s">
        <v>406</v>
      </c>
      <c r="F12" s="61" t="s">
        <v>407</v>
      </c>
      <c r="G12" s="61" t="s">
        <v>408</v>
      </c>
    </row>
    <row r="13">
      <c r="A13" s="62">
        <v>1.0</v>
      </c>
      <c r="B13" s="63">
        <v>1.0</v>
      </c>
      <c r="C13" s="63">
        <v>13.0</v>
      </c>
      <c r="D13" s="64">
        <f>C13/C15</f>
        <v>0.8666666667</v>
      </c>
      <c r="E13" s="64">
        <v>0.8666666666666667</v>
      </c>
      <c r="F13" s="64">
        <v>0.0</v>
      </c>
      <c r="G13" s="65">
        <f t="shared" ref="G13:G14" si="5">E13-0.001</f>
        <v>0.8656666667</v>
      </c>
    </row>
    <row r="14">
      <c r="A14" s="62">
        <v>2.0</v>
      </c>
      <c r="B14" s="63">
        <v>5.0</v>
      </c>
      <c r="C14" s="63">
        <v>2.0</v>
      </c>
      <c r="D14" s="64">
        <f>C14/C15</f>
        <v>0.1333333333</v>
      </c>
      <c r="E14" s="64">
        <f>E13+D14</f>
        <v>1</v>
      </c>
      <c r="F14" s="64">
        <v>0.8666666666666667</v>
      </c>
      <c r="G14" s="65">
        <f t="shared" si="5"/>
        <v>0.999</v>
      </c>
    </row>
    <row r="15">
      <c r="A15" s="62"/>
      <c r="B15" s="68" t="s">
        <v>409</v>
      </c>
      <c r="C15" s="63">
        <f t="shared" ref="C15:D15" si="6">sum(C13:C14)</f>
        <v>15</v>
      </c>
      <c r="D15" s="64">
        <f t="shared" si="6"/>
        <v>1</v>
      </c>
      <c r="E15" s="63"/>
      <c r="F15" s="63"/>
      <c r="G15" s="69"/>
    </row>
    <row r="16">
      <c r="A16" s="71" t="s">
        <v>410</v>
      </c>
      <c r="J16" s="72"/>
      <c r="K16" s="72"/>
      <c r="L16" s="72"/>
      <c r="M16" s="72"/>
      <c r="N16" s="72"/>
      <c r="O16" s="72"/>
      <c r="P16" s="72"/>
      <c r="Q16" s="72"/>
    </row>
    <row r="17">
      <c r="A17" s="57" t="s">
        <v>37</v>
      </c>
      <c r="B17" s="58"/>
      <c r="C17" s="58"/>
      <c r="D17" s="58"/>
      <c r="E17" s="58"/>
      <c r="F17" s="58"/>
      <c r="G17" s="59"/>
      <c r="K17" s="73" t="s">
        <v>411</v>
      </c>
    </row>
    <row r="18">
      <c r="A18" s="60" t="s">
        <v>402</v>
      </c>
      <c r="B18" s="60" t="s">
        <v>21</v>
      </c>
      <c r="C18" s="60" t="s">
        <v>404</v>
      </c>
      <c r="D18" s="60" t="s">
        <v>405</v>
      </c>
      <c r="E18" s="60" t="s">
        <v>406</v>
      </c>
      <c r="F18" s="61" t="s">
        <v>407</v>
      </c>
      <c r="G18" s="61" t="s">
        <v>408</v>
      </c>
      <c r="K18" s="74" t="s">
        <v>402</v>
      </c>
      <c r="L18" s="74" t="s">
        <v>412</v>
      </c>
      <c r="M18" s="74" t="s">
        <v>413</v>
      </c>
      <c r="N18" s="74" t="s">
        <v>414</v>
      </c>
      <c r="O18" s="74" t="s">
        <v>415</v>
      </c>
      <c r="P18" s="74" t="s">
        <v>407</v>
      </c>
      <c r="Q18" s="74" t="s">
        <v>408</v>
      </c>
    </row>
    <row r="19">
      <c r="A19" s="62">
        <v>1.0</v>
      </c>
      <c r="B19" s="75" t="s">
        <v>26</v>
      </c>
      <c r="C19" s="76">
        <v>44.0</v>
      </c>
      <c r="D19" s="65">
        <f t="shared" ref="D19:D21" si="7">C19/C$21</f>
        <v>0.8979591837</v>
      </c>
      <c r="E19" s="65">
        <v>0.8979591836734694</v>
      </c>
      <c r="F19" s="77">
        <v>0.0</v>
      </c>
      <c r="G19" s="65">
        <f t="shared" ref="G19:G20" si="8">E19-0.001</f>
        <v>0.8969591837</v>
      </c>
      <c r="K19" s="76">
        <v>1.0</v>
      </c>
      <c r="L19" s="78" t="s">
        <v>416</v>
      </c>
      <c r="M19" s="76">
        <v>88.0</v>
      </c>
      <c r="N19" s="79">
        <f t="shared" ref="N19:N21" si="9">M19/M$21</f>
        <v>0.854368932</v>
      </c>
      <c r="O19" s="76">
        <v>0.854</v>
      </c>
      <c r="P19" s="79">
        <v>0.0</v>
      </c>
      <c r="Q19" s="76">
        <f t="shared" ref="Q19:Q20" si="10">O19-0.001</f>
        <v>0.853</v>
      </c>
    </row>
    <row r="20">
      <c r="A20" s="62">
        <v>2.0</v>
      </c>
      <c r="B20" s="75" t="s">
        <v>36</v>
      </c>
      <c r="C20" s="76">
        <v>5.0</v>
      </c>
      <c r="D20" s="65">
        <f t="shared" si="7"/>
        <v>0.1020408163</v>
      </c>
      <c r="E20" s="65">
        <f>E19+D20</f>
        <v>1</v>
      </c>
      <c r="F20" s="65">
        <v>0.8979591836734694</v>
      </c>
      <c r="G20" s="65">
        <f t="shared" si="8"/>
        <v>0.999</v>
      </c>
      <c r="K20" s="76">
        <v>2.0</v>
      </c>
      <c r="L20" s="78" t="s">
        <v>417</v>
      </c>
      <c r="M20" s="76">
        <v>15.0</v>
      </c>
      <c r="N20" s="79">
        <f t="shared" si="9"/>
        <v>0.145631068</v>
      </c>
      <c r="O20" s="79">
        <v>1.0</v>
      </c>
      <c r="P20" s="76">
        <v>0.854</v>
      </c>
      <c r="Q20" s="79">
        <f t="shared" si="10"/>
        <v>0.999</v>
      </c>
    </row>
    <row r="21">
      <c r="A21" s="69"/>
      <c r="B21" s="80" t="s">
        <v>409</v>
      </c>
      <c r="C21" s="69">
        <f>sum(C19:C20)</f>
        <v>49</v>
      </c>
      <c r="D21" s="65">
        <f t="shared" si="7"/>
        <v>1</v>
      </c>
      <c r="E21" s="69"/>
      <c r="F21" s="69"/>
      <c r="G21" s="69"/>
      <c r="K21" s="78"/>
      <c r="L21" s="81" t="s">
        <v>418</v>
      </c>
      <c r="M21" s="76">
        <f>SUM(M19:M20)</f>
        <v>103</v>
      </c>
      <c r="N21" s="79">
        <f t="shared" si="9"/>
        <v>1</v>
      </c>
      <c r="O21" s="78"/>
      <c r="P21" s="78"/>
      <c r="Q21" s="78"/>
    </row>
    <row r="22">
      <c r="A22" s="71" t="s">
        <v>410</v>
      </c>
      <c r="K22" s="82"/>
      <c r="L22" s="83" t="s">
        <v>36</v>
      </c>
      <c r="M22" s="58"/>
      <c r="N22" s="58"/>
      <c r="O22" s="58"/>
      <c r="P22" s="58"/>
      <c r="Q22" s="59"/>
    </row>
    <row r="23">
      <c r="A23" s="57" t="s">
        <v>23</v>
      </c>
      <c r="B23" s="58"/>
      <c r="C23" s="58"/>
      <c r="D23" s="58"/>
      <c r="E23" s="58"/>
      <c r="F23" s="58"/>
      <c r="G23" s="59"/>
      <c r="K23" s="74" t="s">
        <v>402</v>
      </c>
      <c r="L23" s="74" t="s">
        <v>2</v>
      </c>
      <c r="M23" s="74" t="s">
        <v>413</v>
      </c>
      <c r="N23" s="74" t="s">
        <v>414</v>
      </c>
      <c r="O23" s="74" t="s">
        <v>415</v>
      </c>
      <c r="P23" s="74" t="s">
        <v>407</v>
      </c>
      <c r="Q23" s="74" t="s">
        <v>408</v>
      </c>
    </row>
    <row r="24">
      <c r="A24" s="60" t="s">
        <v>402</v>
      </c>
      <c r="B24" s="60" t="s">
        <v>21</v>
      </c>
      <c r="C24" s="60" t="s">
        <v>404</v>
      </c>
      <c r="D24" s="60" t="s">
        <v>405</v>
      </c>
      <c r="E24" s="60" t="s">
        <v>406</v>
      </c>
      <c r="F24" s="61" t="s">
        <v>407</v>
      </c>
      <c r="G24" s="61" t="s">
        <v>408</v>
      </c>
      <c r="K24" s="76">
        <v>1.0</v>
      </c>
      <c r="L24" s="78" t="s">
        <v>37</v>
      </c>
      <c r="M24" s="76">
        <v>5.0</v>
      </c>
      <c r="N24" s="79">
        <f t="shared" ref="N24:N28" si="11">M24/M$28</f>
        <v>0.3333333333</v>
      </c>
      <c r="O24" s="79">
        <f>0+N24</f>
        <v>0.3333333333</v>
      </c>
      <c r="P24" s="79">
        <v>0.0</v>
      </c>
      <c r="Q24" s="79">
        <f t="shared" ref="Q24:Q27" si="12">O24-0.001</f>
        <v>0.3323333333</v>
      </c>
    </row>
    <row r="25">
      <c r="A25" s="62">
        <v>1.0</v>
      </c>
      <c r="B25" s="75" t="s">
        <v>26</v>
      </c>
      <c r="C25" s="76">
        <v>29.0</v>
      </c>
      <c r="D25" s="65">
        <f t="shared" ref="D25:D27" si="13">C25/C$27</f>
        <v>1</v>
      </c>
      <c r="E25" s="65">
        <v>1.0</v>
      </c>
      <c r="F25" s="77">
        <v>0.0</v>
      </c>
      <c r="G25" s="65">
        <f>E25-0.001</f>
        <v>0.999</v>
      </c>
      <c r="K25" s="76">
        <v>2.0</v>
      </c>
      <c r="L25" s="78" t="s">
        <v>419</v>
      </c>
      <c r="M25" s="76">
        <v>3.0</v>
      </c>
      <c r="N25" s="79">
        <f t="shared" si="11"/>
        <v>0.2</v>
      </c>
      <c r="O25" s="79">
        <f t="shared" ref="O25:O27" si="14">(O24+N25)</f>
        <v>0.5333333333</v>
      </c>
      <c r="P25" s="79">
        <v>0.3333333333333333</v>
      </c>
      <c r="Q25" s="79">
        <f t="shared" si="12"/>
        <v>0.5323333333</v>
      </c>
    </row>
    <row r="26">
      <c r="A26" s="62">
        <v>2.0</v>
      </c>
      <c r="B26" s="75" t="s">
        <v>36</v>
      </c>
      <c r="C26" s="75">
        <v>0.0</v>
      </c>
      <c r="D26" s="65">
        <f t="shared" si="13"/>
        <v>0</v>
      </c>
      <c r="E26" s="65">
        <f>E25+D26</f>
        <v>1</v>
      </c>
      <c r="F26" s="84" t="s">
        <v>420</v>
      </c>
      <c r="G26" s="85" t="s">
        <v>420</v>
      </c>
      <c r="K26" s="76">
        <v>3.0</v>
      </c>
      <c r="L26" s="78" t="s">
        <v>421</v>
      </c>
      <c r="M26" s="76">
        <v>5.0</v>
      </c>
      <c r="N26" s="79">
        <f t="shared" si="11"/>
        <v>0.3333333333</v>
      </c>
      <c r="O26" s="79">
        <f t="shared" si="14"/>
        <v>0.8666666667</v>
      </c>
      <c r="P26" s="79">
        <v>0.5333333333333333</v>
      </c>
      <c r="Q26" s="79">
        <f t="shared" si="12"/>
        <v>0.8656666667</v>
      </c>
    </row>
    <row r="27">
      <c r="A27" s="69"/>
      <c r="B27" s="80" t="s">
        <v>409</v>
      </c>
      <c r="C27" s="69">
        <f>sum(C25:C26)</f>
        <v>29</v>
      </c>
      <c r="D27" s="65">
        <f t="shared" si="13"/>
        <v>1</v>
      </c>
      <c r="E27" s="69"/>
      <c r="F27" s="69"/>
      <c r="G27" s="69"/>
      <c r="K27" s="76">
        <v>4.0</v>
      </c>
      <c r="L27" s="78" t="s">
        <v>422</v>
      </c>
      <c r="M27" s="76">
        <v>2.0</v>
      </c>
      <c r="N27" s="79">
        <f t="shared" si="11"/>
        <v>0.1333333333</v>
      </c>
      <c r="O27" s="79">
        <f t="shared" si="14"/>
        <v>1</v>
      </c>
      <c r="P27" s="79">
        <v>0.8666666666666667</v>
      </c>
      <c r="Q27" s="79">
        <f t="shared" si="12"/>
        <v>0.999</v>
      </c>
    </row>
    <row r="28">
      <c r="A28" s="71" t="s">
        <v>410</v>
      </c>
      <c r="K28" s="78"/>
      <c r="L28" s="81" t="s">
        <v>418</v>
      </c>
      <c r="M28" s="76">
        <f>sum(M24:M27)</f>
        <v>15</v>
      </c>
      <c r="N28" s="79">
        <f t="shared" si="11"/>
        <v>1</v>
      </c>
      <c r="O28" s="78"/>
      <c r="P28" s="78"/>
      <c r="Q28" s="78"/>
    </row>
    <row r="29">
      <c r="A29" s="57" t="s">
        <v>44</v>
      </c>
      <c r="B29" s="58"/>
      <c r="C29" s="58"/>
      <c r="D29" s="58"/>
      <c r="E29" s="58"/>
      <c r="F29" s="58"/>
      <c r="G29" s="59"/>
      <c r="K29" s="83" t="s">
        <v>26</v>
      </c>
      <c r="L29" s="58"/>
      <c r="M29" s="58"/>
      <c r="N29" s="58"/>
      <c r="O29" s="58"/>
      <c r="P29" s="58"/>
      <c r="Q29" s="59"/>
    </row>
    <row r="30">
      <c r="A30" s="60" t="s">
        <v>402</v>
      </c>
      <c r="B30" s="60" t="s">
        <v>21</v>
      </c>
      <c r="C30" s="60" t="s">
        <v>404</v>
      </c>
      <c r="D30" s="60" t="s">
        <v>405</v>
      </c>
      <c r="E30" s="60" t="s">
        <v>406</v>
      </c>
      <c r="F30" s="61" t="s">
        <v>407</v>
      </c>
      <c r="G30" s="61" t="s">
        <v>408</v>
      </c>
      <c r="K30" s="74" t="s">
        <v>402</v>
      </c>
      <c r="L30" s="74" t="s">
        <v>2</v>
      </c>
      <c r="M30" s="74" t="s">
        <v>413</v>
      </c>
      <c r="N30" s="74" t="s">
        <v>414</v>
      </c>
      <c r="O30" s="74" t="s">
        <v>415</v>
      </c>
      <c r="P30" s="74" t="s">
        <v>407</v>
      </c>
      <c r="Q30" s="74" t="s">
        <v>408</v>
      </c>
    </row>
    <row r="31">
      <c r="A31" s="62">
        <v>1.0</v>
      </c>
      <c r="B31" s="75" t="s">
        <v>26</v>
      </c>
      <c r="C31" s="76">
        <v>8.0</v>
      </c>
      <c r="D31" s="65">
        <f t="shared" ref="D31:D33" si="15">C31/C$33</f>
        <v>1</v>
      </c>
      <c r="E31" s="65">
        <v>1.0</v>
      </c>
      <c r="F31" s="77">
        <v>0.0</v>
      </c>
      <c r="G31" s="65">
        <f>E31-0.001</f>
        <v>0.999</v>
      </c>
      <c r="K31" s="76">
        <v>1.0</v>
      </c>
      <c r="L31" s="78" t="s">
        <v>37</v>
      </c>
      <c r="M31" s="76">
        <v>44.0</v>
      </c>
      <c r="N31" s="79">
        <f t="shared" ref="N31:N36" si="16">M31/M$36</f>
        <v>0.5</v>
      </c>
      <c r="O31" s="79">
        <v>0.5</v>
      </c>
      <c r="P31" s="79">
        <v>0.0</v>
      </c>
      <c r="Q31" s="79">
        <f t="shared" ref="Q31:Q35" si="17">O31-0.001</f>
        <v>0.499</v>
      </c>
    </row>
    <row r="32">
      <c r="A32" s="62">
        <v>2.0</v>
      </c>
      <c r="B32" s="75" t="s">
        <v>36</v>
      </c>
      <c r="C32" s="75">
        <v>0.0</v>
      </c>
      <c r="D32" s="65">
        <f t="shared" si="15"/>
        <v>0</v>
      </c>
      <c r="E32" s="65">
        <f>E31+D32</f>
        <v>1</v>
      </c>
      <c r="F32" s="84" t="s">
        <v>420</v>
      </c>
      <c r="G32" s="85" t="s">
        <v>420</v>
      </c>
      <c r="K32" s="76">
        <v>2.0</v>
      </c>
      <c r="L32" s="78" t="s">
        <v>23</v>
      </c>
      <c r="M32" s="76">
        <v>29.0</v>
      </c>
      <c r="N32" s="79">
        <f t="shared" si="16"/>
        <v>0.3295454545</v>
      </c>
      <c r="O32" s="79">
        <f t="shared" ref="O32:O35" si="18">(O31+N32)</f>
        <v>0.8295454545</v>
      </c>
      <c r="P32" s="79">
        <v>0.5</v>
      </c>
      <c r="Q32" s="79">
        <f t="shared" si="17"/>
        <v>0.8285454545</v>
      </c>
    </row>
    <row r="33">
      <c r="A33" s="69"/>
      <c r="B33" s="80" t="s">
        <v>409</v>
      </c>
      <c r="C33" s="69">
        <f>SUM(C31:C32)</f>
        <v>8</v>
      </c>
      <c r="D33" s="65">
        <f t="shared" si="15"/>
        <v>1</v>
      </c>
      <c r="E33" s="69"/>
      <c r="F33" s="69"/>
      <c r="G33" s="69"/>
      <c r="K33" s="76">
        <v>3.0</v>
      </c>
      <c r="L33" s="78" t="s">
        <v>44</v>
      </c>
      <c r="M33" s="76">
        <v>8.0</v>
      </c>
      <c r="N33" s="79">
        <f t="shared" si="16"/>
        <v>0.09090909091</v>
      </c>
      <c r="O33" s="79">
        <f t="shared" si="18"/>
        <v>0.9204545455</v>
      </c>
      <c r="P33" s="79">
        <v>0.8295454545454546</v>
      </c>
      <c r="Q33" s="79">
        <f t="shared" si="17"/>
        <v>0.9194545455</v>
      </c>
    </row>
    <row r="34">
      <c r="A34" s="71" t="s">
        <v>410</v>
      </c>
      <c r="K34" s="76">
        <v>4.0</v>
      </c>
      <c r="L34" s="78" t="s">
        <v>419</v>
      </c>
      <c r="M34" s="76">
        <v>4.0</v>
      </c>
      <c r="N34" s="79">
        <f t="shared" si="16"/>
        <v>0.04545454545</v>
      </c>
      <c r="O34" s="79">
        <f t="shared" si="18"/>
        <v>0.9659090909</v>
      </c>
      <c r="P34" s="79">
        <v>0.9204545454545455</v>
      </c>
      <c r="Q34" s="79">
        <f t="shared" si="17"/>
        <v>0.9649090909</v>
      </c>
    </row>
    <row r="35">
      <c r="A35" s="57" t="s">
        <v>419</v>
      </c>
      <c r="B35" s="58"/>
      <c r="C35" s="58"/>
      <c r="D35" s="58"/>
      <c r="E35" s="58"/>
      <c r="F35" s="58"/>
      <c r="G35" s="59"/>
      <c r="K35" s="76">
        <v>5.0</v>
      </c>
      <c r="L35" s="78" t="s">
        <v>421</v>
      </c>
      <c r="M35" s="76">
        <v>3.0</v>
      </c>
      <c r="N35" s="79">
        <f t="shared" si="16"/>
        <v>0.03409090909</v>
      </c>
      <c r="O35" s="79">
        <f t="shared" si="18"/>
        <v>1</v>
      </c>
      <c r="P35" s="79">
        <v>0.9659090909090909</v>
      </c>
      <c r="Q35" s="79">
        <f t="shared" si="17"/>
        <v>0.999</v>
      </c>
    </row>
    <row r="36">
      <c r="A36" s="60" t="s">
        <v>402</v>
      </c>
      <c r="B36" s="60" t="s">
        <v>21</v>
      </c>
      <c r="C36" s="60" t="s">
        <v>404</v>
      </c>
      <c r="D36" s="60" t="s">
        <v>405</v>
      </c>
      <c r="E36" s="60" t="s">
        <v>406</v>
      </c>
      <c r="F36" s="61" t="s">
        <v>407</v>
      </c>
      <c r="G36" s="61" t="s">
        <v>408</v>
      </c>
      <c r="K36" s="78"/>
      <c r="L36" s="81" t="s">
        <v>409</v>
      </c>
      <c r="M36" s="76">
        <f>sum(M31:M35)</f>
        <v>88</v>
      </c>
      <c r="N36" s="79">
        <f t="shared" si="16"/>
        <v>1</v>
      </c>
      <c r="O36" s="78"/>
      <c r="P36" s="78"/>
      <c r="Q36" s="78"/>
    </row>
    <row r="37">
      <c r="A37" s="62">
        <v>1.0</v>
      </c>
      <c r="B37" s="75" t="s">
        <v>26</v>
      </c>
      <c r="C37" s="75">
        <v>4.0</v>
      </c>
      <c r="D37" s="65">
        <f t="shared" ref="D37:D39" si="19">C37/C$39</f>
        <v>0.5714285714</v>
      </c>
      <c r="E37" s="65">
        <v>0.5714285714285714</v>
      </c>
      <c r="F37" s="75">
        <v>0.0</v>
      </c>
      <c r="G37" s="65">
        <f t="shared" ref="G37:G38" si="20">E37-0.001</f>
        <v>0.5704285714</v>
      </c>
      <c r="J37" s="72"/>
      <c r="K37" s="72"/>
      <c r="L37" s="72"/>
      <c r="M37" s="72"/>
      <c r="N37" s="72"/>
      <c r="O37" s="72"/>
      <c r="P37" s="72"/>
      <c r="Q37" s="72"/>
    </row>
    <row r="38">
      <c r="A38" s="62">
        <v>2.0</v>
      </c>
      <c r="B38" s="75" t="s">
        <v>36</v>
      </c>
      <c r="C38" s="75">
        <v>3.0</v>
      </c>
      <c r="D38" s="65">
        <f t="shared" si="19"/>
        <v>0.4285714286</v>
      </c>
      <c r="E38" s="65">
        <f>E37+D38</f>
        <v>1</v>
      </c>
      <c r="F38" s="65">
        <v>0.5714285714285714</v>
      </c>
      <c r="G38" s="65">
        <f t="shared" si="20"/>
        <v>0.999</v>
      </c>
      <c r="J38" s="72"/>
      <c r="K38" s="72"/>
      <c r="L38" s="72"/>
      <c r="M38" s="72"/>
      <c r="N38" s="72"/>
      <c r="O38" s="72"/>
      <c r="P38" s="72"/>
      <c r="Q38" s="72"/>
    </row>
    <row r="39">
      <c r="A39" s="69"/>
      <c r="B39" s="80" t="s">
        <v>409</v>
      </c>
      <c r="C39" s="69">
        <f>sum(C37:C38)</f>
        <v>7</v>
      </c>
      <c r="D39" s="65">
        <f t="shared" si="19"/>
        <v>1</v>
      </c>
      <c r="E39" s="69"/>
      <c r="F39" s="69"/>
      <c r="G39" s="69"/>
      <c r="J39" s="72"/>
      <c r="K39" s="72"/>
      <c r="L39" s="72"/>
      <c r="M39" s="72"/>
      <c r="N39" s="72"/>
      <c r="O39" s="72"/>
      <c r="P39" s="72"/>
      <c r="Q39" s="72"/>
    </row>
    <row r="40">
      <c r="A40" s="71" t="s">
        <v>410</v>
      </c>
      <c r="J40" s="72"/>
      <c r="K40" s="72"/>
      <c r="L40" s="72"/>
      <c r="M40" s="72"/>
      <c r="N40" s="72"/>
      <c r="O40" s="72"/>
      <c r="P40" s="72"/>
      <c r="Q40" s="72"/>
    </row>
    <row r="41">
      <c r="A41" s="57" t="s">
        <v>421</v>
      </c>
      <c r="B41" s="58"/>
      <c r="C41" s="58"/>
      <c r="D41" s="58"/>
      <c r="E41" s="58"/>
      <c r="F41" s="58"/>
      <c r="G41" s="59"/>
      <c r="J41" s="72"/>
      <c r="K41" s="72"/>
      <c r="L41" s="72"/>
      <c r="M41" s="72"/>
      <c r="N41" s="72"/>
      <c r="O41" s="72"/>
      <c r="P41" s="72"/>
      <c r="Q41" s="72"/>
    </row>
    <row r="42">
      <c r="A42" s="60" t="s">
        <v>402</v>
      </c>
      <c r="B42" s="60" t="s">
        <v>21</v>
      </c>
      <c r="C42" s="60" t="s">
        <v>404</v>
      </c>
      <c r="D42" s="60" t="s">
        <v>405</v>
      </c>
      <c r="E42" s="60" t="s">
        <v>406</v>
      </c>
      <c r="F42" s="61" t="s">
        <v>407</v>
      </c>
      <c r="G42" s="61" t="s">
        <v>408</v>
      </c>
      <c r="J42" s="72"/>
      <c r="K42" s="72"/>
      <c r="L42" s="72"/>
      <c r="M42" s="72"/>
      <c r="N42" s="72"/>
      <c r="O42" s="72"/>
      <c r="P42" s="72"/>
      <c r="Q42" s="72"/>
    </row>
    <row r="43">
      <c r="A43" s="62">
        <v>1.0</v>
      </c>
      <c r="B43" s="75" t="s">
        <v>26</v>
      </c>
      <c r="C43" s="75">
        <v>3.0</v>
      </c>
      <c r="D43" s="65">
        <f t="shared" ref="D43:D45" si="21">C43/C$45</f>
        <v>0.375</v>
      </c>
      <c r="E43" s="65">
        <v>0.375</v>
      </c>
      <c r="F43" s="77">
        <v>0.0</v>
      </c>
      <c r="G43" s="65">
        <f t="shared" ref="G43:G44" si="22">E43-0.001</f>
        <v>0.374</v>
      </c>
      <c r="J43" s="72"/>
      <c r="K43" s="72"/>
      <c r="L43" s="72"/>
      <c r="M43" s="72"/>
      <c r="N43" s="72"/>
      <c r="O43" s="72"/>
      <c r="P43" s="72"/>
      <c r="Q43" s="72"/>
    </row>
    <row r="44">
      <c r="A44" s="62">
        <v>2.0</v>
      </c>
      <c r="B44" s="75" t="s">
        <v>36</v>
      </c>
      <c r="C44" s="75">
        <v>5.0</v>
      </c>
      <c r="D44" s="65">
        <f t="shared" si="21"/>
        <v>0.625</v>
      </c>
      <c r="E44" s="65">
        <f>E43+D44</f>
        <v>1</v>
      </c>
      <c r="F44" s="65">
        <v>0.375</v>
      </c>
      <c r="G44" s="65">
        <f t="shared" si="22"/>
        <v>0.999</v>
      </c>
      <c r="J44" s="72"/>
      <c r="K44" s="72"/>
      <c r="L44" s="72"/>
      <c r="M44" s="72"/>
      <c r="N44" s="72"/>
      <c r="O44" s="72"/>
      <c r="P44" s="72"/>
      <c r="Q44" s="72"/>
    </row>
    <row r="45">
      <c r="A45" s="69"/>
      <c r="B45" s="80" t="s">
        <v>409</v>
      </c>
      <c r="C45" s="69">
        <f>SUM(C43:C44)</f>
        <v>8</v>
      </c>
      <c r="D45" s="65">
        <f t="shared" si="21"/>
        <v>1</v>
      </c>
      <c r="E45" s="69"/>
      <c r="F45" s="69"/>
      <c r="G45" s="69"/>
      <c r="J45" s="72"/>
      <c r="K45" s="72"/>
      <c r="L45" s="72"/>
      <c r="M45" s="72"/>
      <c r="N45" s="72"/>
      <c r="O45" s="72"/>
      <c r="P45" s="72"/>
      <c r="Q45" s="72"/>
    </row>
    <row r="46">
      <c r="A46" s="71" t="s">
        <v>410</v>
      </c>
      <c r="J46" s="72"/>
      <c r="K46" s="72"/>
      <c r="L46" s="72"/>
      <c r="M46" s="72"/>
      <c r="N46" s="72"/>
      <c r="O46" s="72"/>
      <c r="P46" s="72"/>
      <c r="Q46" s="72"/>
    </row>
    <row r="47">
      <c r="A47" s="57" t="s">
        <v>423</v>
      </c>
      <c r="B47" s="58"/>
      <c r="C47" s="58"/>
      <c r="D47" s="58"/>
      <c r="E47" s="58"/>
      <c r="F47" s="58"/>
      <c r="G47" s="59"/>
      <c r="J47" s="72"/>
      <c r="K47" s="72"/>
      <c r="L47" s="72"/>
      <c r="M47" s="72"/>
      <c r="N47" s="72"/>
      <c r="O47" s="72"/>
      <c r="P47" s="72"/>
      <c r="Q47" s="72"/>
    </row>
    <row r="48">
      <c r="A48" s="60" t="s">
        <v>402</v>
      </c>
      <c r="B48" s="60" t="s">
        <v>21</v>
      </c>
      <c r="C48" s="60" t="s">
        <v>404</v>
      </c>
      <c r="D48" s="60" t="s">
        <v>405</v>
      </c>
      <c r="E48" s="60" t="s">
        <v>406</v>
      </c>
      <c r="F48" s="61" t="s">
        <v>407</v>
      </c>
      <c r="G48" s="61" t="s">
        <v>408</v>
      </c>
      <c r="J48" s="72"/>
      <c r="K48" s="72"/>
      <c r="L48" s="72"/>
      <c r="M48" s="72"/>
      <c r="N48" s="72"/>
      <c r="O48" s="72"/>
      <c r="P48" s="72"/>
      <c r="Q48" s="72"/>
    </row>
    <row r="49">
      <c r="A49" s="62">
        <v>1.0</v>
      </c>
      <c r="B49" s="75" t="s">
        <v>26</v>
      </c>
      <c r="C49" s="75">
        <v>0.0</v>
      </c>
      <c r="D49" s="65">
        <f t="shared" ref="D49:D51" si="23">C49/C$51</f>
        <v>0</v>
      </c>
      <c r="E49" s="65">
        <v>0.0</v>
      </c>
      <c r="F49" s="84" t="s">
        <v>420</v>
      </c>
      <c r="G49" s="85" t="s">
        <v>420</v>
      </c>
      <c r="J49" s="72"/>
      <c r="K49" s="72"/>
      <c r="L49" s="72"/>
      <c r="M49" s="72"/>
      <c r="N49" s="72"/>
      <c r="O49" s="72"/>
      <c r="P49" s="72"/>
      <c r="Q49" s="72"/>
    </row>
    <row r="50">
      <c r="A50" s="62">
        <v>2.0</v>
      </c>
      <c r="B50" s="75" t="s">
        <v>36</v>
      </c>
      <c r="C50" s="75">
        <v>2.0</v>
      </c>
      <c r="D50" s="65">
        <f t="shared" si="23"/>
        <v>1</v>
      </c>
      <c r="E50" s="65">
        <f>E49+D50</f>
        <v>1</v>
      </c>
      <c r="F50" s="65">
        <v>0.0</v>
      </c>
      <c r="G50" s="65">
        <f>E50-0.001</f>
        <v>0.999</v>
      </c>
      <c r="J50" s="72"/>
      <c r="K50" s="72"/>
      <c r="L50" s="72"/>
      <c r="M50" s="72"/>
      <c r="N50" s="72"/>
      <c r="O50" s="72"/>
      <c r="P50" s="72"/>
      <c r="Q50" s="72"/>
    </row>
    <row r="51">
      <c r="A51" s="69"/>
      <c r="B51" s="80" t="s">
        <v>409</v>
      </c>
      <c r="C51" s="69">
        <f>sum(C49:C50)</f>
        <v>2</v>
      </c>
      <c r="D51" s="65">
        <f t="shared" si="23"/>
        <v>1</v>
      </c>
      <c r="E51" s="69"/>
      <c r="F51" s="69"/>
      <c r="G51" s="69"/>
      <c r="J51" s="72"/>
      <c r="K51" s="72"/>
      <c r="L51" s="72"/>
      <c r="M51" s="72"/>
      <c r="N51" s="72"/>
      <c r="O51" s="72"/>
      <c r="P51" s="72"/>
      <c r="Q51" s="72"/>
    </row>
    <row r="52">
      <c r="A52" s="71" t="s">
        <v>424</v>
      </c>
      <c r="J52" s="72"/>
      <c r="K52" s="72"/>
      <c r="L52" s="72"/>
      <c r="M52" s="72"/>
      <c r="N52" s="72"/>
      <c r="O52" s="72"/>
      <c r="P52" s="72"/>
      <c r="Q52" s="72"/>
    </row>
    <row r="53">
      <c r="A53" s="60" t="s">
        <v>402</v>
      </c>
      <c r="B53" s="61" t="s">
        <v>425</v>
      </c>
      <c r="C53" s="61" t="s">
        <v>404</v>
      </c>
      <c r="D53" s="61" t="s">
        <v>405</v>
      </c>
      <c r="E53" s="61" t="s">
        <v>426</v>
      </c>
      <c r="F53" s="61" t="s">
        <v>407</v>
      </c>
      <c r="G53" s="61" t="s">
        <v>408</v>
      </c>
    </row>
    <row r="54">
      <c r="A54" s="75">
        <v>1.0</v>
      </c>
      <c r="B54" s="75" t="s">
        <v>427</v>
      </c>
      <c r="C54" s="75">
        <v>31.0</v>
      </c>
      <c r="D54" s="65">
        <f t="shared" ref="D54:D66" si="24">C54/$C$67</f>
        <v>0.3009708738</v>
      </c>
      <c r="E54" s="65">
        <v>0.30097087378640774</v>
      </c>
      <c r="F54" s="77">
        <v>0.0</v>
      </c>
      <c r="G54" s="65">
        <f t="shared" ref="G54:G61" si="25">E54-0.001</f>
        <v>0.2999708738</v>
      </c>
    </row>
    <row r="55">
      <c r="A55" s="75">
        <v>2.0</v>
      </c>
      <c r="B55" s="75" t="s">
        <v>428</v>
      </c>
      <c r="C55" s="75">
        <v>26.0</v>
      </c>
      <c r="D55" s="65">
        <f t="shared" si="24"/>
        <v>0.2524271845</v>
      </c>
      <c r="E55" s="65">
        <f t="shared" ref="E55:E66" si="26">E54+D55</f>
        <v>0.5533980583</v>
      </c>
      <c r="F55" s="65">
        <v>0.30097087378640774</v>
      </c>
      <c r="G55" s="65">
        <f t="shared" si="25"/>
        <v>0.5523980583</v>
      </c>
    </row>
    <row r="56">
      <c r="A56" s="75">
        <v>3.0</v>
      </c>
      <c r="B56" s="75" t="s">
        <v>429</v>
      </c>
      <c r="C56" s="75">
        <v>17.0</v>
      </c>
      <c r="D56" s="65">
        <f t="shared" si="24"/>
        <v>0.1650485437</v>
      </c>
      <c r="E56" s="65">
        <f t="shared" si="26"/>
        <v>0.7184466019</v>
      </c>
      <c r="F56" s="65">
        <v>0.5533980582524272</v>
      </c>
      <c r="G56" s="65">
        <f t="shared" si="25"/>
        <v>0.7174466019</v>
      </c>
    </row>
    <row r="57">
      <c r="A57" s="75">
        <v>4.0</v>
      </c>
      <c r="B57" s="75" t="s">
        <v>430</v>
      </c>
      <c r="C57" s="75">
        <v>6.0</v>
      </c>
      <c r="D57" s="65">
        <f t="shared" si="24"/>
        <v>0.05825242718</v>
      </c>
      <c r="E57" s="65">
        <f t="shared" si="26"/>
        <v>0.7766990291</v>
      </c>
      <c r="F57" s="65">
        <v>0.7184466019417476</v>
      </c>
      <c r="G57" s="65">
        <f t="shared" si="25"/>
        <v>0.7756990291</v>
      </c>
    </row>
    <row r="58">
      <c r="A58" s="75">
        <v>5.0</v>
      </c>
      <c r="B58" s="75" t="s">
        <v>431</v>
      </c>
      <c r="C58" s="75">
        <v>4.0</v>
      </c>
      <c r="D58" s="65">
        <f t="shared" si="24"/>
        <v>0.03883495146</v>
      </c>
      <c r="E58" s="65">
        <f t="shared" si="26"/>
        <v>0.8155339806</v>
      </c>
      <c r="F58" s="65">
        <v>0.7766990291262136</v>
      </c>
      <c r="G58" s="65">
        <f t="shared" si="25"/>
        <v>0.8145339806</v>
      </c>
    </row>
    <row r="59">
      <c r="A59" s="75">
        <v>6.0</v>
      </c>
      <c r="B59" s="75" t="s">
        <v>432</v>
      </c>
      <c r="C59" s="75">
        <v>3.0</v>
      </c>
      <c r="D59" s="65">
        <f t="shared" si="24"/>
        <v>0.02912621359</v>
      </c>
      <c r="E59" s="65">
        <f t="shared" si="26"/>
        <v>0.8446601942</v>
      </c>
      <c r="F59" s="65">
        <v>0.8155339805825242</v>
      </c>
      <c r="G59" s="65">
        <f t="shared" si="25"/>
        <v>0.8436601942</v>
      </c>
    </row>
    <row r="60">
      <c r="A60" s="75">
        <v>7.0</v>
      </c>
      <c r="B60" s="75" t="s">
        <v>433</v>
      </c>
      <c r="C60" s="75">
        <v>6.0</v>
      </c>
      <c r="D60" s="65">
        <f t="shared" si="24"/>
        <v>0.05825242718</v>
      </c>
      <c r="E60" s="65">
        <f t="shared" si="26"/>
        <v>0.9029126214</v>
      </c>
      <c r="F60" s="65">
        <v>0.8446601941747572</v>
      </c>
      <c r="G60" s="65">
        <f t="shared" si="25"/>
        <v>0.9019126214</v>
      </c>
    </row>
    <row r="61">
      <c r="A61" s="75">
        <v>8.0</v>
      </c>
      <c r="B61" s="75" t="s">
        <v>434</v>
      </c>
      <c r="C61" s="75">
        <v>2.0</v>
      </c>
      <c r="D61" s="65">
        <f t="shared" si="24"/>
        <v>0.01941747573</v>
      </c>
      <c r="E61" s="65">
        <f t="shared" si="26"/>
        <v>0.9223300971</v>
      </c>
      <c r="F61" s="65">
        <v>0.9029126213592232</v>
      </c>
      <c r="G61" s="65">
        <f t="shared" si="25"/>
        <v>0.9213300971</v>
      </c>
    </row>
    <row r="62">
      <c r="A62" s="75">
        <v>9.0</v>
      </c>
      <c r="B62" s="75" t="s">
        <v>435</v>
      </c>
      <c r="C62" s="75">
        <v>0.0</v>
      </c>
      <c r="D62" s="65">
        <f t="shared" si="24"/>
        <v>0</v>
      </c>
      <c r="E62" s="65">
        <f t="shared" si="26"/>
        <v>0.9223300971</v>
      </c>
      <c r="F62" s="84" t="s">
        <v>420</v>
      </c>
      <c r="G62" s="85" t="s">
        <v>420</v>
      </c>
    </row>
    <row r="63">
      <c r="A63" s="75">
        <v>10.0</v>
      </c>
      <c r="B63" s="75" t="s">
        <v>436</v>
      </c>
      <c r="C63" s="75">
        <v>1.0</v>
      </c>
      <c r="D63" s="65">
        <f t="shared" si="24"/>
        <v>0.009708737864</v>
      </c>
      <c r="E63" s="65">
        <f t="shared" si="26"/>
        <v>0.932038835</v>
      </c>
      <c r="F63" s="65">
        <v>0.9223300970873786</v>
      </c>
      <c r="G63" s="65">
        <f t="shared" ref="G63:G64" si="27">E63-0.001</f>
        <v>0.931038835</v>
      </c>
    </row>
    <row r="64">
      <c r="A64" s="75">
        <v>11.0</v>
      </c>
      <c r="B64" s="86" t="s">
        <v>437</v>
      </c>
      <c r="C64" s="75">
        <v>5.0</v>
      </c>
      <c r="D64" s="65">
        <f t="shared" si="24"/>
        <v>0.04854368932</v>
      </c>
      <c r="E64" s="65">
        <f t="shared" si="26"/>
        <v>0.9805825243</v>
      </c>
      <c r="F64" s="65">
        <v>0.9320388349514562</v>
      </c>
      <c r="G64" s="65">
        <f t="shared" si="27"/>
        <v>0.9795825243</v>
      </c>
    </row>
    <row r="65">
      <c r="A65" s="75">
        <v>12.0</v>
      </c>
      <c r="B65" s="75" t="s">
        <v>438</v>
      </c>
      <c r="C65" s="75">
        <v>0.0</v>
      </c>
      <c r="D65" s="65">
        <f t="shared" si="24"/>
        <v>0</v>
      </c>
      <c r="E65" s="65">
        <f t="shared" si="26"/>
        <v>0.9805825243</v>
      </c>
      <c r="F65" s="84" t="s">
        <v>420</v>
      </c>
      <c r="G65" s="85" t="s">
        <v>420</v>
      </c>
    </row>
    <row r="66">
      <c r="A66" s="75">
        <v>13.0</v>
      </c>
      <c r="B66" s="75" t="s">
        <v>439</v>
      </c>
      <c r="C66" s="75">
        <v>2.0</v>
      </c>
      <c r="D66" s="65">
        <f t="shared" si="24"/>
        <v>0.01941747573</v>
      </c>
      <c r="E66" s="65">
        <f t="shared" si="26"/>
        <v>1</v>
      </c>
      <c r="F66" s="65">
        <v>0.9805825242718446</v>
      </c>
      <c r="G66" s="65">
        <f>E66-0.001</f>
        <v>0.999</v>
      </c>
    </row>
    <row r="67">
      <c r="A67" s="69"/>
      <c r="B67" s="80" t="s">
        <v>409</v>
      </c>
      <c r="C67" s="69">
        <f t="shared" ref="C67:D67" si="28">SUM(C54:C66)</f>
        <v>103</v>
      </c>
      <c r="D67" s="65">
        <f t="shared" si="28"/>
        <v>1</v>
      </c>
      <c r="E67" s="69"/>
      <c r="F67" s="69"/>
      <c r="G67" s="69"/>
    </row>
    <row r="68">
      <c r="A68" s="71" t="s">
        <v>440</v>
      </c>
    </row>
    <row r="69">
      <c r="A69" s="60" t="s">
        <v>402</v>
      </c>
      <c r="B69" s="61" t="s">
        <v>441</v>
      </c>
      <c r="C69" s="61" t="s">
        <v>404</v>
      </c>
      <c r="D69" s="61" t="s">
        <v>405</v>
      </c>
      <c r="E69" s="61" t="s">
        <v>426</v>
      </c>
      <c r="F69" s="61" t="s">
        <v>407</v>
      </c>
      <c r="G69" s="61" t="s">
        <v>408</v>
      </c>
    </row>
    <row r="70">
      <c r="A70" s="75">
        <v>1.0</v>
      </c>
      <c r="B70" s="75" t="s">
        <v>442</v>
      </c>
      <c r="C70" s="75">
        <v>6.0</v>
      </c>
      <c r="D70" s="65">
        <f t="shared" ref="D70:D77" si="29">C70/C$78</f>
        <v>0.05825242718</v>
      </c>
      <c r="E70" s="65">
        <v>0.05825242718446602</v>
      </c>
      <c r="F70" s="77">
        <v>0.0</v>
      </c>
      <c r="G70" s="65">
        <f t="shared" ref="G70:G77" si="30">E70-0.001</f>
        <v>0.05725242718</v>
      </c>
    </row>
    <row r="71">
      <c r="A71" s="75">
        <v>2.0</v>
      </c>
      <c r="B71" s="75" t="s">
        <v>443</v>
      </c>
      <c r="C71" s="75">
        <v>44.0</v>
      </c>
      <c r="D71" s="65">
        <f t="shared" si="29"/>
        <v>0.427184466</v>
      </c>
      <c r="E71" s="65">
        <f t="shared" ref="E71:E77" si="31">E70+D71</f>
        <v>0.4854368932</v>
      </c>
      <c r="F71" s="65">
        <v>0.05825242718446602</v>
      </c>
      <c r="G71" s="65">
        <f t="shared" si="30"/>
        <v>0.4844368932</v>
      </c>
    </row>
    <row r="72">
      <c r="A72" s="75">
        <v>3.0</v>
      </c>
      <c r="B72" s="75" t="s">
        <v>444</v>
      </c>
      <c r="C72" s="75">
        <v>33.0</v>
      </c>
      <c r="D72" s="65">
        <f t="shared" si="29"/>
        <v>0.3203883495</v>
      </c>
      <c r="E72" s="65">
        <f t="shared" si="31"/>
        <v>0.8058252427</v>
      </c>
      <c r="F72" s="65">
        <v>0.4854368932038835</v>
      </c>
      <c r="G72" s="65">
        <f t="shared" si="30"/>
        <v>0.8048252427</v>
      </c>
    </row>
    <row r="73">
      <c r="A73" s="75">
        <v>4.0</v>
      </c>
      <c r="B73" s="75" t="s">
        <v>445</v>
      </c>
      <c r="C73" s="75">
        <v>10.0</v>
      </c>
      <c r="D73" s="65">
        <f t="shared" si="29"/>
        <v>0.09708737864</v>
      </c>
      <c r="E73" s="65">
        <f t="shared" si="31"/>
        <v>0.9029126214</v>
      </c>
      <c r="F73" s="65">
        <v>0.8058252427184467</v>
      </c>
      <c r="G73" s="65">
        <f t="shared" si="30"/>
        <v>0.9019126214</v>
      </c>
    </row>
    <row r="74">
      <c r="A74" s="75">
        <v>5.0</v>
      </c>
      <c r="B74" s="75" t="s">
        <v>446</v>
      </c>
      <c r="C74" s="75">
        <v>3.0</v>
      </c>
      <c r="D74" s="65">
        <f t="shared" si="29"/>
        <v>0.02912621359</v>
      </c>
      <c r="E74" s="65">
        <f t="shared" si="31"/>
        <v>0.932038835</v>
      </c>
      <c r="F74" s="65">
        <v>0.9029126213592233</v>
      </c>
      <c r="G74" s="65">
        <f t="shared" si="30"/>
        <v>0.931038835</v>
      </c>
    </row>
    <row r="75">
      <c r="A75" s="75">
        <v>6.0</v>
      </c>
      <c r="B75" s="75" t="s">
        <v>447</v>
      </c>
      <c r="C75" s="75">
        <v>4.0</v>
      </c>
      <c r="D75" s="65">
        <f t="shared" si="29"/>
        <v>0.03883495146</v>
      </c>
      <c r="E75" s="65">
        <f t="shared" si="31"/>
        <v>0.9708737864</v>
      </c>
      <c r="F75" s="65">
        <v>0.9320388349514563</v>
      </c>
      <c r="G75" s="65">
        <f t="shared" si="30"/>
        <v>0.9698737864</v>
      </c>
    </row>
    <row r="76">
      <c r="A76" s="75">
        <v>7.0</v>
      </c>
      <c r="B76" s="75" t="s">
        <v>448</v>
      </c>
      <c r="C76" s="75">
        <v>1.0</v>
      </c>
      <c r="D76" s="65">
        <f t="shared" si="29"/>
        <v>0.009708737864</v>
      </c>
      <c r="E76" s="65">
        <f t="shared" si="31"/>
        <v>0.9805825243</v>
      </c>
      <c r="F76" s="65">
        <v>0.970873786407767</v>
      </c>
      <c r="G76" s="65">
        <f t="shared" si="30"/>
        <v>0.9795825243</v>
      </c>
    </row>
    <row r="77">
      <c r="A77" s="75">
        <v>8.0</v>
      </c>
      <c r="B77" s="75" t="s">
        <v>449</v>
      </c>
      <c r="C77" s="75">
        <v>2.0</v>
      </c>
      <c r="D77" s="65">
        <f t="shared" si="29"/>
        <v>0.01941747573</v>
      </c>
      <c r="E77" s="65">
        <f t="shared" si="31"/>
        <v>1</v>
      </c>
      <c r="F77" s="65">
        <v>0.9805825242718447</v>
      </c>
      <c r="G77" s="65">
        <f t="shared" si="30"/>
        <v>0.999</v>
      </c>
    </row>
    <row r="78">
      <c r="A78" s="80"/>
      <c r="B78" s="80" t="s">
        <v>409</v>
      </c>
      <c r="C78" s="69">
        <f t="shared" ref="C78:D78" si="32">sum(C70:C77)</f>
        <v>103</v>
      </c>
      <c r="D78" s="65">
        <f t="shared" si="32"/>
        <v>1</v>
      </c>
      <c r="E78" s="69"/>
      <c r="F78" s="69"/>
      <c r="G78" s="69"/>
    </row>
    <row r="79">
      <c r="A79" s="71" t="s">
        <v>450</v>
      </c>
    </row>
    <row r="80">
      <c r="A80" s="60" t="s">
        <v>402</v>
      </c>
      <c r="B80" s="61" t="s">
        <v>450</v>
      </c>
      <c r="C80" s="61" t="s">
        <v>404</v>
      </c>
      <c r="D80" s="61" t="s">
        <v>405</v>
      </c>
      <c r="E80" s="61" t="s">
        <v>426</v>
      </c>
      <c r="F80" s="61" t="s">
        <v>407</v>
      </c>
      <c r="G80" s="61" t="s">
        <v>408</v>
      </c>
    </row>
    <row r="81">
      <c r="A81" s="75">
        <v>1.0</v>
      </c>
      <c r="B81" s="75" t="s">
        <v>451</v>
      </c>
      <c r="C81" s="75">
        <v>35.0</v>
      </c>
      <c r="D81" s="65">
        <f t="shared" ref="D81:D82" si="33">C81/C$83</f>
        <v>0.3398058252</v>
      </c>
      <c r="E81" s="65">
        <v>0.33980582524271846</v>
      </c>
      <c r="F81" s="77">
        <v>0.0</v>
      </c>
      <c r="G81" s="65">
        <f t="shared" ref="G81:G82" si="34">E81-0.001</f>
        <v>0.3388058252</v>
      </c>
    </row>
    <row r="82">
      <c r="A82" s="75">
        <v>2.0</v>
      </c>
      <c r="B82" s="75" t="s">
        <v>452</v>
      </c>
      <c r="C82" s="75">
        <v>68.0</v>
      </c>
      <c r="D82" s="65">
        <f t="shared" si="33"/>
        <v>0.6601941748</v>
      </c>
      <c r="E82" s="65">
        <f>E81+D82</f>
        <v>1</v>
      </c>
      <c r="F82" s="65">
        <v>0.33980582524271846</v>
      </c>
      <c r="G82" s="65">
        <f t="shared" si="34"/>
        <v>0.999</v>
      </c>
    </row>
    <row r="83">
      <c r="A83" s="69"/>
      <c r="B83" s="69"/>
      <c r="C83" s="69">
        <f t="shared" ref="C83:D83" si="35">sum(C81:C82)</f>
        <v>103</v>
      </c>
      <c r="D83" s="65">
        <f t="shared" si="35"/>
        <v>1</v>
      </c>
      <c r="E83" s="69"/>
      <c r="F83" s="69"/>
      <c r="G83" s="69"/>
    </row>
    <row r="84">
      <c r="A84" s="71" t="s">
        <v>453</v>
      </c>
    </row>
    <row r="85">
      <c r="A85" s="60" t="s">
        <v>402</v>
      </c>
      <c r="B85" s="61" t="s">
        <v>2</v>
      </c>
      <c r="C85" s="61" t="s">
        <v>404</v>
      </c>
      <c r="D85" s="61" t="s">
        <v>405</v>
      </c>
      <c r="E85" s="61" t="s">
        <v>426</v>
      </c>
      <c r="F85" s="61" t="s">
        <v>407</v>
      </c>
      <c r="G85" s="61" t="s">
        <v>408</v>
      </c>
    </row>
    <row r="86">
      <c r="A86" s="75">
        <v>1.0</v>
      </c>
      <c r="B86" s="75" t="s">
        <v>37</v>
      </c>
      <c r="C86" s="75">
        <v>49.0</v>
      </c>
      <c r="D86" s="65">
        <f t="shared" ref="D86:D91" si="36">C86/C$92</f>
        <v>0.4757281553</v>
      </c>
      <c r="E86" s="65">
        <v>0.47572815533980584</v>
      </c>
      <c r="F86" s="77">
        <v>0.0</v>
      </c>
      <c r="G86" s="65">
        <f t="shared" ref="G86:G91" si="37">E86-0.001</f>
        <v>0.4747281553</v>
      </c>
    </row>
    <row r="87">
      <c r="A87" s="75">
        <v>2.0</v>
      </c>
      <c r="B87" s="75" t="s">
        <v>23</v>
      </c>
      <c r="C87" s="75">
        <v>29.0</v>
      </c>
      <c r="D87" s="65">
        <f t="shared" si="36"/>
        <v>0.2815533981</v>
      </c>
      <c r="E87" s="65">
        <f t="shared" ref="E87:E91" si="38">E86+D87</f>
        <v>0.7572815534</v>
      </c>
      <c r="F87" s="65">
        <v>0.47572815533980584</v>
      </c>
      <c r="G87" s="65">
        <f t="shared" si="37"/>
        <v>0.7562815534</v>
      </c>
    </row>
    <row r="88">
      <c r="A88" s="75">
        <v>3.0</v>
      </c>
      <c r="B88" s="75" t="s">
        <v>44</v>
      </c>
      <c r="C88" s="75">
        <v>8.0</v>
      </c>
      <c r="D88" s="65">
        <f t="shared" si="36"/>
        <v>0.07766990291</v>
      </c>
      <c r="E88" s="65">
        <f t="shared" si="38"/>
        <v>0.8349514563</v>
      </c>
      <c r="F88" s="65">
        <v>0.7572815533980582</v>
      </c>
      <c r="G88" s="65">
        <f t="shared" si="37"/>
        <v>0.8339514563</v>
      </c>
    </row>
    <row r="89">
      <c r="A89" s="75">
        <v>4.0</v>
      </c>
      <c r="B89" s="75" t="s">
        <v>419</v>
      </c>
      <c r="C89" s="75">
        <v>7.0</v>
      </c>
      <c r="D89" s="65">
        <f t="shared" si="36"/>
        <v>0.06796116505</v>
      </c>
      <c r="E89" s="65">
        <f t="shared" si="38"/>
        <v>0.9029126214</v>
      </c>
      <c r="F89" s="65">
        <v>0.8349514563106796</v>
      </c>
      <c r="G89" s="65">
        <f t="shared" si="37"/>
        <v>0.9019126214</v>
      </c>
    </row>
    <row r="90">
      <c r="A90" s="75">
        <v>5.0</v>
      </c>
      <c r="B90" s="75" t="s">
        <v>421</v>
      </c>
      <c r="C90" s="75">
        <v>8.0</v>
      </c>
      <c r="D90" s="65">
        <f t="shared" si="36"/>
        <v>0.07766990291</v>
      </c>
      <c r="E90" s="65">
        <f t="shared" si="38"/>
        <v>0.9805825243</v>
      </c>
      <c r="F90" s="65">
        <v>0.9029126213592232</v>
      </c>
      <c r="G90" s="65">
        <f t="shared" si="37"/>
        <v>0.9795825243</v>
      </c>
    </row>
    <row r="91">
      <c r="A91" s="75">
        <v>6.0</v>
      </c>
      <c r="B91" s="75" t="s">
        <v>422</v>
      </c>
      <c r="C91" s="75">
        <v>2.0</v>
      </c>
      <c r="D91" s="65">
        <f t="shared" si="36"/>
        <v>0.01941747573</v>
      </c>
      <c r="E91" s="65">
        <f t="shared" si="38"/>
        <v>1</v>
      </c>
      <c r="F91" s="65">
        <v>0.9805825242718446</v>
      </c>
      <c r="G91" s="65">
        <f t="shared" si="37"/>
        <v>0.999</v>
      </c>
    </row>
    <row r="92">
      <c r="A92" s="87"/>
      <c r="B92" s="80" t="s">
        <v>409</v>
      </c>
      <c r="C92" s="69">
        <f t="shared" ref="C92:D92" si="39">SUM(C86:C91)</f>
        <v>103</v>
      </c>
      <c r="D92" s="65">
        <f t="shared" si="39"/>
        <v>1</v>
      </c>
      <c r="E92" s="69"/>
      <c r="F92" s="69"/>
      <c r="G92" s="69"/>
    </row>
    <row r="93">
      <c r="A93" s="71" t="s">
        <v>454</v>
      </c>
    </row>
    <row r="94">
      <c r="A94" s="60" t="s">
        <v>402</v>
      </c>
      <c r="B94" s="61" t="s">
        <v>455</v>
      </c>
      <c r="C94" s="61" t="s">
        <v>404</v>
      </c>
      <c r="D94" s="61" t="s">
        <v>405</v>
      </c>
      <c r="E94" s="61" t="s">
        <v>426</v>
      </c>
      <c r="F94" s="61" t="s">
        <v>407</v>
      </c>
      <c r="G94" s="61" t="s">
        <v>408</v>
      </c>
    </row>
    <row r="95">
      <c r="A95" s="75">
        <v>1.0</v>
      </c>
      <c r="B95" s="75" t="s">
        <v>456</v>
      </c>
      <c r="C95" s="75">
        <v>78.0</v>
      </c>
      <c r="D95" s="65">
        <f t="shared" ref="D95:D103" si="40">C95/C$104</f>
        <v>0.7572815534</v>
      </c>
      <c r="E95" s="65">
        <v>0.7572815533980582</v>
      </c>
      <c r="F95" s="77">
        <v>0.0</v>
      </c>
      <c r="G95" s="65">
        <f t="shared" ref="G95:G103" si="41">E95-0.001</f>
        <v>0.7562815534</v>
      </c>
    </row>
    <row r="96">
      <c r="A96" s="75">
        <v>2.0</v>
      </c>
      <c r="B96" s="75" t="s">
        <v>457</v>
      </c>
      <c r="C96" s="75">
        <v>7.0</v>
      </c>
      <c r="D96" s="65">
        <f t="shared" si="40"/>
        <v>0.06796116505</v>
      </c>
      <c r="E96" s="65">
        <f t="shared" ref="E96:E103" si="42">E95+D96</f>
        <v>0.8252427184</v>
      </c>
      <c r="F96" s="65">
        <v>0.7572815533980582</v>
      </c>
      <c r="G96" s="65">
        <f t="shared" si="41"/>
        <v>0.8242427184</v>
      </c>
    </row>
    <row r="97">
      <c r="A97" s="75">
        <v>3.0</v>
      </c>
      <c r="B97" s="75" t="s">
        <v>458</v>
      </c>
      <c r="C97" s="75">
        <v>6.0</v>
      </c>
      <c r="D97" s="65">
        <f t="shared" si="40"/>
        <v>0.05825242718</v>
      </c>
      <c r="E97" s="65">
        <f t="shared" si="42"/>
        <v>0.8834951456</v>
      </c>
      <c r="F97" s="65">
        <v>0.8252427184466019</v>
      </c>
      <c r="G97" s="65">
        <f t="shared" si="41"/>
        <v>0.8824951456</v>
      </c>
    </row>
    <row r="98">
      <c r="A98" s="75">
        <v>4.0</v>
      </c>
      <c r="B98" s="75" t="s">
        <v>459</v>
      </c>
      <c r="C98" s="75">
        <v>5.0</v>
      </c>
      <c r="D98" s="65">
        <f t="shared" si="40"/>
        <v>0.04854368932</v>
      </c>
      <c r="E98" s="65">
        <f t="shared" si="42"/>
        <v>0.932038835</v>
      </c>
      <c r="F98" s="65">
        <v>0.8834951456310679</v>
      </c>
      <c r="G98" s="65">
        <f t="shared" si="41"/>
        <v>0.931038835</v>
      </c>
    </row>
    <row r="99">
      <c r="A99" s="69"/>
      <c r="B99" s="75" t="s">
        <v>460</v>
      </c>
      <c r="C99" s="75">
        <v>3.0</v>
      </c>
      <c r="D99" s="65">
        <f t="shared" si="40"/>
        <v>0.02912621359</v>
      </c>
      <c r="E99" s="65">
        <f t="shared" si="42"/>
        <v>0.9611650485</v>
      </c>
      <c r="F99" s="65">
        <v>0.9320388349514562</v>
      </c>
      <c r="G99" s="65">
        <f t="shared" si="41"/>
        <v>0.9601650485</v>
      </c>
    </row>
    <row r="100">
      <c r="A100" s="75">
        <v>5.0</v>
      </c>
      <c r="B100" s="75" t="s">
        <v>461</v>
      </c>
      <c r="C100" s="75">
        <v>1.0</v>
      </c>
      <c r="D100" s="65">
        <f t="shared" si="40"/>
        <v>0.009708737864</v>
      </c>
      <c r="E100" s="65">
        <f t="shared" si="42"/>
        <v>0.9708737864</v>
      </c>
      <c r="F100" s="65">
        <v>0.9611650485436892</v>
      </c>
      <c r="G100" s="65">
        <f t="shared" si="41"/>
        <v>0.9698737864</v>
      </c>
    </row>
    <row r="101">
      <c r="A101" s="75">
        <v>6.0</v>
      </c>
      <c r="B101" s="75" t="s">
        <v>462</v>
      </c>
      <c r="C101" s="75">
        <v>1.0</v>
      </c>
      <c r="D101" s="65">
        <f t="shared" si="40"/>
        <v>0.009708737864</v>
      </c>
      <c r="E101" s="65">
        <f t="shared" si="42"/>
        <v>0.9805825243</v>
      </c>
      <c r="F101" s="65">
        <v>0.9708737864077669</v>
      </c>
      <c r="G101" s="65">
        <f t="shared" si="41"/>
        <v>0.9795825243</v>
      </c>
    </row>
    <row r="102">
      <c r="A102" s="75">
        <v>7.0</v>
      </c>
      <c r="B102" s="75" t="s">
        <v>463</v>
      </c>
      <c r="C102" s="75">
        <v>1.0</v>
      </c>
      <c r="D102" s="65">
        <f t="shared" si="40"/>
        <v>0.009708737864</v>
      </c>
      <c r="E102" s="65">
        <f t="shared" si="42"/>
        <v>0.9902912621</v>
      </c>
      <c r="F102" s="65">
        <v>0.9805825242718446</v>
      </c>
      <c r="G102" s="65">
        <f t="shared" si="41"/>
        <v>0.9892912621</v>
      </c>
    </row>
    <row r="103">
      <c r="A103" s="75">
        <v>8.0</v>
      </c>
      <c r="B103" s="75" t="s">
        <v>464</v>
      </c>
      <c r="C103" s="75">
        <v>1.0</v>
      </c>
      <c r="D103" s="65">
        <f t="shared" si="40"/>
        <v>0.009708737864</v>
      </c>
      <c r="E103" s="65">
        <f t="shared" si="42"/>
        <v>1</v>
      </c>
      <c r="F103" s="65">
        <v>0.9902912621359222</v>
      </c>
      <c r="G103" s="65">
        <f t="shared" si="41"/>
        <v>0.999</v>
      </c>
    </row>
    <row r="104">
      <c r="A104" s="80"/>
      <c r="B104" s="80" t="s">
        <v>409</v>
      </c>
      <c r="C104" s="69">
        <f t="shared" ref="C104:D104" si="43">SUM(C95:C103)</f>
        <v>103</v>
      </c>
      <c r="D104" s="65">
        <f t="shared" si="43"/>
        <v>1</v>
      </c>
      <c r="E104" s="69"/>
      <c r="F104" s="69"/>
      <c r="G104" s="69"/>
    </row>
    <row r="105">
      <c r="A105" s="71" t="s">
        <v>465</v>
      </c>
    </row>
    <row r="106">
      <c r="A106" s="60" t="s">
        <v>402</v>
      </c>
      <c r="B106" s="61" t="s">
        <v>465</v>
      </c>
      <c r="C106" s="61" t="s">
        <v>404</v>
      </c>
      <c r="D106" s="61" t="s">
        <v>405</v>
      </c>
      <c r="E106" s="61" t="s">
        <v>426</v>
      </c>
      <c r="F106" s="61" t="s">
        <v>407</v>
      </c>
      <c r="G106" s="61" t="s">
        <v>408</v>
      </c>
    </row>
    <row r="107">
      <c r="A107" s="12">
        <v>1.0</v>
      </c>
      <c r="B107" s="12" t="s">
        <v>29</v>
      </c>
      <c r="C107" s="12">
        <v>101.0</v>
      </c>
      <c r="D107" s="88">
        <f t="shared" ref="D107:D109" si="44">C107/C$109</f>
        <v>0.9805825243</v>
      </c>
      <c r="E107" s="88">
        <v>0.9805825242718447</v>
      </c>
      <c r="F107" s="89">
        <v>0.0</v>
      </c>
      <c r="G107" s="88">
        <f t="shared" ref="G107:G108" si="45">E107-0.001</f>
        <v>0.9795825243</v>
      </c>
    </row>
    <row r="108">
      <c r="A108" s="12">
        <v>2.0</v>
      </c>
      <c r="B108" s="12" t="s">
        <v>466</v>
      </c>
      <c r="C108" s="12">
        <v>2.0</v>
      </c>
      <c r="D108" s="88">
        <f t="shared" si="44"/>
        <v>0.01941747573</v>
      </c>
      <c r="E108" s="88">
        <f>E107+D108</f>
        <v>1</v>
      </c>
      <c r="F108" s="88">
        <v>0.9805825242718447</v>
      </c>
      <c r="G108" s="88">
        <f t="shared" si="45"/>
        <v>0.999</v>
      </c>
    </row>
    <row r="109">
      <c r="C109" s="19">
        <f>SUM(C107:C108)</f>
        <v>103</v>
      </c>
      <c r="D109" s="88">
        <f t="shared" si="44"/>
        <v>1</v>
      </c>
    </row>
    <row r="110">
      <c r="A110" s="90" t="s">
        <v>15</v>
      </c>
      <c r="B110" s="58"/>
      <c r="C110" s="58"/>
      <c r="D110" s="58"/>
      <c r="E110" s="58"/>
      <c r="F110" s="58"/>
      <c r="G110" s="59"/>
    </row>
    <row r="111">
      <c r="A111" s="60" t="s">
        <v>402</v>
      </c>
      <c r="B111" s="61" t="s">
        <v>15</v>
      </c>
      <c r="C111" s="61" t="s">
        <v>404</v>
      </c>
      <c r="D111" s="61" t="s">
        <v>405</v>
      </c>
      <c r="E111" s="61" t="s">
        <v>426</v>
      </c>
      <c r="F111" s="61" t="s">
        <v>407</v>
      </c>
      <c r="G111" s="61" t="s">
        <v>408</v>
      </c>
    </row>
    <row r="112">
      <c r="A112" s="69">
        <v>1.0</v>
      </c>
      <c r="B112" s="91" t="s">
        <v>467</v>
      </c>
      <c r="C112" s="69">
        <v>79.0</v>
      </c>
      <c r="D112" s="65">
        <f t="shared" ref="D112:D115" si="46">C112/C$115</f>
        <v>0.7669902913</v>
      </c>
      <c r="E112" s="65">
        <v>0.7669902912621359</v>
      </c>
      <c r="F112" s="77">
        <v>0.0</v>
      </c>
      <c r="G112" s="65">
        <f t="shared" ref="G112:G114" si="47">E112-0.001</f>
        <v>0.7659902913</v>
      </c>
    </row>
    <row r="113">
      <c r="A113" s="69">
        <v>2.0</v>
      </c>
      <c r="B113" s="91" t="s">
        <v>468</v>
      </c>
      <c r="C113" s="69">
        <v>21.0</v>
      </c>
      <c r="D113" s="65">
        <f t="shared" si="46"/>
        <v>0.2038834951</v>
      </c>
      <c r="E113" s="65">
        <f t="shared" ref="E113:E114" si="48">E112+D113</f>
        <v>0.9708737864</v>
      </c>
      <c r="F113" s="65">
        <v>0.7669902912621359</v>
      </c>
      <c r="G113" s="65">
        <f t="shared" si="47"/>
        <v>0.9698737864</v>
      </c>
    </row>
    <row r="114">
      <c r="A114" s="69">
        <v>3.0</v>
      </c>
      <c r="B114" s="91" t="s">
        <v>469</v>
      </c>
      <c r="C114" s="69">
        <v>3.0</v>
      </c>
      <c r="D114" s="65">
        <f t="shared" si="46"/>
        <v>0.02912621359</v>
      </c>
      <c r="E114" s="65">
        <f t="shared" si="48"/>
        <v>1</v>
      </c>
      <c r="F114" s="65">
        <v>0.970873786407767</v>
      </c>
      <c r="G114" s="65">
        <f t="shared" si="47"/>
        <v>0.999</v>
      </c>
    </row>
    <row r="115">
      <c r="A115" s="69"/>
      <c r="B115" s="69" t="s">
        <v>409</v>
      </c>
      <c r="C115" s="69">
        <v>103.0</v>
      </c>
      <c r="D115" s="65">
        <f t="shared" si="46"/>
        <v>1</v>
      </c>
      <c r="E115" s="69"/>
      <c r="F115" s="69"/>
      <c r="G115" s="69"/>
    </row>
    <row r="116">
      <c r="A116" s="90" t="s">
        <v>470</v>
      </c>
      <c r="B116" s="58"/>
      <c r="C116" s="58"/>
      <c r="D116" s="58"/>
      <c r="E116" s="58"/>
      <c r="F116" s="58"/>
      <c r="G116" s="59"/>
    </row>
    <row r="117">
      <c r="A117" s="60" t="s">
        <v>402</v>
      </c>
      <c r="B117" s="61" t="s">
        <v>16</v>
      </c>
      <c r="C117" s="61" t="s">
        <v>404</v>
      </c>
      <c r="D117" s="61" t="s">
        <v>405</v>
      </c>
      <c r="E117" s="61" t="s">
        <v>426</v>
      </c>
      <c r="F117" s="61" t="s">
        <v>407</v>
      </c>
      <c r="G117" s="61" t="s">
        <v>408</v>
      </c>
    </row>
    <row r="118">
      <c r="A118" s="75">
        <v>1.0</v>
      </c>
      <c r="B118" s="75" t="s">
        <v>41</v>
      </c>
      <c r="C118" s="75">
        <v>62.0</v>
      </c>
      <c r="D118" s="65">
        <f t="shared" ref="D118:D120" si="49">C118/$C$120</f>
        <v>0.6019417476</v>
      </c>
      <c r="E118" s="65">
        <v>0.6019417475728155</v>
      </c>
      <c r="F118" s="77">
        <v>0.0</v>
      </c>
      <c r="G118" s="65">
        <f t="shared" ref="G118:G119" si="50">E118-0.001</f>
        <v>0.6009417476</v>
      </c>
    </row>
    <row r="119">
      <c r="A119" s="75">
        <v>2.0</v>
      </c>
      <c r="B119" s="75" t="s">
        <v>32</v>
      </c>
      <c r="C119" s="75">
        <v>41.0</v>
      </c>
      <c r="D119" s="65">
        <f t="shared" si="49"/>
        <v>0.3980582524</v>
      </c>
      <c r="E119" s="65">
        <f>E118+D119</f>
        <v>1</v>
      </c>
      <c r="F119" s="65">
        <v>0.6019417475728155</v>
      </c>
      <c r="G119" s="65">
        <f t="shared" si="50"/>
        <v>0.999</v>
      </c>
    </row>
    <row r="120">
      <c r="A120" s="87"/>
      <c r="B120" s="80" t="s">
        <v>409</v>
      </c>
      <c r="C120" s="69">
        <f>SUM(C118:C119)</f>
        <v>103</v>
      </c>
      <c r="D120" s="65">
        <f t="shared" si="49"/>
        <v>1</v>
      </c>
      <c r="E120" s="69"/>
      <c r="F120" s="69"/>
      <c r="G120" s="69"/>
    </row>
    <row r="121">
      <c r="A121" s="90" t="s">
        <v>471</v>
      </c>
      <c r="B121" s="58"/>
      <c r="C121" s="58"/>
      <c r="D121" s="58"/>
      <c r="E121" s="58"/>
      <c r="F121" s="58"/>
      <c r="G121" s="59"/>
    </row>
    <row r="122">
      <c r="A122" s="57" t="s">
        <v>37</v>
      </c>
      <c r="B122" s="58"/>
      <c r="C122" s="58"/>
      <c r="D122" s="58"/>
      <c r="E122" s="58"/>
      <c r="F122" s="58"/>
      <c r="G122" s="59"/>
    </row>
    <row r="123">
      <c r="A123" s="60" t="s">
        <v>402</v>
      </c>
      <c r="B123" s="60" t="s">
        <v>440</v>
      </c>
      <c r="C123" s="60" t="s">
        <v>404</v>
      </c>
      <c r="D123" s="60" t="s">
        <v>405</v>
      </c>
      <c r="E123" s="60" t="s">
        <v>406</v>
      </c>
      <c r="F123" s="61" t="s">
        <v>407</v>
      </c>
      <c r="G123" s="61" t="s">
        <v>408</v>
      </c>
    </row>
    <row r="124">
      <c r="A124" s="75">
        <v>1.0</v>
      </c>
      <c r="B124" s="75" t="s">
        <v>472</v>
      </c>
      <c r="C124" s="75">
        <v>0.0</v>
      </c>
      <c r="D124" s="65">
        <f t="shared" ref="D124:D132" si="51">C124/C$132</f>
        <v>0</v>
      </c>
      <c r="E124" s="65">
        <v>0.0</v>
      </c>
      <c r="F124" s="84" t="s">
        <v>420</v>
      </c>
      <c r="G124" s="85" t="s">
        <v>420</v>
      </c>
    </row>
    <row r="125">
      <c r="A125" s="75">
        <v>2.0</v>
      </c>
      <c r="B125" s="75" t="s">
        <v>443</v>
      </c>
      <c r="C125" s="75">
        <v>22.0</v>
      </c>
      <c r="D125" s="65">
        <f t="shared" si="51"/>
        <v>0.4489795918</v>
      </c>
      <c r="E125" s="65">
        <f t="shared" ref="E125:E131" si="52">E124+D125</f>
        <v>0.4489795918</v>
      </c>
      <c r="F125" s="65">
        <v>0.0</v>
      </c>
      <c r="G125" s="65">
        <f t="shared" ref="G125:G129" si="53">E125-0.001</f>
        <v>0.4479795918</v>
      </c>
    </row>
    <row r="126">
      <c r="A126" s="75">
        <v>3.0</v>
      </c>
      <c r="B126" s="75" t="s">
        <v>444</v>
      </c>
      <c r="C126" s="75">
        <v>18.0</v>
      </c>
      <c r="D126" s="65">
        <f t="shared" si="51"/>
        <v>0.3673469388</v>
      </c>
      <c r="E126" s="65">
        <f t="shared" si="52"/>
        <v>0.8163265306</v>
      </c>
      <c r="F126" s="65">
        <v>0.4489795918367347</v>
      </c>
      <c r="G126" s="65">
        <f t="shared" si="53"/>
        <v>0.8153265306</v>
      </c>
    </row>
    <row r="127">
      <c r="A127" s="75">
        <v>4.0</v>
      </c>
      <c r="B127" s="75" t="s">
        <v>445</v>
      </c>
      <c r="C127" s="75">
        <v>5.0</v>
      </c>
      <c r="D127" s="65">
        <f t="shared" si="51"/>
        <v>0.1020408163</v>
      </c>
      <c r="E127" s="65">
        <f t="shared" si="52"/>
        <v>0.9183673469</v>
      </c>
      <c r="F127" s="65">
        <v>0.8163265306122449</v>
      </c>
      <c r="G127" s="65">
        <f t="shared" si="53"/>
        <v>0.9173673469</v>
      </c>
    </row>
    <row r="128">
      <c r="A128" s="75">
        <v>5.0</v>
      </c>
      <c r="B128" s="75" t="s">
        <v>446</v>
      </c>
      <c r="C128" s="75">
        <v>1.0</v>
      </c>
      <c r="D128" s="65">
        <f t="shared" si="51"/>
        <v>0.02040816327</v>
      </c>
      <c r="E128" s="65">
        <f t="shared" si="52"/>
        <v>0.9387755102</v>
      </c>
      <c r="F128" s="65">
        <v>0.9183673469387755</v>
      </c>
      <c r="G128" s="65">
        <f t="shared" si="53"/>
        <v>0.9377755102</v>
      </c>
    </row>
    <row r="129">
      <c r="A129" s="75">
        <v>6.0</v>
      </c>
      <c r="B129" s="75" t="s">
        <v>447</v>
      </c>
      <c r="C129" s="75">
        <v>2.0</v>
      </c>
      <c r="D129" s="65">
        <f t="shared" si="51"/>
        <v>0.04081632653</v>
      </c>
      <c r="E129" s="65">
        <f t="shared" si="52"/>
        <v>0.9795918367</v>
      </c>
      <c r="F129" s="65">
        <v>0.9387755102040817</v>
      </c>
      <c r="G129" s="65">
        <f t="shared" si="53"/>
        <v>0.9785918367</v>
      </c>
    </row>
    <row r="130">
      <c r="A130" s="75">
        <v>7.0</v>
      </c>
      <c r="B130" s="75" t="s">
        <v>448</v>
      </c>
      <c r="C130" s="75">
        <v>0.0</v>
      </c>
      <c r="D130" s="65">
        <f t="shared" si="51"/>
        <v>0</v>
      </c>
      <c r="E130" s="65">
        <f t="shared" si="52"/>
        <v>0.9795918367</v>
      </c>
      <c r="F130" s="84" t="s">
        <v>420</v>
      </c>
      <c r="G130" s="85" t="s">
        <v>420</v>
      </c>
    </row>
    <row r="131">
      <c r="A131" s="75">
        <v>8.0</v>
      </c>
      <c r="B131" s="75" t="s">
        <v>449</v>
      </c>
      <c r="C131" s="75">
        <v>1.0</v>
      </c>
      <c r="D131" s="65">
        <f t="shared" si="51"/>
        <v>0.02040816327</v>
      </c>
      <c r="E131" s="65">
        <f t="shared" si="52"/>
        <v>1</v>
      </c>
      <c r="F131" s="65">
        <v>0.979591836734694</v>
      </c>
      <c r="G131" s="65">
        <f>E131-0.001</f>
        <v>0.999</v>
      </c>
    </row>
    <row r="132">
      <c r="A132" s="87"/>
      <c r="B132" s="80" t="s">
        <v>409</v>
      </c>
      <c r="C132" s="69">
        <f>SUM(C124:C131)</f>
        <v>49</v>
      </c>
      <c r="D132" s="65">
        <f t="shared" si="51"/>
        <v>1</v>
      </c>
      <c r="E132" s="69"/>
      <c r="F132" s="69"/>
      <c r="G132" s="69"/>
    </row>
    <row r="133">
      <c r="A133" s="90" t="s">
        <v>473</v>
      </c>
      <c r="B133" s="58"/>
      <c r="C133" s="58"/>
      <c r="D133" s="58"/>
      <c r="E133" s="58"/>
      <c r="F133" s="58"/>
      <c r="G133" s="59"/>
    </row>
    <row r="134">
      <c r="A134" s="57" t="s">
        <v>23</v>
      </c>
      <c r="B134" s="58"/>
      <c r="C134" s="58"/>
      <c r="D134" s="58"/>
      <c r="E134" s="58"/>
      <c r="F134" s="58"/>
      <c r="G134" s="59"/>
    </row>
    <row r="135">
      <c r="A135" s="60" t="s">
        <v>402</v>
      </c>
      <c r="B135" s="60" t="s">
        <v>440</v>
      </c>
      <c r="C135" s="60" t="s">
        <v>404</v>
      </c>
      <c r="D135" s="60" t="s">
        <v>405</v>
      </c>
      <c r="E135" s="60" t="s">
        <v>406</v>
      </c>
      <c r="F135" s="61" t="s">
        <v>407</v>
      </c>
      <c r="G135" s="61" t="s">
        <v>408</v>
      </c>
    </row>
    <row r="136">
      <c r="A136" s="75">
        <v>1.0</v>
      </c>
      <c r="B136" s="75" t="s">
        <v>474</v>
      </c>
      <c r="C136" s="12">
        <v>5.0</v>
      </c>
      <c r="D136" s="88">
        <f t="shared" ref="D136:D144" si="54">C136/C$144</f>
        <v>0.1724137931</v>
      </c>
      <c r="E136" s="88">
        <v>0.1724137931034483</v>
      </c>
      <c r="F136" s="89">
        <v>0.0</v>
      </c>
      <c r="G136" s="88">
        <f t="shared" ref="G136:G138" si="55">E136-0.001</f>
        <v>0.1714137931</v>
      </c>
    </row>
    <row r="137">
      <c r="A137" s="75">
        <v>2.0</v>
      </c>
      <c r="B137" s="75" t="s">
        <v>443</v>
      </c>
      <c r="C137" s="12">
        <v>15.0</v>
      </c>
      <c r="D137" s="88">
        <f t="shared" si="54"/>
        <v>0.5172413793</v>
      </c>
      <c r="E137" s="88">
        <f t="shared" ref="E137:E143" si="56">E136+D137</f>
        <v>0.6896551724</v>
      </c>
      <c r="F137" s="88">
        <v>0.1724137931034483</v>
      </c>
      <c r="G137" s="88">
        <f t="shared" si="55"/>
        <v>0.6886551724</v>
      </c>
    </row>
    <row r="138">
      <c r="A138" s="75">
        <v>3.0</v>
      </c>
      <c r="B138" s="75" t="s">
        <v>444</v>
      </c>
      <c r="C138" s="12">
        <v>8.0</v>
      </c>
      <c r="D138" s="88">
        <f t="shared" si="54"/>
        <v>0.275862069</v>
      </c>
      <c r="E138" s="88">
        <f t="shared" si="56"/>
        <v>0.9655172414</v>
      </c>
      <c r="F138" s="88">
        <v>0.6896551724137931</v>
      </c>
      <c r="G138" s="88">
        <f t="shared" si="55"/>
        <v>0.9645172414</v>
      </c>
    </row>
    <row r="139">
      <c r="A139" s="75">
        <v>4.0</v>
      </c>
      <c r="B139" s="75" t="s">
        <v>445</v>
      </c>
      <c r="C139" s="12">
        <v>0.0</v>
      </c>
      <c r="D139" s="88">
        <f t="shared" si="54"/>
        <v>0</v>
      </c>
      <c r="E139" s="88">
        <f t="shared" si="56"/>
        <v>0.9655172414</v>
      </c>
      <c r="F139" s="84" t="s">
        <v>420</v>
      </c>
      <c r="G139" s="85" t="s">
        <v>420</v>
      </c>
    </row>
    <row r="140">
      <c r="A140" s="75">
        <v>5.0</v>
      </c>
      <c r="B140" s="75" t="s">
        <v>446</v>
      </c>
      <c r="C140" s="12">
        <v>0.0</v>
      </c>
      <c r="D140" s="88">
        <f t="shared" si="54"/>
        <v>0</v>
      </c>
      <c r="E140" s="88">
        <f t="shared" si="56"/>
        <v>0.9655172414</v>
      </c>
      <c r="F140" s="84" t="s">
        <v>420</v>
      </c>
      <c r="G140" s="85" t="s">
        <v>420</v>
      </c>
    </row>
    <row r="141">
      <c r="A141" s="75">
        <v>6.0</v>
      </c>
      <c r="B141" s="75" t="s">
        <v>447</v>
      </c>
      <c r="C141" s="12">
        <v>0.0</v>
      </c>
      <c r="D141" s="88">
        <f t="shared" si="54"/>
        <v>0</v>
      </c>
      <c r="E141" s="88">
        <f t="shared" si="56"/>
        <v>0.9655172414</v>
      </c>
      <c r="F141" s="19">
        <f>E141/$C$156</f>
        <v>0.1206896552</v>
      </c>
      <c r="G141" s="85" t="s">
        <v>420</v>
      </c>
    </row>
    <row r="142">
      <c r="A142" s="75">
        <v>7.0</v>
      </c>
      <c r="B142" s="75" t="s">
        <v>448</v>
      </c>
      <c r="C142" s="12">
        <v>1.0</v>
      </c>
      <c r="D142" s="88">
        <f t="shared" si="54"/>
        <v>0.03448275862</v>
      </c>
      <c r="E142" s="88">
        <f t="shared" si="56"/>
        <v>1</v>
      </c>
      <c r="F142" s="88">
        <v>0.9655172413793104</v>
      </c>
      <c r="G142" s="88">
        <f>E142-0.001</f>
        <v>0.999</v>
      </c>
    </row>
    <row r="143">
      <c r="A143" s="75">
        <v>8.0</v>
      </c>
      <c r="B143" s="75" t="s">
        <v>449</v>
      </c>
      <c r="C143" s="12">
        <v>0.0</v>
      </c>
      <c r="D143" s="88">
        <f t="shared" si="54"/>
        <v>0</v>
      </c>
      <c r="E143" s="88">
        <f t="shared" si="56"/>
        <v>1</v>
      </c>
      <c r="F143" s="84" t="s">
        <v>420</v>
      </c>
      <c r="G143" s="85" t="s">
        <v>420</v>
      </c>
    </row>
    <row r="144">
      <c r="A144" s="87"/>
      <c r="B144" s="80" t="s">
        <v>409</v>
      </c>
      <c r="C144" s="19">
        <f>SUM(C136:C143)</f>
        <v>29</v>
      </c>
      <c r="D144" s="88">
        <f t="shared" si="54"/>
        <v>1</v>
      </c>
    </row>
    <row r="145">
      <c r="A145" s="90" t="s">
        <v>475</v>
      </c>
      <c r="B145" s="58"/>
      <c r="C145" s="58"/>
      <c r="D145" s="58"/>
      <c r="E145" s="58"/>
      <c r="F145" s="58"/>
      <c r="G145" s="59"/>
    </row>
    <row r="146">
      <c r="A146" s="57" t="s">
        <v>44</v>
      </c>
      <c r="B146" s="58"/>
      <c r="C146" s="58"/>
      <c r="D146" s="58"/>
      <c r="E146" s="58"/>
      <c r="F146" s="58"/>
      <c r="G146" s="59"/>
    </row>
    <row r="147">
      <c r="A147" s="60" t="s">
        <v>402</v>
      </c>
      <c r="B147" s="60" t="s">
        <v>440</v>
      </c>
      <c r="C147" s="60" t="s">
        <v>404</v>
      </c>
      <c r="D147" s="60" t="s">
        <v>405</v>
      </c>
      <c r="E147" s="60" t="s">
        <v>406</v>
      </c>
      <c r="F147" s="61" t="s">
        <v>407</v>
      </c>
      <c r="G147" s="61" t="s">
        <v>408</v>
      </c>
    </row>
    <row r="148">
      <c r="A148" s="75">
        <v>1.0</v>
      </c>
      <c r="B148" s="75" t="s">
        <v>474</v>
      </c>
      <c r="C148" s="75">
        <v>1.0</v>
      </c>
      <c r="D148" s="69">
        <f t="shared" ref="D148:D156" si="57">C148/$C$156</f>
        <v>0.125</v>
      </c>
      <c r="E148" s="65">
        <v>0.125</v>
      </c>
      <c r="F148" s="77">
        <v>0.0</v>
      </c>
      <c r="G148" s="65">
        <f t="shared" ref="G148:G151" si="58">E148-0.001</f>
        <v>0.124</v>
      </c>
    </row>
    <row r="149">
      <c r="A149" s="75">
        <v>2.0</v>
      </c>
      <c r="B149" s="75" t="s">
        <v>443</v>
      </c>
      <c r="C149" s="75">
        <v>3.0</v>
      </c>
      <c r="D149" s="69">
        <f t="shared" si="57"/>
        <v>0.375</v>
      </c>
      <c r="E149" s="65">
        <f t="shared" ref="E149:E151" si="59">E148+D149</f>
        <v>0.5</v>
      </c>
      <c r="F149" s="65">
        <v>0.125</v>
      </c>
      <c r="G149" s="65">
        <f t="shared" si="58"/>
        <v>0.499</v>
      </c>
    </row>
    <row r="150">
      <c r="A150" s="75">
        <v>3.0</v>
      </c>
      <c r="B150" s="75" t="s">
        <v>444</v>
      </c>
      <c r="C150" s="75">
        <v>1.0</v>
      </c>
      <c r="D150" s="69">
        <f t="shared" si="57"/>
        <v>0.125</v>
      </c>
      <c r="E150" s="65">
        <f t="shared" si="59"/>
        <v>0.625</v>
      </c>
      <c r="F150" s="65">
        <v>0.5</v>
      </c>
      <c r="G150" s="65">
        <f t="shared" si="58"/>
        <v>0.624</v>
      </c>
    </row>
    <row r="151">
      <c r="A151" s="75">
        <v>4.0</v>
      </c>
      <c r="B151" s="75" t="s">
        <v>445</v>
      </c>
      <c r="C151" s="75">
        <v>3.0</v>
      </c>
      <c r="D151" s="69">
        <f t="shared" si="57"/>
        <v>0.375</v>
      </c>
      <c r="E151" s="65">
        <f t="shared" si="59"/>
        <v>1</v>
      </c>
      <c r="F151" s="65">
        <v>0.625</v>
      </c>
      <c r="G151" s="65">
        <f t="shared" si="58"/>
        <v>0.999</v>
      </c>
    </row>
    <row r="152">
      <c r="A152" s="75">
        <v>5.0</v>
      </c>
      <c r="B152" s="75" t="s">
        <v>446</v>
      </c>
      <c r="C152" s="75">
        <v>0.0</v>
      </c>
      <c r="D152" s="69">
        <f t="shared" si="57"/>
        <v>0</v>
      </c>
      <c r="E152" s="69">
        <f t="shared" ref="E152:E155" si="60">D152/$C$156</f>
        <v>0</v>
      </c>
      <c r="F152" s="92" t="s">
        <v>420</v>
      </c>
      <c r="G152" s="93" t="s">
        <v>420</v>
      </c>
    </row>
    <row r="153">
      <c r="A153" s="75">
        <v>6.0</v>
      </c>
      <c r="B153" s="75" t="s">
        <v>447</v>
      </c>
      <c r="C153" s="75">
        <v>0.0</v>
      </c>
      <c r="D153" s="69">
        <f t="shared" si="57"/>
        <v>0</v>
      </c>
      <c r="E153" s="69">
        <f t="shared" si="60"/>
        <v>0</v>
      </c>
      <c r="F153" s="92" t="s">
        <v>420</v>
      </c>
      <c r="G153" s="93" t="s">
        <v>420</v>
      </c>
    </row>
    <row r="154">
      <c r="A154" s="75">
        <v>7.0</v>
      </c>
      <c r="B154" s="75" t="s">
        <v>448</v>
      </c>
      <c r="C154" s="75">
        <v>0.0</v>
      </c>
      <c r="D154" s="69">
        <f t="shared" si="57"/>
        <v>0</v>
      </c>
      <c r="E154" s="69">
        <f t="shared" si="60"/>
        <v>0</v>
      </c>
      <c r="F154" s="92" t="s">
        <v>420</v>
      </c>
      <c r="G154" s="93" t="s">
        <v>420</v>
      </c>
    </row>
    <row r="155">
      <c r="A155" s="75">
        <v>8.0</v>
      </c>
      <c r="B155" s="75" t="s">
        <v>449</v>
      </c>
      <c r="C155" s="75">
        <v>0.0</v>
      </c>
      <c r="D155" s="69">
        <f t="shared" si="57"/>
        <v>0</v>
      </c>
      <c r="E155" s="69">
        <f t="shared" si="60"/>
        <v>0</v>
      </c>
      <c r="F155" s="92" t="s">
        <v>420</v>
      </c>
      <c r="G155" s="93" t="s">
        <v>420</v>
      </c>
    </row>
    <row r="156">
      <c r="A156" s="87"/>
      <c r="B156" s="80" t="s">
        <v>409</v>
      </c>
      <c r="C156" s="69">
        <f>SUM(C148:C155)</f>
        <v>8</v>
      </c>
      <c r="D156" s="69">
        <f t="shared" si="57"/>
        <v>1</v>
      </c>
      <c r="E156" s="69"/>
      <c r="F156" s="69"/>
      <c r="G156" s="69"/>
    </row>
    <row r="157">
      <c r="A157" s="90" t="s">
        <v>476</v>
      </c>
      <c r="B157" s="58"/>
      <c r="C157" s="58"/>
      <c r="D157" s="58"/>
      <c r="E157" s="58"/>
      <c r="F157" s="58"/>
      <c r="G157" s="59"/>
    </row>
    <row r="158">
      <c r="A158" s="57" t="s">
        <v>419</v>
      </c>
      <c r="B158" s="58"/>
      <c r="C158" s="58"/>
      <c r="D158" s="58"/>
      <c r="E158" s="58"/>
      <c r="F158" s="58"/>
      <c r="G158" s="59"/>
    </row>
    <row r="159">
      <c r="A159" s="60" t="s">
        <v>402</v>
      </c>
      <c r="B159" s="60" t="s">
        <v>440</v>
      </c>
      <c r="C159" s="60" t="s">
        <v>404</v>
      </c>
      <c r="D159" s="60" t="s">
        <v>405</v>
      </c>
      <c r="E159" s="60" t="s">
        <v>406</v>
      </c>
      <c r="F159" s="61" t="s">
        <v>407</v>
      </c>
      <c r="G159" s="61" t="s">
        <v>408</v>
      </c>
    </row>
    <row r="160">
      <c r="A160" s="75">
        <v>1.0</v>
      </c>
      <c r="B160" s="75" t="s">
        <v>474</v>
      </c>
      <c r="C160" s="75">
        <v>0.0</v>
      </c>
      <c r="D160" s="65">
        <f t="shared" ref="D160:D168" si="61">C160/$C$168</f>
        <v>0</v>
      </c>
      <c r="E160" s="65">
        <v>0.0</v>
      </c>
      <c r="F160" s="92" t="s">
        <v>420</v>
      </c>
      <c r="G160" s="92" t="s">
        <v>420</v>
      </c>
    </row>
    <row r="161">
      <c r="A161" s="75">
        <v>2.0</v>
      </c>
      <c r="B161" s="75" t="s">
        <v>443</v>
      </c>
      <c r="C161" s="75">
        <v>3.0</v>
      </c>
      <c r="D161" s="65">
        <f t="shared" si="61"/>
        <v>0.4285714286</v>
      </c>
      <c r="E161" s="65">
        <f t="shared" ref="E161:E164" si="62">E160+D161</f>
        <v>0.4285714286</v>
      </c>
      <c r="F161" s="65">
        <v>0.0</v>
      </c>
      <c r="G161" s="65">
        <f t="shared" ref="G161:G164" si="63">E161-0.001</f>
        <v>0.4275714286</v>
      </c>
    </row>
    <row r="162">
      <c r="A162" s="75">
        <v>3.0</v>
      </c>
      <c r="B162" s="75" t="s">
        <v>444</v>
      </c>
      <c r="C162" s="75">
        <v>2.0</v>
      </c>
      <c r="D162" s="65">
        <f t="shared" si="61"/>
        <v>0.2857142857</v>
      </c>
      <c r="E162" s="65">
        <f t="shared" si="62"/>
        <v>0.7142857143</v>
      </c>
      <c r="F162" s="65">
        <v>0.42857142857142855</v>
      </c>
      <c r="G162" s="65">
        <f t="shared" si="63"/>
        <v>0.7132857143</v>
      </c>
    </row>
    <row r="163">
      <c r="A163" s="75">
        <v>4.0</v>
      </c>
      <c r="B163" s="75" t="s">
        <v>445</v>
      </c>
      <c r="C163" s="75">
        <v>1.0</v>
      </c>
      <c r="D163" s="65">
        <f t="shared" si="61"/>
        <v>0.1428571429</v>
      </c>
      <c r="E163" s="65">
        <f t="shared" si="62"/>
        <v>0.8571428571</v>
      </c>
      <c r="F163" s="65">
        <v>0.7142857142857142</v>
      </c>
      <c r="G163" s="65">
        <f t="shared" si="63"/>
        <v>0.8561428571</v>
      </c>
    </row>
    <row r="164">
      <c r="A164" s="75">
        <v>5.0</v>
      </c>
      <c r="B164" s="75" t="s">
        <v>446</v>
      </c>
      <c r="C164" s="75">
        <v>1.0</v>
      </c>
      <c r="D164" s="65">
        <f t="shared" si="61"/>
        <v>0.1428571429</v>
      </c>
      <c r="E164" s="65">
        <f t="shared" si="62"/>
        <v>1</v>
      </c>
      <c r="F164" s="65">
        <v>0.857142857142857</v>
      </c>
      <c r="G164" s="65">
        <f t="shared" si="63"/>
        <v>0.999</v>
      </c>
    </row>
    <row r="165">
      <c r="A165" s="75">
        <v>6.0</v>
      </c>
      <c r="B165" s="75" t="s">
        <v>447</v>
      </c>
      <c r="C165" s="75">
        <v>0.0</v>
      </c>
      <c r="D165" s="65">
        <f t="shared" si="61"/>
        <v>0</v>
      </c>
      <c r="E165" s="92" t="s">
        <v>420</v>
      </c>
      <c r="F165" s="92" t="s">
        <v>420</v>
      </c>
      <c r="G165" s="92" t="s">
        <v>420</v>
      </c>
    </row>
    <row r="166">
      <c r="A166" s="75">
        <v>7.0</v>
      </c>
      <c r="B166" s="75" t="s">
        <v>448</v>
      </c>
      <c r="C166" s="75">
        <v>0.0</v>
      </c>
      <c r="D166" s="65">
        <f t="shared" si="61"/>
        <v>0</v>
      </c>
      <c r="E166" s="92" t="s">
        <v>420</v>
      </c>
      <c r="F166" s="92" t="s">
        <v>420</v>
      </c>
      <c r="G166" s="92" t="s">
        <v>420</v>
      </c>
    </row>
    <row r="167">
      <c r="A167" s="75">
        <v>8.0</v>
      </c>
      <c r="B167" s="75" t="s">
        <v>449</v>
      </c>
      <c r="C167" s="75">
        <v>0.0</v>
      </c>
      <c r="D167" s="65">
        <f t="shared" si="61"/>
        <v>0</v>
      </c>
      <c r="E167" s="92" t="s">
        <v>420</v>
      </c>
      <c r="F167" s="92" t="s">
        <v>420</v>
      </c>
      <c r="G167" s="92" t="s">
        <v>420</v>
      </c>
    </row>
    <row r="168">
      <c r="A168" s="87"/>
      <c r="B168" s="80" t="s">
        <v>409</v>
      </c>
      <c r="C168" s="69">
        <f>SUM(C160:C167)</f>
        <v>7</v>
      </c>
      <c r="D168" s="65">
        <f t="shared" si="61"/>
        <v>1</v>
      </c>
      <c r="E168" s="69"/>
      <c r="F168" s="69"/>
      <c r="G168" s="69"/>
    </row>
    <row r="169">
      <c r="A169" s="90" t="s">
        <v>477</v>
      </c>
      <c r="B169" s="58"/>
      <c r="C169" s="58"/>
      <c r="D169" s="58"/>
      <c r="E169" s="58"/>
      <c r="F169" s="58"/>
      <c r="G169" s="59"/>
    </row>
    <row r="170">
      <c r="A170" s="57" t="s">
        <v>421</v>
      </c>
      <c r="B170" s="58"/>
      <c r="C170" s="58"/>
      <c r="D170" s="58"/>
      <c r="E170" s="58"/>
      <c r="F170" s="58"/>
      <c r="G170" s="59"/>
    </row>
    <row r="171">
      <c r="A171" s="60" t="s">
        <v>402</v>
      </c>
      <c r="B171" s="60" t="s">
        <v>440</v>
      </c>
      <c r="C171" s="60" t="s">
        <v>404</v>
      </c>
      <c r="D171" s="60" t="s">
        <v>405</v>
      </c>
      <c r="E171" s="60" t="s">
        <v>406</v>
      </c>
      <c r="F171" s="61" t="s">
        <v>407</v>
      </c>
      <c r="G171" s="61" t="s">
        <v>408</v>
      </c>
    </row>
    <row r="172">
      <c r="A172" s="75">
        <v>1.0</v>
      </c>
      <c r="B172" s="75" t="s">
        <v>474</v>
      </c>
      <c r="C172" s="75">
        <v>0.0</v>
      </c>
      <c r="D172" s="65">
        <f t="shared" ref="D172:D180" si="64">C172/C$180</f>
        <v>0</v>
      </c>
      <c r="E172" s="65">
        <v>0.0</v>
      </c>
      <c r="F172" s="92" t="s">
        <v>420</v>
      </c>
      <c r="G172" s="92" t="s">
        <v>420</v>
      </c>
    </row>
    <row r="173">
      <c r="A173" s="75">
        <v>2.0</v>
      </c>
      <c r="B173" s="75" t="s">
        <v>443</v>
      </c>
      <c r="C173" s="75">
        <v>1.0</v>
      </c>
      <c r="D173" s="65">
        <f t="shared" si="64"/>
        <v>0.125</v>
      </c>
      <c r="E173" s="65">
        <f t="shared" ref="E173:E179" si="65">E172+D173</f>
        <v>0.125</v>
      </c>
      <c r="F173" s="77">
        <v>0.0</v>
      </c>
      <c r="G173" s="65">
        <f t="shared" ref="G173:G177" si="66">E173-0.001</f>
        <v>0.124</v>
      </c>
    </row>
    <row r="174">
      <c r="A174" s="75">
        <v>3.0</v>
      </c>
      <c r="B174" s="75" t="s">
        <v>444</v>
      </c>
      <c r="C174" s="75">
        <v>2.0</v>
      </c>
      <c r="D174" s="65">
        <f t="shared" si="64"/>
        <v>0.25</v>
      </c>
      <c r="E174" s="65">
        <f t="shared" si="65"/>
        <v>0.375</v>
      </c>
      <c r="F174" s="65">
        <v>0.125</v>
      </c>
      <c r="G174" s="65">
        <f t="shared" si="66"/>
        <v>0.374</v>
      </c>
    </row>
    <row r="175">
      <c r="A175" s="75">
        <v>4.0</v>
      </c>
      <c r="B175" s="75" t="s">
        <v>445</v>
      </c>
      <c r="C175" s="75">
        <v>1.0</v>
      </c>
      <c r="D175" s="65">
        <f t="shared" si="64"/>
        <v>0.125</v>
      </c>
      <c r="E175" s="65">
        <f t="shared" si="65"/>
        <v>0.5</v>
      </c>
      <c r="F175" s="65">
        <v>0.375</v>
      </c>
      <c r="G175" s="65">
        <f t="shared" si="66"/>
        <v>0.499</v>
      </c>
    </row>
    <row r="176">
      <c r="A176" s="75">
        <v>5.0</v>
      </c>
      <c r="B176" s="75" t="s">
        <v>446</v>
      </c>
      <c r="C176" s="75">
        <v>1.0</v>
      </c>
      <c r="D176" s="65">
        <f t="shared" si="64"/>
        <v>0.125</v>
      </c>
      <c r="E176" s="65">
        <f t="shared" si="65"/>
        <v>0.625</v>
      </c>
      <c r="F176" s="65">
        <v>0.5</v>
      </c>
      <c r="G176" s="65">
        <f t="shared" si="66"/>
        <v>0.624</v>
      </c>
    </row>
    <row r="177">
      <c r="A177" s="75">
        <v>6.0</v>
      </c>
      <c r="B177" s="75" t="s">
        <v>447</v>
      </c>
      <c r="C177" s="75">
        <v>2.0</v>
      </c>
      <c r="D177" s="65">
        <f t="shared" si="64"/>
        <v>0.25</v>
      </c>
      <c r="E177" s="65">
        <f t="shared" si="65"/>
        <v>0.875</v>
      </c>
      <c r="F177" s="65">
        <v>0.625</v>
      </c>
      <c r="G177" s="65">
        <f t="shared" si="66"/>
        <v>0.874</v>
      </c>
    </row>
    <row r="178">
      <c r="A178" s="75">
        <v>7.0</v>
      </c>
      <c r="B178" s="75" t="s">
        <v>448</v>
      </c>
      <c r="C178" s="75">
        <v>0.0</v>
      </c>
      <c r="D178" s="65">
        <f t="shared" si="64"/>
        <v>0</v>
      </c>
      <c r="E178" s="65">
        <f t="shared" si="65"/>
        <v>0.875</v>
      </c>
      <c r="F178" s="92" t="s">
        <v>420</v>
      </c>
      <c r="G178" s="92" t="s">
        <v>420</v>
      </c>
    </row>
    <row r="179">
      <c r="A179" s="75">
        <v>8.0</v>
      </c>
      <c r="B179" s="75" t="s">
        <v>449</v>
      </c>
      <c r="C179" s="75">
        <v>1.0</v>
      </c>
      <c r="D179" s="65">
        <f t="shared" si="64"/>
        <v>0.125</v>
      </c>
      <c r="E179" s="65">
        <f t="shared" si="65"/>
        <v>1</v>
      </c>
      <c r="F179" s="65">
        <v>0.875</v>
      </c>
      <c r="G179" s="65">
        <f>E179-0.001</f>
        <v>0.999</v>
      </c>
    </row>
    <row r="180">
      <c r="A180" s="87"/>
      <c r="B180" s="80" t="s">
        <v>409</v>
      </c>
      <c r="C180" s="69">
        <f>SUM(C172:C179)</f>
        <v>8</v>
      </c>
      <c r="D180" s="65">
        <f t="shared" si="64"/>
        <v>1</v>
      </c>
      <c r="E180" s="69"/>
      <c r="F180" s="69"/>
      <c r="G180" s="69"/>
    </row>
    <row r="181">
      <c r="A181" s="90" t="s">
        <v>478</v>
      </c>
      <c r="B181" s="58"/>
      <c r="C181" s="58"/>
      <c r="D181" s="58"/>
      <c r="E181" s="58"/>
      <c r="F181" s="58"/>
      <c r="G181" s="59"/>
    </row>
    <row r="182">
      <c r="A182" s="57" t="s">
        <v>422</v>
      </c>
      <c r="B182" s="58"/>
      <c r="C182" s="58"/>
      <c r="D182" s="58"/>
      <c r="E182" s="58"/>
      <c r="F182" s="58"/>
      <c r="G182" s="59"/>
    </row>
    <row r="183">
      <c r="A183" s="60" t="s">
        <v>402</v>
      </c>
      <c r="B183" s="60" t="s">
        <v>440</v>
      </c>
      <c r="C183" s="60" t="s">
        <v>404</v>
      </c>
      <c r="D183" s="60" t="s">
        <v>405</v>
      </c>
      <c r="E183" s="60" t="s">
        <v>406</v>
      </c>
      <c r="F183" s="61" t="s">
        <v>407</v>
      </c>
      <c r="G183" s="61" t="s">
        <v>408</v>
      </c>
    </row>
    <row r="184">
      <c r="A184" s="75">
        <v>1.0</v>
      </c>
      <c r="B184" s="75" t="s">
        <v>474</v>
      </c>
      <c r="C184" s="75">
        <v>0.0</v>
      </c>
      <c r="D184" s="65">
        <f t="shared" ref="D184:D192" si="67">C184/C$192</f>
        <v>0</v>
      </c>
      <c r="E184" s="92" t="s">
        <v>420</v>
      </c>
      <c r="F184" s="92" t="s">
        <v>420</v>
      </c>
      <c r="G184" s="92" t="s">
        <v>420</v>
      </c>
    </row>
    <row r="185">
      <c r="A185" s="75">
        <v>2.0</v>
      </c>
      <c r="B185" s="75" t="s">
        <v>443</v>
      </c>
      <c r="C185" s="75">
        <v>0.0</v>
      </c>
      <c r="D185" s="65">
        <f t="shared" si="67"/>
        <v>0</v>
      </c>
      <c r="E185" s="92" t="s">
        <v>420</v>
      </c>
      <c r="F185" s="92" t="s">
        <v>420</v>
      </c>
      <c r="G185" s="92" t="s">
        <v>420</v>
      </c>
    </row>
    <row r="186">
      <c r="A186" s="75">
        <v>3.0</v>
      </c>
      <c r="B186" s="75" t="s">
        <v>444</v>
      </c>
      <c r="C186" s="75">
        <v>2.0</v>
      </c>
      <c r="D186" s="65">
        <f t="shared" si="67"/>
        <v>1</v>
      </c>
      <c r="E186" s="65">
        <v>1.0</v>
      </c>
      <c r="F186" s="77">
        <v>0.0</v>
      </c>
      <c r="G186" s="65">
        <f>E186-0.001</f>
        <v>0.999</v>
      </c>
    </row>
    <row r="187">
      <c r="A187" s="75">
        <v>4.0</v>
      </c>
      <c r="B187" s="75" t="s">
        <v>445</v>
      </c>
      <c r="C187" s="75">
        <v>0.0</v>
      </c>
      <c r="D187" s="65">
        <f t="shared" si="67"/>
        <v>0</v>
      </c>
      <c r="E187" s="92" t="s">
        <v>420</v>
      </c>
      <c r="F187" s="92" t="s">
        <v>420</v>
      </c>
      <c r="G187" s="92" t="s">
        <v>420</v>
      </c>
    </row>
    <row r="188">
      <c r="A188" s="75">
        <v>5.0</v>
      </c>
      <c r="B188" s="75" t="s">
        <v>446</v>
      </c>
      <c r="C188" s="75">
        <v>0.0</v>
      </c>
      <c r="D188" s="65">
        <f t="shared" si="67"/>
        <v>0</v>
      </c>
      <c r="E188" s="92" t="s">
        <v>420</v>
      </c>
      <c r="F188" s="92" t="s">
        <v>420</v>
      </c>
      <c r="G188" s="92" t="s">
        <v>420</v>
      </c>
    </row>
    <row r="189">
      <c r="A189" s="75">
        <v>6.0</v>
      </c>
      <c r="B189" s="75" t="s">
        <v>447</v>
      </c>
      <c r="C189" s="75">
        <v>0.0</v>
      </c>
      <c r="D189" s="65">
        <f t="shared" si="67"/>
        <v>0</v>
      </c>
      <c r="E189" s="92" t="s">
        <v>420</v>
      </c>
      <c r="F189" s="92" t="s">
        <v>420</v>
      </c>
      <c r="G189" s="92" t="s">
        <v>420</v>
      </c>
    </row>
    <row r="190">
      <c r="A190" s="75">
        <v>7.0</v>
      </c>
      <c r="B190" s="75" t="s">
        <v>448</v>
      </c>
      <c r="C190" s="75">
        <v>0.0</v>
      </c>
      <c r="D190" s="65">
        <f t="shared" si="67"/>
        <v>0</v>
      </c>
      <c r="E190" s="92" t="s">
        <v>420</v>
      </c>
      <c r="F190" s="92" t="s">
        <v>420</v>
      </c>
      <c r="G190" s="92" t="s">
        <v>420</v>
      </c>
    </row>
    <row r="191">
      <c r="A191" s="75">
        <v>8.0</v>
      </c>
      <c r="B191" s="75" t="s">
        <v>449</v>
      </c>
      <c r="C191" s="75">
        <v>0.0</v>
      </c>
      <c r="D191" s="65">
        <f t="shared" si="67"/>
        <v>0</v>
      </c>
      <c r="E191" s="92" t="s">
        <v>420</v>
      </c>
      <c r="F191" s="92" t="s">
        <v>420</v>
      </c>
      <c r="G191" s="92" t="s">
        <v>420</v>
      </c>
    </row>
    <row r="192">
      <c r="A192" s="87"/>
      <c r="B192" s="80" t="s">
        <v>409</v>
      </c>
      <c r="C192" s="69">
        <f>SUM(C184:C191)</f>
        <v>2</v>
      </c>
      <c r="D192" s="65">
        <f t="shared" si="67"/>
        <v>1</v>
      </c>
      <c r="E192" s="69"/>
      <c r="F192" s="69"/>
      <c r="G192" s="69"/>
    </row>
  </sheetData>
  <mergeCells count="41">
    <mergeCell ref="A17:G17"/>
    <mergeCell ref="K17:Q17"/>
    <mergeCell ref="L22:Q22"/>
    <mergeCell ref="A1:G1"/>
    <mergeCell ref="A2:G2"/>
    <mergeCell ref="A3:G3"/>
    <mergeCell ref="A9:G9"/>
    <mergeCell ref="A10:G10"/>
    <mergeCell ref="A11:G11"/>
    <mergeCell ref="A16:G16"/>
    <mergeCell ref="A22:G22"/>
    <mergeCell ref="A23:G23"/>
    <mergeCell ref="A28:G28"/>
    <mergeCell ref="A29:G29"/>
    <mergeCell ref="K29:Q29"/>
    <mergeCell ref="A34:G34"/>
    <mergeCell ref="A35:G35"/>
    <mergeCell ref="A40:G40"/>
    <mergeCell ref="A41:G41"/>
    <mergeCell ref="A46:G46"/>
    <mergeCell ref="A47:G47"/>
    <mergeCell ref="A52:G52"/>
    <mergeCell ref="A68:G68"/>
    <mergeCell ref="A79:G79"/>
    <mergeCell ref="A84:G84"/>
    <mergeCell ref="A93:G93"/>
    <mergeCell ref="A105:G105"/>
    <mergeCell ref="A110:G110"/>
    <mergeCell ref="A116:G116"/>
    <mergeCell ref="A121:G121"/>
    <mergeCell ref="A122:G122"/>
    <mergeCell ref="A170:G170"/>
    <mergeCell ref="A181:G181"/>
    <mergeCell ref="A182:G182"/>
    <mergeCell ref="A133:G133"/>
    <mergeCell ref="A134:G134"/>
    <mergeCell ref="A145:G145"/>
    <mergeCell ref="A146:G146"/>
    <mergeCell ref="A157:G157"/>
    <mergeCell ref="A158:G158"/>
    <mergeCell ref="A169:G16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75"/>
    <col customWidth="1" min="3" max="3" width="8.0"/>
    <col hidden="1" min="4" max="4" width="12.63"/>
    <col customWidth="1" hidden="1" min="5" max="5" width="15.5"/>
    <col customWidth="1" min="6" max="6" width="7.63"/>
    <col customWidth="1" min="7" max="7" width="7.13"/>
    <col customWidth="1" min="8" max="8" width="11.0"/>
    <col customWidth="1" min="9" max="9" width="8.0"/>
    <col customWidth="1" min="10" max="10" width="9.63"/>
    <col customWidth="1" min="11" max="11" width="6.75"/>
    <col customWidth="1" min="12" max="12" width="7.5"/>
    <col customWidth="1" min="13" max="13" width="8.88"/>
    <col customWidth="1" min="14" max="14" width="9.38"/>
    <col customWidth="1" hidden="1" min="15" max="15" width="8.75"/>
    <col customWidth="1" hidden="1" min="16" max="16" width="8.38"/>
    <col customWidth="1" min="17" max="17" width="8.25"/>
    <col customWidth="1" min="20" max="20" width="8.63"/>
    <col customWidth="1" min="21" max="21" width="11.25"/>
    <col customWidth="1" min="22" max="22" width="8.63"/>
    <col customWidth="1" min="23" max="23" width="15.5"/>
    <col customWidth="1" hidden="1" min="24" max="24" width="8.63"/>
    <col customWidth="1" min="25" max="25" width="14.88"/>
    <col customWidth="1" hidden="1" min="26" max="26" width="8.63"/>
    <col customWidth="1" min="27" max="27" width="9.88"/>
    <col customWidth="1" min="28" max="28" width="11.25"/>
    <col customWidth="1" min="29" max="29" width="7.25"/>
    <col customWidth="1" min="30" max="30" width="15.5"/>
    <col customWidth="1" hidden="1" min="31" max="31" width="8.13"/>
    <col customWidth="1" min="32" max="32" width="14.88"/>
    <col customWidth="1" hidden="1" min="33" max="33" width="6.38"/>
    <col customWidth="1" min="34" max="34" width="7.38"/>
    <col customWidth="1" min="35" max="35" width="11.25"/>
    <col customWidth="1" hidden="1" min="36" max="36" width="7.5"/>
    <col customWidth="1" min="37" max="37" width="15.5"/>
    <col customWidth="1" hidden="1" min="38" max="38" width="9.0"/>
    <col customWidth="1" min="39" max="39" width="14.88"/>
    <col customWidth="1" hidden="1" min="40" max="40" width="8.13"/>
    <col customWidth="1" min="41" max="41" width="9.25"/>
    <col customWidth="1" min="42" max="42" width="11.25"/>
    <col customWidth="1" hidden="1" min="43" max="43" width="9.0"/>
    <col customWidth="1" min="44" max="44" width="15.5"/>
    <col customWidth="1" hidden="1" min="45" max="45" width="6.25"/>
    <col customWidth="1" min="46" max="46" width="14.88"/>
    <col customWidth="1" hidden="1" min="47" max="47" width="8.13"/>
    <col customWidth="1" min="48" max="48" width="9.0"/>
    <col customWidth="1" min="49" max="49" width="11.25"/>
    <col customWidth="1" hidden="1" min="50" max="50" width="7.38"/>
    <col customWidth="1" min="51" max="51" width="15.5"/>
    <col customWidth="1" hidden="1" min="52" max="52" width="6.5"/>
    <col customWidth="1" min="53" max="53" width="14.88"/>
    <col customWidth="1" hidden="1" min="54" max="54" width="6.13"/>
    <col customWidth="1" min="58" max="58" width="13.25"/>
    <col customWidth="1" min="60" max="60" width="10.0"/>
    <col customWidth="1" min="61" max="61" width="11.5"/>
  </cols>
  <sheetData>
    <row r="1">
      <c r="A1" s="94" t="s">
        <v>479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</row>
    <row r="2">
      <c r="A2" s="95" t="s">
        <v>480</v>
      </c>
      <c r="B2" s="96" t="s">
        <v>481</v>
      </c>
      <c r="C2" s="58"/>
      <c r="D2" s="58"/>
      <c r="E2" s="58"/>
      <c r="F2" s="58"/>
      <c r="G2" s="97" t="s">
        <v>2</v>
      </c>
      <c r="I2" s="98" t="s">
        <v>7</v>
      </c>
      <c r="K2" s="99" t="s">
        <v>482</v>
      </c>
      <c r="M2" s="100" t="s">
        <v>440</v>
      </c>
      <c r="R2" s="101" t="s">
        <v>483</v>
      </c>
      <c r="T2" s="102" t="s">
        <v>484</v>
      </c>
      <c r="AA2" s="103" t="s">
        <v>485</v>
      </c>
      <c r="AH2" s="104" t="s">
        <v>486</v>
      </c>
      <c r="AO2" s="97" t="s">
        <v>487</v>
      </c>
      <c r="AV2" s="105" t="s">
        <v>488</v>
      </c>
      <c r="BC2" s="99" t="s">
        <v>489</v>
      </c>
      <c r="BE2" s="106" t="s">
        <v>490</v>
      </c>
      <c r="BG2" s="107" t="s">
        <v>491</v>
      </c>
      <c r="BI2" s="108" t="s">
        <v>16</v>
      </c>
    </row>
    <row r="3">
      <c r="A3" s="109"/>
      <c r="B3" s="110" t="s">
        <v>492</v>
      </c>
      <c r="C3" s="110" t="s">
        <v>493</v>
      </c>
      <c r="D3" s="110" t="s">
        <v>494</v>
      </c>
      <c r="E3" s="110" t="s">
        <v>495</v>
      </c>
      <c r="F3" s="110" t="s">
        <v>496</v>
      </c>
      <c r="G3" s="110" t="s">
        <v>497</v>
      </c>
      <c r="H3" s="110" t="s">
        <v>498</v>
      </c>
      <c r="I3" s="110" t="s">
        <v>492</v>
      </c>
      <c r="J3" s="111"/>
      <c r="K3" s="110" t="s">
        <v>492</v>
      </c>
      <c r="L3" s="110" t="s">
        <v>403</v>
      </c>
      <c r="M3" s="110" t="s">
        <v>499</v>
      </c>
      <c r="N3" s="110" t="s">
        <v>493</v>
      </c>
      <c r="O3" s="110" t="s">
        <v>494</v>
      </c>
      <c r="P3" s="110" t="s">
        <v>495</v>
      </c>
      <c r="Q3" s="110" t="s">
        <v>496</v>
      </c>
      <c r="R3" s="110" t="s">
        <v>500</v>
      </c>
      <c r="S3" s="110" t="s">
        <v>501</v>
      </c>
      <c r="T3" s="110" t="s">
        <v>502</v>
      </c>
      <c r="U3" s="110" t="s">
        <v>503</v>
      </c>
      <c r="V3" s="110" t="s">
        <v>504</v>
      </c>
      <c r="W3" s="110" t="s">
        <v>505</v>
      </c>
      <c r="X3" s="110" t="s">
        <v>506</v>
      </c>
      <c r="Y3" s="110" t="s">
        <v>507</v>
      </c>
      <c r="Z3" s="110" t="s">
        <v>508</v>
      </c>
      <c r="AA3" s="110" t="s">
        <v>509</v>
      </c>
      <c r="AB3" s="110" t="s">
        <v>503</v>
      </c>
      <c r="AC3" s="110" t="s">
        <v>504</v>
      </c>
      <c r="AD3" s="110" t="s">
        <v>505</v>
      </c>
      <c r="AE3" s="110" t="s">
        <v>506</v>
      </c>
      <c r="AF3" s="110" t="s">
        <v>507</v>
      </c>
      <c r="AG3" s="110" t="s">
        <v>508</v>
      </c>
      <c r="AH3" s="110" t="s">
        <v>509</v>
      </c>
      <c r="AI3" s="110" t="s">
        <v>503</v>
      </c>
      <c r="AJ3" s="110" t="s">
        <v>504</v>
      </c>
      <c r="AK3" s="110" t="s">
        <v>505</v>
      </c>
      <c r="AL3" s="110" t="s">
        <v>506</v>
      </c>
      <c r="AM3" s="110" t="s">
        <v>507</v>
      </c>
      <c r="AN3" s="110" t="s">
        <v>508</v>
      </c>
      <c r="AO3" s="110" t="s">
        <v>509</v>
      </c>
      <c r="AP3" s="110" t="s">
        <v>503</v>
      </c>
      <c r="AQ3" s="110" t="s">
        <v>504</v>
      </c>
      <c r="AR3" s="110" t="s">
        <v>505</v>
      </c>
      <c r="AS3" s="110" t="s">
        <v>506</v>
      </c>
      <c r="AT3" s="110" t="s">
        <v>507</v>
      </c>
      <c r="AU3" s="110" t="s">
        <v>508</v>
      </c>
      <c r="AV3" s="110" t="s">
        <v>509</v>
      </c>
      <c r="AW3" s="110" t="s">
        <v>503</v>
      </c>
      <c r="AX3" s="110" t="s">
        <v>504</v>
      </c>
      <c r="AY3" s="110" t="s">
        <v>505</v>
      </c>
      <c r="AZ3" s="110" t="s">
        <v>506</v>
      </c>
      <c r="BA3" s="110" t="s">
        <v>507</v>
      </c>
      <c r="BB3" s="110" t="s">
        <v>508</v>
      </c>
      <c r="BC3" s="110" t="s">
        <v>492</v>
      </c>
      <c r="BD3" s="110" t="s">
        <v>10</v>
      </c>
      <c r="BE3" s="110" t="s">
        <v>492</v>
      </c>
      <c r="BF3" s="110" t="s">
        <v>510</v>
      </c>
      <c r="BG3" s="110" t="s">
        <v>492</v>
      </c>
      <c r="BH3" s="110" t="s">
        <v>511</v>
      </c>
      <c r="BI3" s="110" t="s">
        <v>492</v>
      </c>
      <c r="BJ3" s="110"/>
    </row>
    <row r="4">
      <c r="A4" s="85">
        <v>1.0</v>
      </c>
      <c r="B4" s="112">
        <v>0.3842573639741671</v>
      </c>
      <c r="C4" s="113" t="str">
        <f>ifs(B4&lt;='Range Tables'!$G$54,'Range Tables'!$B$54,B4&lt;='Range Tables'!$G$55,'Range Tables'!$B$55,B4&lt;='Range Tables'!$G$56,'Range Tables'!$B$56,B4&lt;='Range Tables'!$G$57,'Range Tables'!$B$57,B4&lt;='Range Tables'!$G$58,'Range Tables'!$B$58,B4&lt;='Range Tables'!$G$59,'Range Tables'!$B$59,B4&lt;='Range Tables'!$G$60,'Range Tables'!$B$60,B4&lt;='Range Tables'!$G$61,'Range Tables'!$B$61,B4&lt;='Range Tables'!$G$63,'Range Tables'!$B$63,B4&lt;='Range Tables'!$G$64,'Range Tables'!$B$64,B4&lt;='Range Tables'!$G$66,'Range Tables'!$B$66)</f>
        <v>30 - 60 </v>
      </c>
      <c r="D4" s="113">
        <f>IFERROR(__xludf.DUMMYFUNCTION("SPLIT(C4,""-"")"),30.0)</f>
        <v>30</v>
      </c>
      <c r="E4" s="113">
        <f>IFERROR(__xludf.DUMMYFUNCTION("""COMPUTED_VALUE"""),60.0)</f>
        <v>60</v>
      </c>
      <c r="F4" s="114">
        <f t="shared" ref="F4:F22" si="1">D4+B4*(E4-D4)</f>
        <v>41.52772092</v>
      </c>
      <c r="G4" s="112">
        <v>0.34423348553668853</v>
      </c>
      <c r="H4" s="113" t="str">
        <f>ifs(G4&lt;='Range Tables'!$G$86,'Range Tables'!$B$86,G4&lt;='Range Tables'!$G$87,'Range Tables'!$B$87,G4&lt;='Range Tables'!$G$88,'Range Tables'!$B$88,G4&lt;='Range Tables'!$G$89,'Range Tables'!$B$89,G4&lt;='Range Tables'!$G$90,'Range Tables'!$B$90,G4&lt;='Range Tables'!$G$91,'Range Tables'!$B$91)</f>
        <v>Car</v>
      </c>
      <c r="I4" s="112">
        <v>0.7746937184482814</v>
      </c>
      <c r="J4" s="113" t="str">
        <f>IFS(
  H4="Car", IF(I4&lt;='Range Tables'!$G$19, 'Range Tables'!$B$19, 'Range Tables'!$B$20), 
  H4="Bike", IF(I4&lt;='Range Tables'!$G$25, 'Range Tables'!$B$25, 'Range Tables'!$B$26), 
  H4="Scooter", IF(I4&lt;='Range Tables'!$G$31, 'Range Tables'!$B$31, 'Range Tables'!$B$32), 
  H4="Auto", IF(I4&lt;='Range Tables'!$G$37, 'Range Tables'!$B$37, 'Range Tables'!$B$38), 
  H4="Carriers*", IF(I4&lt;='Range Tables'!$G$43, 'Range Tables'!$B$43, 'Range Tables'!$B$44), 
  H4="Van*", IF(I4&lt;='Range Tables'!$G$50, 'Range Tables'!$B$50, 'Range Tables'!$B$49)
)</f>
        <v>Petrol</v>
      </c>
      <c r="K4" s="112">
        <v>0.4995331229915614</v>
      </c>
      <c r="L4" s="113">
        <f>if(J4="Petrol",ifs(K4&lt;='Range Tables'!$G$5,'Range Tables'!$B$5,K4&lt;='Range Tables'!$G$6,'Range Tables'!$B$6,K4&lt;='Range Tables'!$G$7,'Range Tables'!$B$7),ifs(K4&lt;='Range Tables'!$G$13,'Range Tables'!$B$13,K4&lt;='Range Tables'!$G$14,'Range Tables'!$B$14))</f>
        <v>2</v>
      </c>
      <c r="M4" s="112">
        <v>0.4296986623206378</v>
      </c>
      <c r="N4" s="113" t="str">
        <f>ifs(H4="Car",ifs(M4&lt;='Range Tables'!$G$125,'Range Tables'!$B$125,M4&lt;='Range Tables'!$G$126,'Range Tables'!$B$126,M4&lt;='Range Tables'!$G$127,'Range Tables'!$B$127,M4&lt;='Range Tables'!$G$128,'Range Tables'!$B$128,M4&lt;='Range Tables'!$G$129,'Range Tables'!$B$129,'Range Tables'!$G$131,'Range Tables'!$B$131),H4="Bike",ifs(M4&lt;='Range Tables'!$G$136,'Range Tables'!$B$136,M4&lt;='Range Tables'!$G$137,'Range Tables'!$B$137,M4&lt;='Range Tables'!$G$138,'Range Tables'!$B$138,M4&lt;='Range Tables'!$G$142,'Range Tables'!$B$142),H4="Scooter",ifs(M4&lt;='Range Tables'!$G$148,'Range Tables'!$B$148,M4&lt;='Range Tables'!$G$149,'Range Tables'!$B$149,M4&lt;='Range Tables'!$G$150,'Range Tables'!$B$150,M4&lt;='Range Tables'!$G$151,'Range Tables'!$B$151),H4="Auto",ifs(M4&lt;='Range Tables'!$G$161,'Range Tables'!$B$161,M4&lt;='Range Tables'!$G$162,'Range Tables'!$B$162,M4&lt;='Range Tables'!$G$163,'Range Tables'!$B$163,M4&lt;='Range Tables'!$G$164,'Range Tables'!$B$164),H4="Carriers*",ifs(M4&lt;='Range Tables'!$G$173,'Range Tables'!$B$173,M4&lt;='Range Tables'!$G$174,'Range Tables'!$B$174,M4&lt;='Range Tables'!$G$175,'Range Tables'!$B$175,M4&lt;='Range Tables'!$G$176,'Range Tables'!$B$176,M4&lt;='Range Tables'!$G$177,'Range Tables'!$B$177,M4&lt;='Range Tables'!$G$179,'Range Tables'!$B$179),H4="Van*",ifs(M4&lt;='Range Tables'!$G$186,'Range Tables'!$B$186))</f>
        <v>60 - 120</v>
      </c>
      <c r="O4" s="113">
        <f>IFERROR(__xludf.DUMMYFUNCTION("SPLIT(N4,""-"")"),60.0)</f>
        <v>60</v>
      </c>
      <c r="P4" s="113">
        <f>IFERROR(__xludf.DUMMYFUNCTION("""COMPUTED_VALUE"""),120.0)</f>
        <v>120</v>
      </c>
      <c r="Q4" s="114">
        <f t="shared" ref="Q4:Q203" si="2">O4+M4*(P4-O4)</f>
        <v>85.78191974</v>
      </c>
      <c r="R4" s="115">
        <f t="shared" ref="R4:R203" si="3">S4/86400</f>
        <v>0</v>
      </c>
      <c r="S4" s="85">
        <v>0.0</v>
      </c>
      <c r="T4" s="113" t="str">
        <f t="shared" ref="T4:T203" si="4">if(L4=1,"yes","no")</f>
        <v>no</v>
      </c>
      <c r="U4" s="115">
        <f t="shared" ref="U4:U203" si="5">V4/86400</f>
        <v>0</v>
      </c>
      <c r="V4" s="85">
        <v>0.0</v>
      </c>
      <c r="W4" s="115">
        <f t="shared" ref="W4:W203" si="6">X4/86400</f>
        <v>0</v>
      </c>
      <c r="X4" s="85">
        <f t="shared" ref="X4:X203" si="7">if(T4="yes",S4+V4,0)</f>
        <v>0</v>
      </c>
      <c r="Y4" s="116">
        <f t="shared" ref="Y4:Y203" si="8">Z4/86400</f>
        <v>0</v>
      </c>
      <c r="Z4" s="113">
        <f t="shared" ref="Z4:Z203" si="9">if(T4="yes",Q4+X4,0)</f>
        <v>0</v>
      </c>
      <c r="AA4" s="113" t="str">
        <f t="shared" ref="AA4:AA203" si="10">IF(L4=2,"yes","no")</f>
        <v>yes</v>
      </c>
      <c r="AB4" s="115">
        <f t="shared" ref="AB4:AB203" si="11">AC4/86400</f>
        <v>0</v>
      </c>
      <c r="AC4" s="85">
        <v>0.0</v>
      </c>
      <c r="AD4" s="116">
        <f t="shared" ref="AD4:AD203" si="12">AE4/86400</f>
        <v>0</v>
      </c>
      <c r="AE4" s="113">
        <f t="shared" ref="AE4:AE203" si="13">if(AA4="yes",S4+AC4,0)</f>
        <v>0</v>
      </c>
      <c r="AF4" s="116">
        <f t="shared" ref="AF4:AF203" si="14">AG4/86400</f>
        <v>0.0009928462933</v>
      </c>
      <c r="AG4" s="114">
        <f t="shared" ref="AG4:AG203" si="15">if(AA4="yes",Q4+AE4,0)</f>
        <v>85.78191974</v>
      </c>
      <c r="AH4" s="113" t="str">
        <f t="shared" ref="AH4:AH203" si="16">IF(L4=3,"yes","no")</f>
        <v>no</v>
      </c>
      <c r="AI4" s="115">
        <f t="shared" ref="AI4:AI203" si="17">AJ4/86400</f>
        <v>0</v>
      </c>
      <c r="AJ4" s="85">
        <v>0.0</v>
      </c>
      <c r="AK4" s="116">
        <f t="shared" ref="AK4:AK203" si="18">AL4/86400</f>
        <v>0</v>
      </c>
      <c r="AL4" s="113">
        <f t="shared" ref="AL4:AL203" si="19">if(AH4="yes",AJ4+S4,0)</f>
        <v>0</v>
      </c>
      <c r="AM4" s="115">
        <f t="shared" ref="AM4:AM203" si="20">AN4/86400</f>
        <v>0</v>
      </c>
      <c r="AN4" s="85">
        <f t="shared" ref="AN4:AN203" si="21">if(AH4="yes",AL4+Q4,0)</f>
        <v>0</v>
      </c>
      <c r="AO4" s="113" t="str">
        <f t="shared" ref="AO4:AO203" si="22">if(L4=4,"yes","no")</f>
        <v>no</v>
      </c>
      <c r="AP4" s="115">
        <f t="shared" ref="AP4:AP203" si="23">AQ4/86400</f>
        <v>0</v>
      </c>
      <c r="AQ4" s="85">
        <v>0.0</v>
      </c>
      <c r="AR4" s="116">
        <f t="shared" ref="AR4:AR203" si="24">AS4/86400</f>
        <v>0</v>
      </c>
      <c r="AS4" s="113">
        <f t="shared" ref="AS4:AS203" si="25">if(AO4="yes",AQ4+S4,0)</f>
        <v>0</v>
      </c>
      <c r="AT4" s="116">
        <f t="shared" ref="AT4:AT203" si="26">AU4/86400</f>
        <v>0</v>
      </c>
      <c r="AU4" s="113">
        <f t="shared" ref="AU4:AU203" si="27">if(AO4="yes",AS4+Q4,0)</f>
        <v>0</v>
      </c>
      <c r="AV4" s="113" t="str">
        <f t="shared" ref="AV4:AV203" si="28">if(L4=5,"yes","no")</f>
        <v>no</v>
      </c>
      <c r="AW4" s="115">
        <f t="shared" ref="AW4:AW203" si="29">AX4/86400</f>
        <v>0</v>
      </c>
      <c r="AX4" s="85">
        <v>0.0</v>
      </c>
      <c r="AY4" s="116">
        <f t="shared" ref="AY4:AY203" si="30">AZ4/86400</f>
        <v>0</v>
      </c>
      <c r="AZ4" s="113">
        <f t="shared" ref="AZ4:AZ203" si="31">if(AV4="yes",AX4+S4,0)</f>
        <v>0</v>
      </c>
      <c r="BA4" s="116">
        <f t="shared" ref="BA4:BA203" si="32">BB4/86400</f>
        <v>0</v>
      </c>
      <c r="BB4" s="113">
        <f t="shared" ref="BB4:BB203" si="33">if(AV4="yes",AZ4+Q4,0)</f>
        <v>0</v>
      </c>
      <c r="BC4" s="112">
        <v>0.32331864651714026</v>
      </c>
      <c r="BD4" s="113" t="str">
        <f>ifs(BC4&lt;='Range Tables'!$G$81,'Range Tables'!$B$81,BC4&lt;='Range Tables'!$G$82,'Range Tables'!$B$82)</f>
        <v>Online*</v>
      </c>
      <c r="BE4" s="112">
        <v>0.5694046897882789</v>
      </c>
      <c r="BF4" s="112" t="str">
        <f>ifs(BE4&lt;='Range Tables'!$G$95,'Range Tables'!$B$95,BE4&lt;='Range Tables'!$G$96,'Range Tables'!$B$96,BE4&lt;='Range Tables'!$G$97,'Range Tables'!$B$97,BE4&lt;='Range Tables'!$G$98,'Range Tables'!$B$98,BE4&lt;='Range Tables'!$G$99,'Range Tables'!$B$99,BE4&lt;='Range Tables'!$G$100,'Range Tables'!$B$100,BE4&lt;='Range Tables'!$G$101,'Range Tables'!$B$101,BE4&lt;='Range Tables'!$G$102,'Range Tables'!$B$102,BE4&lt;='Range Tables'!$G$103,'Range Tables'!$B$103)</f>
        <v>Jammu</v>
      </c>
      <c r="BG4" s="112">
        <v>0.31017478566134493</v>
      </c>
      <c r="BH4" s="113" t="str">
        <f>ifs(BG4&lt;='Range Tables'!$G$112,'Range Tables'!$B$112,BG4&lt;='Range Tables'!$G$113,'Range Tables'!$B$113,BG4&lt;='Range Tables'!$G$114,'Range Tables'!$B$114)</f>
        <v>0</v>
      </c>
      <c r="BI4" s="117">
        <v>0.7933800750082644</v>
      </c>
      <c r="BJ4" s="113" t="str">
        <f>ifs(BI4&lt;='Range Tables'!$G$118,'Range Tables'!$B$118,BI4&lt;='Range Tables'!$G$119,'Range Tables'!$B$119)</f>
        <v>Expired</v>
      </c>
    </row>
    <row r="5">
      <c r="A5" s="85">
        <v>2.0</v>
      </c>
      <c r="B5" s="112">
        <v>0.5811190283604994</v>
      </c>
      <c r="C5" s="113" t="str">
        <f>ifs(B5&lt;='Range Tables'!$G$54,'Range Tables'!$B$54,B5&lt;='Range Tables'!$G$55,'Range Tables'!$B$55,B5&lt;='Range Tables'!$G$56,'Range Tables'!$B$56,B5&lt;='Range Tables'!$G$57,'Range Tables'!$B$57,B5&lt;='Range Tables'!$G$58,'Range Tables'!$B$58,B5&lt;='Range Tables'!$G$59,'Range Tables'!$B$59,B5&lt;='Range Tables'!$G$60,'Range Tables'!$B$60,B5&lt;='Range Tables'!$G$61,'Range Tables'!$B$61,B5&lt;='Range Tables'!$G$63,'Range Tables'!$B$63,B5&lt;='Range Tables'!$G$64,'Range Tables'!$B$64,B5&lt;='Range Tables'!$G$66,'Range Tables'!$B$66)</f>
        <v>60 - 90</v>
      </c>
      <c r="D5" s="113">
        <f>IFERROR(__xludf.DUMMYFUNCTION("SPLIT(C5,""-"")"),60.0)</f>
        <v>60</v>
      </c>
      <c r="E5" s="113">
        <f>IFERROR(__xludf.DUMMYFUNCTION("""COMPUTED_VALUE"""),90.0)</f>
        <v>90</v>
      </c>
      <c r="F5" s="114">
        <f t="shared" si="1"/>
        <v>77.43357085</v>
      </c>
      <c r="G5" s="112">
        <v>0.1721358330739714</v>
      </c>
      <c r="H5" s="113" t="str">
        <f>ifs(G5&lt;='Range Tables'!$G$86,'Range Tables'!$B$86,G5&lt;='Range Tables'!$G$87,'Range Tables'!$B$87,G5&lt;='Range Tables'!$G$88,'Range Tables'!$B$88,G5&lt;='Range Tables'!$G$89,'Range Tables'!$B$89,G5&lt;='Range Tables'!$G$90,'Range Tables'!$B$90,G5&lt;='Range Tables'!$G$91,'Range Tables'!$B$91)</f>
        <v>Car</v>
      </c>
      <c r="I5" s="112">
        <v>0.05546539208945833</v>
      </c>
      <c r="J5" s="113" t="str">
        <f>IFS(
  H5="Car", IF(I5&lt;='Range Tables'!$G$19, 'Range Tables'!$B$19, 'Range Tables'!$B$20), 
  H5="Bike", IF(I5&lt;='Range Tables'!$G$25, 'Range Tables'!$B$25, 'Range Tables'!$B$26), 
  H5="Scooter", IF(I5&lt;='Range Tables'!$G$31, 'Range Tables'!$B$31, 'Range Tables'!$B$32), 
  H5="Auto", IF(I5&lt;='Range Tables'!$G$37, 'Range Tables'!$B$37, 'Range Tables'!$B$38), 
  H5="Carriers*", IF(I5&lt;='Range Tables'!$G$43, 'Range Tables'!$B$43, 'Range Tables'!$B$44), 
  H5="Van*", IF(I5&lt;='Range Tables'!$G$50, 'Range Tables'!$B$50, 'Range Tables'!$B$49)
)</f>
        <v>Petrol</v>
      </c>
      <c r="K5" s="112">
        <v>0.19690498966259617</v>
      </c>
      <c r="L5" s="113">
        <f>if(J5="Petrol",ifs(K5&lt;='Range Tables'!$G$5,'Range Tables'!$B$5,K5&lt;='Range Tables'!$G$6,'Range Tables'!$B$6,K5&lt;='Range Tables'!$G$7,'Range Tables'!$B$7),ifs(K5&lt;='Range Tables'!$G$13,'Range Tables'!$B$13,K5&lt;='Range Tables'!$G$14,'Range Tables'!$B$14))</f>
        <v>2</v>
      </c>
      <c r="M5" s="112">
        <v>0.6500370229089873</v>
      </c>
      <c r="N5" s="113" t="str">
        <f>ifs(H5="Car",ifs(M5&lt;='Range Tables'!$G$125,'Range Tables'!$B$125,M5&lt;='Range Tables'!$G$126,'Range Tables'!$B$126,M5&lt;='Range Tables'!$G$127,'Range Tables'!$B$127,M5&lt;='Range Tables'!$G$128,'Range Tables'!$B$128,M5&lt;='Range Tables'!$G$129,'Range Tables'!$B$129,'Range Tables'!$G$131,'Range Tables'!$B$131),H5="Bike",ifs(M5&lt;='Range Tables'!$G$136,'Range Tables'!$B$136,M5&lt;='Range Tables'!$G$137,'Range Tables'!$B$137,M5&lt;='Range Tables'!$G$138,'Range Tables'!$B$138,M5&lt;='Range Tables'!$G$142,'Range Tables'!$B$142),H5="Scooter",ifs(M5&lt;='Range Tables'!$G$148,'Range Tables'!$B$148,M5&lt;='Range Tables'!$G$149,'Range Tables'!$B$149,M5&lt;='Range Tables'!$G$150,'Range Tables'!$B$150,M5&lt;='Range Tables'!$G$151,'Range Tables'!$B$151),H5="Auto",ifs(M5&lt;='Range Tables'!$G$161,'Range Tables'!$B$161,M5&lt;='Range Tables'!$G$162,'Range Tables'!$B$162,M5&lt;='Range Tables'!$G$163,'Range Tables'!$B$163,M5&lt;='Range Tables'!$G$164,'Range Tables'!$B$164),H5="Carriers*",ifs(M5&lt;='Range Tables'!$G$173,'Range Tables'!$B$173,M5&lt;='Range Tables'!$G$174,'Range Tables'!$B$174,M5&lt;='Range Tables'!$G$175,'Range Tables'!$B$175,M5&lt;='Range Tables'!$G$176,'Range Tables'!$B$176,M5&lt;='Range Tables'!$G$177,'Range Tables'!$B$177,M5&lt;='Range Tables'!$G$179,'Range Tables'!$B$179),H5="Van*",ifs(M5&lt;='Range Tables'!$G$186,'Range Tables'!$B$186))</f>
        <v>120 - 180</v>
      </c>
      <c r="O5" s="113">
        <f>IFERROR(__xludf.DUMMYFUNCTION("SPLIT(N5,""-"")"),120.0)</f>
        <v>120</v>
      </c>
      <c r="P5" s="113">
        <f>IFERROR(__xludf.DUMMYFUNCTION("""COMPUTED_VALUE"""),180.0)</f>
        <v>180</v>
      </c>
      <c r="Q5" s="114">
        <f t="shared" si="2"/>
        <v>159.0022214</v>
      </c>
      <c r="R5" s="115">
        <f t="shared" si="3"/>
        <v>0.000480644918</v>
      </c>
      <c r="S5" s="114">
        <v>41.52772091922501</v>
      </c>
      <c r="T5" s="113" t="str">
        <f t="shared" si="4"/>
        <v>no</v>
      </c>
      <c r="U5" s="115">
        <f t="shared" si="5"/>
        <v>0</v>
      </c>
      <c r="V5" s="113">
        <f t="shared" ref="V5:V203" si="34">if(T5="yes", if(Z4&gt;S5,Z4-S5,0),0)</f>
        <v>0</v>
      </c>
      <c r="W5" s="115">
        <f t="shared" si="6"/>
        <v>0</v>
      </c>
      <c r="X5" s="85">
        <f t="shared" si="7"/>
        <v>0</v>
      </c>
      <c r="Y5" s="116">
        <f t="shared" si="8"/>
        <v>0</v>
      </c>
      <c r="Z5" s="113">
        <f t="shared" si="9"/>
        <v>0</v>
      </c>
      <c r="AA5" s="113" t="str">
        <f t="shared" si="10"/>
        <v>yes</v>
      </c>
      <c r="AB5" s="115">
        <f t="shared" si="11"/>
        <v>0.0005122013752</v>
      </c>
      <c r="AC5" s="114">
        <f t="shared" ref="AC5:AC203" si="35">if(AA5="yes", if(AG4&gt;S5,AG4-S5,0),0)</f>
        <v>44.25419882</v>
      </c>
      <c r="AD5" s="116">
        <f t="shared" si="12"/>
        <v>0.0009928462933</v>
      </c>
      <c r="AE5" s="114">
        <f t="shared" si="13"/>
        <v>85.78191974</v>
      </c>
      <c r="AF5" s="116">
        <f t="shared" si="14"/>
        <v>0.002833149781</v>
      </c>
      <c r="AG5" s="114">
        <f t="shared" si="15"/>
        <v>244.7841411</v>
      </c>
      <c r="AH5" s="113" t="str">
        <f t="shared" si="16"/>
        <v>no</v>
      </c>
      <c r="AI5" s="115">
        <f t="shared" si="17"/>
        <v>0</v>
      </c>
      <c r="AJ5" s="113">
        <f t="shared" ref="AJ5:AJ203" si="36">if(AH5="yes", if(AN4&gt;S5,AN4-S5,0),0)</f>
        <v>0</v>
      </c>
      <c r="AK5" s="116">
        <f t="shared" si="18"/>
        <v>0</v>
      </c>
      <c r="AL5" s="113">
        <f t="shared" si="19"/>
        <v>0</v>
      </c>
      <c r="AM5" s="115">
        <f t="shared" si="20"/>
        <v>0</v>
      </c>
      <c r="AN5" s="85">
        <f t="shared" si="21"/>
        <v>0</v>
      </c>
      <c r="AO5" s="113" t="str">
        <f t="shared" si="22"/>
        <v>no</v>
      </c>
      <c r="AP5" s="115">
        <f t="shared" si="23"/>
        <v>0</v>
      </c>
      <c r="AQ5" s="113">
        <f t="shared" ref="AQ5:AQ203" si="37">if(AO5="yes",if(AU4&gt;S5,AU4-S5,0),0)</f>
        <v>0</v>
      </c>
      <c r="AR5" s="116">
        <f t="shared" si="24"/>
        <v>0</v>
      </c>
      <c r="AS5" s="113">
        <f t="shared" si="25"/>
        <v>0</v>
      </c>
      <c r="AT5" s="116">
        <f t="shared" si="26"/>
        <v>0</v>
      </c>
      <c r="AU5" s="113">
        <f t="shared" si="27"/>
        <v>0</v>
      </c>
      <c r="AV5" s="113" t="str">
        <f t="shared" si="28"/>
        <v>no</v>
      </c>
      <c r="AW5" s="115">
        <f t="shared" si="29"/>
        <v>0</v>
      </c>
      <c r="AX5" s="85">
        <f t="shared" ref="AX5:AX170" si="38">if(AV5="yes",if(BB4&gt;S5,BB5-S5,0),0)</f>
        <v>0</v>
      </c>
      <c r="AY5" s="116">
        <f t="shared" si="30"/>
        <v>0</v>
      </c>
      <c r="AZ5" s="113">
        <f t="shared" si="31"/>
        <v>0</v>
      </c>
      <c r="BA5" s="116">
        <f t="shared" si="32"/>
        <v>0</v>
      </c>
      <c r="BB5" s="113">
        <f t="shared" si="33"/>
        <v>0</v>
      </c>
      <c r="BC5" s="112">
        <v>0.41881958401060704</v>
      </c>
      <c r="BD5" s="113" t="str">
        <f>ifs(BC5&lt;='Range Tables'!$G$81,'Range Tables'!$B$81,BC5&lt;='Range Tables'!$G$82,'Range Tables'!$B$82)</f>
        <v>Offline*</v>
      </c>
      <c r="BE5" s="112">
        <v>0.8158761711407885</v>
      </c>
      <c r="BF5" s="112" t="str">
        <f>ifs(BE5&lt;='Range Tables'!$G$95,'Range Tables'!$B$95,BE5&lt;='Range Tables'!$G$96,'Range Tables'!$B$96,BE5&lt;='Range Tables'!$G$97,'Range Tables'!$B$97,BE5&lt;='Range Tables'!$G$98,'Range Tables'!$B$98,BE5&lt;='Range Tables'!$G$99,'Range Tables'!$B$99,BE5&lt;='Range Tables'!$G$100,'Range Tables'!$B$100,BE5&lt;='Range Tables'!$G$101,'Range Tables'!$B$101,BE5&lt;='Range Tables'!$G$102,'Range Tables'!$B$102,BE5&lt;='Range Tables'!$G$103,'Range Tables'!$B$103)</f>
        <v>Other State Cities</v>
      </c>
      <c r="BG5" s="112">
        <v>0.48245088559167526</v>
      </c>
      <c r="BH5" s="113" t="str">
        <f>ifs(BG5&lt;='Range Tables'!$G$112,'Range Tables'!$B$112,BG5&lt;='Range Tables'!$G$113,'Range Tables'!$B$113,BG5&lt;='Range Tables'!$G$114,'Range Tables'!$B$114)</f>
        <v>0</v>
      </c>
      <c r="BI5" s="117">
        <v>0.584072997905176</v>
      </c>
      <c r="BJ5" s="113" t="str">
        <f>ifs(BI5&lt;='Range Tables'!$G$118,'Range Tables'!$B$118,BI5&lt;='Range Tables'!$G$119,'Range Tables'!$B$119)</f>
        <v>Valid</v>
      </c>
    </row>
    <row r="6">
      <c r="A6" s="85">
        <v>3.0</v>
      </c>
      <c r="B6" s="112">
        <v>0.6054966047756821</v>
      </c>
      <c r="C6" s="113" t="str">
        <f>ifs(B6&lt;='Range Tables'!$G$54,'Range Tables'!$B$54,B6&lt;='Range Tables'!$G$55,'Range Tables'!$B$55,B6&lt;='Range Tables'!$G$56,'Range Tables'!$B$56,B6&lt;='Range Tables'!$G$57,'Range Tables'!$B$57,B6&lt;='Range Tables'!$G$58,'Range Tables'!$B$58,B6&lt;='Range Tables'!$G$59,'Range Tables'!$B$59,B6&lt;='Range Tables'!$G$60,'Range Tables'!$B$60,B6&lt;='Range Tables'!$G$61,'Range Tables'!$B$61,B6&lt;='Range Tables'!$G$63,'Range Tables'!$B$63,B6&lt;='Range Tables'!$G$64,'Range Tables'!$B$64,B6&lt;='Range Tables'!$G$66,'Range Tables'!$B$66)</f>
        <v>60 - 90</v>
      </c>
      <c r="D6" s="113">
        <f>IFERROR(__xludf.DUMMYFUNCTION("SPLIT(C6,""-"")"),60.0)</f>
        <v>60</v>
      </c>
      <c r="E6" s="113">
        <f>IFERROR(__xludf.DUMMYFUNCTION("""COMPUTED_VALUE"""),90.0)</f>
        <v>90</v>
      </c>
      <c r="F6" s="114">
        <f t="shared" si="1"/>
        <v>78.16489814</v>
      </c>
      <c r="G6" s="112">
        <v>0.7094331783974669</v>
      </c>
      <c r="H6" s="113" t="str">
        <f>ifs(G6&lt;='Range Tables'!$G$86,'Range Tables'!$B$86,G6&lt;='Range Tables'!$G$87,'Range Tables'!$B$87,G6&lt;='Range Tables'!$G$88,'Range Tables'!$B$88,G6&lt;='Range Tables'!$G$89,'Range Tables'!$B$89,G6&lt;='Range Tables'!$G$90,'Range Tables'!$B$90,G6&lt;='Range Tables'!$G$91,'Range Tables'!$B$91)</f>
        <v>Bike</v>
      </c>
      <c r="I6" s="112">
        <v>0.6267100892526029</v>
      </c>
      <c r="J6" s="113" t="str">
        <f>IFS(
  H6="Car", IF(I6&lt;='Range Tables'!$G$19, 'Range Tables'!$B$19, 'Range Tables'!$B$20), 
  H6="Bike", IF(I6&lt;='Range Tables'!$G$25, 'Range Tables'!$B$25, 'Range Tables'!$B$26), 
  H6="Scooter", IF(I6&lt;='Range Tables'!$G$31, 'Range Tables'!$B$31, 'Range Tables'!$B$32), 
  H6="Auto", IF(I6&lt;='Range Tables'!$G$37, 'Range Tables'!$B$37, 'Range Tables'!$B$38), 
  H6="Carriers*", IF(I6&lt;='Range Tables'!$G$43, 'Range Tables'!$B$43, 'Range Tables'!$B$44), 
  H6="Van*", IF(I6&lt;='Range Tables'!$G$50, 'Range Tables'!$B$50, 'Range Tables'!$B$49)
)</f>
        <v>Petrol</v>
      </c>
      <c r="K6" s="112">
        <v>0.6818419642357134</v>
      </c>
      <c r="L6" s="113">
        <f>if(J6="Petrol",ifs(K6&lt;='Range Tables'!$G$5,'Range Tables'!$B$5,K6&lt;='Range Tables'!$G$6,'Range Tables'!$B$6,K6&lt;='Range Tables'!$G$7,'Range Tables'!$B$7),ifs(K6&lt;='Range Tables'!$G$13,'Range Tables'!$B$13,K6&lt;='Range Tables'!$G$14,'Range Tables'!$B$14))</f>
        <v>3</v>
      </c>
      <c r="M6" s="112">
        <v>0.5071915822442569</v>
      </c>
      <c r="N6" s="113" t="str">
        <f>ifs(H6="Car",ifs(M6&lt;='Range Tables'!$G$125,'Range Tables'!$B$125,M6&lt;='Range Tables'!$G$126,'Range Tables'!$B$126,M6&lt;='Range Tables'!$G$127,'Range Tables'!$B$127,M6&lt;='Range Tables'!$G$128,'Range Tables'!$B$128,M6&lt;='Range Tables'!$G$129,'Range Tables'!$B$129,'Range Tables'!$G$131,'Range Tables'!$B$131),H6="Bike",ifs(M6&lt;='Range Tables'!$G$136,'Range Tables'!$B$136,M6&lt;='Range Tables'!$G$137,'Range Tables'!$B$137,M6&lt;='Range Tables'!$G$138,'Range Tables'!$B$138,M6&lt;='Range Tables'!$G$142,'Range Tables'!$B$142),H6="Scooter",ifs(M6&lt;='Range Tables'!$G$148,'Range Tables'!$B$148,M6&lt;='Range Tables'!$G$149,'Range Tables'!$B$149,M6&lt;='Range Tables'!$G$150,'Range Tables'!$B$150,M6&lt;='Range Tables'!$G$151,'Range Tables'!$B$151),H6="Auto",ifs(M6&lt;='Range Tables'!$G$161,'Range Tables'!$B$161,M6&lt;='Range Tables'!$G$162,'Range Tables'!$B$162,M6&lt;='Range Tables'!$G$163,'Range Tables'!$B$163,M6&lt;='Range Tables'!$G$164,'Range Tables'!$B$164),H6="Carriers*",ifs(M6&lt;='Range Tables'!$G$173,'Range Tables'!$B$173,M6&lt;='Range Tables'!$G$174,'Range Tables'!$B$174,M6&lt;='Range Tables'!$G$175,'Range Tables'!$B$175,M6&lt;='Range Tables'!$G$176,'Range Tables'!$B$176,M6&lt;='Range Tables'!$G$177,'Range Tables'!$B$177,M6&lt;='Range Tables'!$G$179,'Range Tables'!$B$179),H6="Van*",ifs(M6&lt;='Range Tables'!$G$186,'Range Tables'!$B$186))</f>
        <v>60 - 120</v>
      </c>
      <c r="O6" s="113">
        <f>IFERROR(__xludf.DUMMYFUNCTION("SPLIT(N6,""-"")"),60.0)</f>
        <v>60</v>
      </c>
      <c r="P6" s="113">
        <f>IFERROR(__xludf.DUMMYFUNCTION("""COMPUTED_VALUE"""),120.0)</f>
        <v>120</v>
      </c>
      <c r="Q6" s="114">
        <f t="shared" si="2"/>
        <v>90.43149493</v>
      </c>
      <c r="R6" s="115">
        <f t="shared" si="3"/>
        <v>0.001376866803</v>
      </c>
      <c r="S6" s="114">
        <f t="shared" ref="S6:S203" si="39">S5+F5</f>
        <v>118.9612918</v>
      </c>
      <c r="T6" s="113" t="str">
        <f t="shared" si="4"/>
        <v>no</v>
      </c>
      <c r="U6" s="115">
        <f t="shared" si="5"/>
        <v>0</v>
      </c>
      <c r="V6" s="113">
        <f t="shared" si="34"/>
        <v>0</v>
      </c>
      <c r="W6" s="115">
        <f t="shared" si="6"/>
        <v>0</v>
      </c>
      <c r="X6" s="85">
        <f t="shared" si="7"/>
        <v>0</v>
      </c>
      <c r="Y6" s="116">
        <f t="shared" si="8"/>
        <v>0</v>
      </c>
      <c r="Z6" s="113">
        <f t="shared" si="9"/>
        <v>0</v>
      </c>
      <c r="AA6" s="113" t="str">
        <f t="shared" si="10"/>
        <v>no</v>
      </c>
      <c r="AB6" s="115">
        <f t="shared" si="11"/>
        <v>0</v>
      </c>
      <c r="AC6" s="113">
        <f t="shared" si="35"/>
        <v>0</v>
      </c>
      <c r="AD6" s="116">
        <f t="shared" si="12"/>
        <v>0</v>
      </c>
      <c r="AE6" s="113">
        <f t="shared" si="13"/>
        <v>0</v>
      </c>
      <c r="AF6" s="116">
        <f t="shared" si="14"/>
        <v>0</v>
      </c>
      <c r="AG6" s="113">
        <f t="shared" si="15"/>
        <v>0</v>
      </c>
      <c r="AH6" s="113" t="str">
        <f t="shared" si="16"/>
        <v>yes</v>
      </c>
      <c r="AI6" s="115">
        <f t="shared" si="17"/>
        <v>0</v>
      </c>
      <c r="AJ6" s="113">
        <f t="shared" si="36"/>
        <v>0</v>
      </c>
      <c r="AK6" s="116">
        <f t="shared" si="18"/>
        <v>0.001376866803</v>
      </c>
      <c r="AL6" s="114">
        <f t="shared" si="19"/>
        <v>118.9612918</v>
      </c>
      <c r="AM6" s="115">
        <f t="shared" si="20"/>
        <v>0.002423527624</v>
      </c>
      <c r="AN6" s="118">
        <f t="shared" si="21"/>
        <v>209.3927867</v>
      </c>
      <c r="AO6" s="113" t="str">
        <f t="shared" si="22"/>
        <v>no</v>
      </c>
      <c r="AP6" s="115">
        <f t="shared" si="23"/>
        <v>0</v>
      </c>
      <c r="AQ6" s="113">
        <f t="shared" si="37"/>
        <v>0</v>
      </c>
      <c r="AR6" s="116">
        <f t="shared" si="24"/>
        <v>0</v>
      </c>
      <c r="AS6" s="113">
        <f t="shared" si="25"/>
        <v>0</v>
      </c>
      <c r="AT6" s="116">
        <f t="shared" si="26"/>
        <v>0</v>
      </c>
      <c r="AU6" s="113">
        <f t="shared" si="27"/>
        <v>0</v>
      </c>
      <c r="AV6" s="113" t="str">
        <f t="shared" si="28"/>
        <v>no</v>
      </c>
      <c r="AW6" s="115">
        <f t="shared" si="29"/>
        <v>0</v>
      </c>
      <c r="AX6" s="85">
        <f t="shared" si="38"/>
        <v>0</v>
      </c>
      <c r="AY6" s="116">
        <f t="shared" si="30"/>
        <v>0</v>
      </c>
      <c r="AZ6" s="113">
        <f t="shared" si="31"/>
        <v>0</v>
      </c>
      <c r="BA6" s="116">
        <f t="shared" si="32"/>
        <v>0</v>
      </c>
      <c r="BB6" s="113">
        <f t="shared" si="33"/>
        <v>0</v>
      </c>
      <c r="BC6" s="112">
        <v>0.3423389215791163</v>
      </c>
      <c r="BD6" s="113" t="str">
        <f>ifs(BC6&lt;='Range Tables'!$G$81,'Range Tables'!$B$81,BC6&lt;='Range Tables'!$G$82,'Range Tables'!$B$82)</f>
        <v>Offline*</v>
      </c>
      <c r="BE6" s="112">
        <v>0.3040329694559192</v>
      </c>
      <c r="BF6" s="112" t="str">
        <f>ifs(BE6&lt;='Range Tables'!$G$95,'Range Tables'!$B$95,BE6&lt;='Range Tables'!$G$96,'Range Tables'!$B$96,BE6&lt;='Range Tables'!$G$97,'Range Tables'!$B$97,BE6&lt;='Range Tables'!$G$98,'Range Tables'!$B$98,BE6&lt;='Range Tables'!$G$99,'Range Tables'!$B$99,BE6&lt;='Range Tables'!$G$100,'Range Tables'!$B$100,BE6&lt;='Range Tables'!$G$101,'Range Tables'!$B$101,BE6&lt;='Range Tables'!$G$102,'Range Tables'!$B$102,BE6&lt;='Range Tables'!$G$103,'Range Tables'!$B$103)</f>
        <v>Jammu</v>
      </c>
      <c r="BG6" s="112">
        <v>0.11006866103959367</v>
      </c>
      <c r="BH6" s="113" t="str">
        <f>ifs(BG6&lt;='Range Tables'!$G$112,'Range Tables'!$B$112,BG6&lt;='Range Tables'!$G$113,'Range Tables'!$B$113,BG6&lt;='Range Tables'!$G$114,'Range Tables'!$B$114)</f>
        <v>0</v>
      </c>
      <c r="BI6" s="117">
        <v>0.15589317580410267</v>
      </c>
      <c r="BJ6" s="113" t="str">
        <f>ifs(BI6&lt;='Range Tables'!$G$118,'Range Tables'!$B$118,BI6&lt;='Range Tables'!$G$119,'Range Tables'!$B$119)</f>
        <v>Valid</v>
      </c>
    </row>
    <row r="7">
      <c r="A7" s="85">
        <v>4.0</v>
      </c>
      <c r="B7" s="112">
        <v>0.34740542273382846</v>
      </c>
      <c r="C7" s="113" t="str">
        <f>ifs(B7&lt;='Range Tables'!$G$54,'Range Tables'!$B$54,B7&lt;='Range Tables'!$G$55,'Range Tables'!$B$55,B7&lt;='Range Tables'!$G$56,'Range Tables'!$B$56,B7&lt;='Range Tables'!$G$57,'Range Tables'!$B$57,B7&lt;='Range Tables'!$G$58,'Range Tables'!$B$58,B7&lt;='Range Tables'!$G$59,'Range Tables'!$B$59,B7&lt;='Range Tables'!$G$60,'Range Tables'!$B$60,B7&lt;='Range Tables'!$G$61,'Range Tables'!$B$61,B7&lt;='Range Tables'!$G$63,'Range Tables'!$B$63,B7&lt;='Range Tables'!$G$64,'Range Tables'!$B$64,B7&lt;='Range Tables'!$G$66,'Range Tables'!$B$66)</f>
        <v>30 - 60 </v>
      </c>
      <c r="D7" s="113">
        <f>IFERROR(__xludf.DUMMYFUNCTION("SPLIT(C7,""-"")"),30.0)</f>
        <v>30</v>
      </c>
      <c r="E7" s="113">
        <f>IFERROR(__xludf.DUMMYFUNCTION("""COMPUTED_VALUE"""),60.0)</f>
        <v>60</v>
      </c>
      <c r="F7" s="114">
        <f t="shared" si="1"/>
        <v>40.42216268</v>
      </c>
      <c r="G7" s="112">
        <v>0.23484035636978373</v>
      </c>
      <c r="H7" s="113" t="str">
        <f>ifs(G7&lt;='Range Tables'!$G$86,'Range Tables'!$B$86,G7&lt;='Range Tables'!$G$87,'Range Tables'!$B$87,G7&lt;='Range Tables'!$G$88,'Range Tables'!$B$88,G7&lt;='Range Tables'!$G$89,'Range Tables'!$B$89,G7&lt;='Range Tables'!$G$90,'Range Tables'!$B$90,G7&lt;='Range Tables'!$G$91,'Range Tables'!$B$91)</f>
        <v>Car</v>
      </c>
      <c r="I7" s="112">
        <v>0.1959919901026731</v>
      </c>
      <c r="J7" s="113" t="str">
        <f>IFS(
  H7="Car", IF(I7&lt;='Range Tables'!$G$19, 'Range Tables'!$B$19, 'Range Tables'!$B$20), 
  H7="Bike", IF(I7&lt;='Range Tables'!$G$25, 'Range Tables'!$B$25, 'Range Tables'!$B$26), 
  H7="Scooter", IF(I7&lt;='Range Tables'!$G$31, 'Range Tables'!$B$31, 'Range Tables'!$B$32), 
  H7="Auto", IF(I7&lt;='Range Tables'!$G$37, 'Range Tables'!$B$37, 'Range Tables'!$B$38), 
  H7="Carriers*", IF(I7&lt;='Range Tables'!$G$43, 'Range Tables'!$B$43, 'Range Tables'!$B$44), 
  H7="Van*", IF(I7&lt;='Range Tables'!$G$50, 'Range Tables'!$B$50, 'Range Tables'!$B$49)
)</f>
        <v>Petrol</v>
      </c>
      <c r="K7" s="112">
        <v>0.9368081632879295</v>
      </c>
      <c r="L7" s="113">
        <f>if(J7="Petrol",ifs(K7&lt;='Range Tables'!$G$5,'Range Tables'!$B$5,K7&lt;='Range Tables'!$G$6,'Range Tables'!$B$6,K7&lt;='Range Tables'!$G$7,'Range Tables'!$B$7),ifs(K7&lt;='Range Tables'!$G$13,'Range Tables'!$B$13,K7&lt;='Range Tables'!$G$14,'Range Tables'!$B$14))</f>
        <v>4</v>
      </c>
      <c r="M7" s="112">
        <v>0.0603867431517604</v>
      </c>
      <c r="N7" s="113" t="str">
        <f>ifs(H7="Car",ifs(M7&lt;='Range Tables'!$G$125,'Range Tables'!$B$125,M7&lt;='Range Tables'!$G$126,'Range Tables'!$B$126,M7&lt;='Range Tables'!$G$127,'Range Tables'!$B$127,M7&lt;='Range Tables'!$G$128,'Range Tables'!$B$128,M7&lt;='Range Tables'!$G$129,'Range Tables'!$B$129,'Range Tables'!$G$131,'Range Tables'!$B$131),H7="Bike",ifs(M7&lt;='Range Tables'!$G$136,'Range Tables'!$B$136,M7&lt;='Range Tables'!$G$137,'Range Tables'!$B$137,M7&lt;='Range Tables'!$G$138,'Range Tables'!$B$138,M7&lt;='Range Tables'!$G$142,'Range Tables'!$B$142),H7="Scooter",ifs(M7&lt;='Range Tables'!$G$148,'Range Tables'!$B$148,M7&lt;='Range Tables'!$G$149,'Range Tables'!$B$149,M7&lt;='Range Tables'!$G$150,'Range Tables'!$B$150,M7&lt;='Range Tables'!$G$151,'Range Tables'!$B$151),H7="Auto",ifs(M7&lt;='Range Tables'!$G$161,'Range Tables'!$B$161,M7&lt;='Range Tables'!$G$162,'Range Tables'!$B$162,M7&lt;='Range Tables'!$G$163,'Range Tables'!$B$163,M7&lt;='Range Tables'!$G$164,'Range Tables'!$B$164),H7="Carriers*",ifs(M7&lt;='Range Tables'!$G$173,'Range Tables'!$B$173,M7&lt;='Range Tables'!$G$174,'Range Tables'!$B$174,M7&lt;='Range Tables'!$G$175,'Range Tables'!$B$175,M7&lt;='Range Tables'!$G$176,'Range Tables'!$B$176,M7&lt;='Range Tables'!$G$177,'Range Tables'!$B$177,M7&lt;='Range Tables'!$G$179,'Range Tables'!$B$179),H7="Van*",ifs(M7&lt;='Range Tables'!$G$186,'Range Tables'!$B$186))</f>
        <v>60 - 120</v>
      </c>
      <c r="O7" s="113">
        <f>IFERROR(__xludf.DUMMYFUNCTION("SPLIT(N7,""-"")"),60.0)</f>
        <v>60</v>
      </c>
      <c r="P7" s="113">
        <f>IFERROR(__xludf.DUMMYFUNCTION("""COMPUTED_VALUE"""),120.0)</f>
        <v>120</v>
      </c>
      <c r="Q7" s="114">
        <f t="shared" si="2"/>
        <v>63.62320459</v>
      </c>
      <c r="R7" s="115">
        <f t="shared" si="3"/>
        <v>0.002281553124</v>
      </c>
      <c r="S7" s="114">
        <f t="shared" si="39"/>
        <v>197.1261899</v>
      </c>
      <c r="T7" s="113" t="str">
        <f t="shared" si="4"/>
        <v>no</v>
      </c>
      <c r="U7" s="115">
        <f t="shared" si="5"/>
        <v>0</v>
      </c>
      <c r="V7" s="113">
        <f t="shared" si="34"/>
        <v>0</v>
      </c>
      <c r="W7" s="115">
        <f t="shared" si="6"/>
        <v>0</v>
      </c>
      <c r="X7" s="85">
        <f t="shared" si="7"/>
        <v>0</v>
      </c>
      <c r="Y7" s="116">
        <f t="shared" si="8"/>
        <v>0</v>
      </c>
      <c r="Z7" s="113">
        <f t="shared" si="9"/>
        <v>0</v>
      </c>
      <c r="AA7" s="113" t="str">
        <f t="shared" si="10"/>
        <v>no</v>
      </c>
      <c r="AB7" s="115">
        <f t="shared" si="11"/>
        <v>0</v>
      </c>
      <c r="AC7" s="113">
        <f t="shared" si="35"/>
        <v>0</v>
      </c>
      <c r="AD7" s="116">
        <f t="shared" si="12"/>
        <v>0</v>
      </c>
      <c r="AE7" s="113">
        <f t="shared" si="13"/>
        <v>0</v>
      </c>
      <c r="AF7" s="116">
        <f t="shared" si="14"/>
        <v>0</v>
      </c>
      <c r="AG7" s="113">
        <f t="shared" si="15"/>
        <v>0</v>
      </c>
      <c r="AH7" s="113" t="str">
        <f t="shared" si="16"/>
        <v>no</v>
      </c>
      <c r="AI7" s="115">
        <f t="shared" si="17"/>
        <v>0</v>
      </c>
      <c r="AJ7" s="113">
        <f t="shared" si="36"/>
        <v>0</v>
      </c>
      <c r="AK7" s="116">
        <f t="shared" si="18"/>
        <v>0</v>
      </c>
      <c r="AL7" s="113">
        <f t="shared" si="19"/>
        <v>0</v>
      </c>
      <c r="AM7" s="115">
        <f t="shared" si="20"/>
        <v>0</v>
      </c>
      <c r="AN7" s="85">
        <f t="shared" si="21"/>
        <v>0</v>
      </c>
      <c r="AO7" s="113" t="str">
        <f t="shared" si="22"/>
        <v>yes</v>
      </c>
      <c r="AP7" s="115">
        <f t="shared" si="23"/>
        <v>0</v>
      </c>
      <c r="AQ7" s="113">
        <f t="shared" si="37"/>
        <v>0</v>
      </c>
      <c r="AR7" s="116">
        <f t="shared" si="24"/>
        <v>0.002281553124</v>
      </c>
      <c r="AS7" s="114">
        <f t="shared" si="25"/>
        <v>197.1261899</v>
      </c>
      <c r="AT7" s="116">
        <f t="shared" si="26"/>
        <v>0.003017932807</v>
      </c>
      <c r="AU7" s="114">
        <f t="shared" si="27"/>
        <v>260.7493945</v>
      </c>
      <c r="AV7" s="113" t="str">
        <f t="shared" si="28"/>
        <v>no</v>
      </c>
      <c r="AW7" s="115">
        <f t="shared" si="29"/>
        <v>0</v>
      </c>
      <c r="AX7" s="85">
        <f t="shared" si="38"/>
        <v>0</v>
      </c>
      <c r="AY7" s="116">
        <f t="shared" si="30"/>
        <v>0</v>
      </c>
      <c r="AZ7" s="113">
        <f t="shared" si="31"/>
        <v>0</v>
      </c>
      <c r="BA7" s="116">
        <f t="shared" si="32"/>
        <v>0</v>
      </c>
      <c r="BB7" s="113">
        <f t="shared" si="33"/>
        <v>0</v>
      </c>
      <c r="BC7" s="112">
        <v>0.3109301475786326</v>
      </c>
      <c r="BD7" s="113" t="str">
        <f>ifs(BC7&lt;='Range Tables'!$G$81,'Range Tables'!$B$81,BC7&lt;='Range Tables'!$G$82,'Range Tables'!$B$82)</f>
        <v>Online*</v>
      </c>
      <c r="BE7" s="112">
        <v>0.1722441976865312</v>
      </c>
      <c r="BF7" s="112" t="str">
        <f>ifs(BE7&lt;='Range Tables'!$G$95,'Range Tables'!$B$95,BE7&lt;='Range Tables'!$G$96,'Range Tables'!$B$96,BE7&lt;='Range Tables'!$G$97,'Range Tables'!$B$97,BE7&lt;='Range Tables'!$G$98,'Range Tables'!$B$98,BE7&lt;='Range Tables'!$G$99,'Range Tables'!$B$99,BE7&lt;='Range Tables'!$G$100,'Range Tables'!$B$100,BE7&lt;='Range Tables'!$G$101,'Range Tables'!$B$101,BE7&lt;='Range Tables'!$G$102,'Range Tables'!$B$102,BE7&lt;='Range Tables'!$G$103,'Range Tables'!$B$103)</f>
        <v>Jammu</v>
      </c>
      <c r="BG7" s="112">
        <v>0.03461683496824708</v>
      </c>
      <c r="BH7" s="113" t="str">
        <f>ifs(BG7&lt;='Range Tables'!$G$112,'Range Tables'!$B$112,BG7&lt;='Range Tables'!$G$113,'Range Tables'!$B$113,BG7&lt;='Range Tables'!$G$114,'Range Tables'!$B$114)</f>
        <v>0</v>
      </c>
      <c r="BI7" s="117">
        <v>0.008159078120834273</v>
      </c>
      <c r="BJ7" s="113" t="str">
        <f>ifs(BI7&lt;='Range Tables'!$G$118,'Range Tables'!$B$118,BI7&lt;='Range Tables'!$G$119,'Range Tables'!$B$119)</f>
        <v>Valid</v>
      </c>
    </row>
    <row r="8">
      <c r="A8" s="85">
        <v>5.0</v>
      </c>
      <c r="B8" s="112">
        <v>0.6241794329136281</v>
      </c>
      <c r="C8" s="113" t="str">
        <f>ifs(B8&lt;='Range Tables'!$G$54,'Range Tables'!$B$54,B8&lt;='Range Tables'!$G$55,'Range Tables'!$B$55,B8&lt;='Range Tables'!$G$56,'Range Tables'!$B$56,B8&lt;='Range Tables'!$G$57,'Range Tables'!$B$57,B8&lt;='Range Tables'!$G$58,'Range Tables'!$B$58,B8&lt;='Range Tables'!$G$59,'Range Tables'!$B$59,B8&lt;='Range Tables'!$G$60,'Range Tables'!$B$60,B8&lt;='Range Tables'!$G$61,'Range Tables'!$B$61,B8&lt;='Range Tables'!$G$63,'Range Tables'!$B$63,B8&lt;='Range Tables'!$G$64,'Range Tables'!$B$64,B8&lt;='Range Tables'!$G$66,'Range Tables'!$B$66)</f>
        <v>60 - 90</v>
      </c>
      <c r="D8" s="113">
        <f>IFERROR(__xludf.DUMMYFUNCTION("SPLIT(C8,""-"")"),60.0)</f>
        <v>60</v>
      </c>
      <c r="E8" s="113">
        <f>IFERROR(__xludf.DUMMYFUNCTION("""COMPUTED_VALUE"""),90.0)</f>
        <v>90</v>
      </c>
      <c r="F8" s="114">
        <f t="shared" si="1"/>
        <v>78.72538299</v>
      </c>
      <c r="G8" s="112">
        <v>0.7145629102537838</v>
      </c>
      <c r="H8" s="113" t="str">
        <f>ifs(G8&lt;='Range Tables'!$G$86,'Range Tables'!$B$86,G8&lt;='Range Tables'!$G$87,'Range Tables'!$B$87,G8&lt;='Range Tables'!$G$88,'Range Tables'!$B$88,G8&lt;='Range Tables'!$G$89,'Range Tables'!$B$89,G8&lt;='Range Tables'!$G$90,'Range Tables'!$B$90,G8&lt;='Range Tables'!$G$91,'Range Tables'!$B$91)</f>
        <v>Bike</v>
      </c>
      <c r="I8" s="112">
        <v>0.6800399401206614</v>
      </c>
      <c r="J8" s="113" t="str">
        <f>IFS(
  H8="Car", IF(I8&lt;='Range Tables'!$G$19, 'Range Tables'!$B$19, 'Range Tables'!$B$20), 
  H8="Bike", IF(I8&lt;='Range Tables'!$G$25, 'Range Tables'!$B$25, 'Range Tables'!$B$26), 
  H8="Scooter", IF(I8&lt;='Range Tables'!$G$31, 'Range Tables'!$B$31, 'Range Tables'!$B$32), 
  H8="Auto", IF(I8&lt;='Range Tables'!$G$37, 'Range Tables'!$B$37, 'Range Tables'!$B$38), 
  H8="Carriers*", IF(I8&lt;='Range Tables'!$G$43, 'Range Tables'!$B$43, 'Range Tables'!$B$44), 
  H8="Van*", IF(I8&lt;='Range Tables'!$G$50, 'Range Tables'!$B$50, 'Range Tables'!$B$49)
)</f>
        <v>Petrol</v>
      </c>
      <c r="K8" s="112">
        <v>0.21805999233627282</v>
      </c>
      <c r="L8" s="113">
        <f>if(J8="Petrol",ifs(K8&lt;='Range Tables'!$G$5,'Range Tables'!$B$5,K8&lt;='Range Tables'!$G$6,'Range Tables'!$B$6,K8&lt;='Range Tables'!$G$7,'Range Tables'!$B$7),ifs(K8&lt;='Range Tables'!$G$13,'Range Tables'!$B$13,K8&lt;='Range Tables'!$G$14,'Range Tables'!$B$14))</f>
        <v>2</v>
      </c>
      <c r="M8" s="112">
        <v>0.9156082254290997</v>
      </c>
      <c r="N8" s="113" t="str">
        <f>ifs(H8="Car",ifs(M8&lt;='Range Tables'!$G$125,'Range Tables'!$B$125,M8&lt;='Range Tables'!$G$126,'Range Tables'!$B$126,M8&lt;='Range Tables'!$G$127,'Range Tables'!$B$127,M8&lt;='Range Tables'!$G$128,'Range Tables'!$B$128,M8&lt;='Range Tables'!$G$129,'Range Tables'!$B$129,'Range Tables'!$G$131,'Range Tables'!$B$131),H8="Bike",ifs(M8&lt;='Range Tables'!$G$136,'Range Tables'!$B$136,M8&lt;='Range Tables'!$G$137,'Range Tables'!$B$137,M8&lt;='Range Tables'!$G$138,'Range Tables'!$B$138,M8&lt;='Range Tables'!$G$142,'Range Tables'!$B$142),H8="Scooter",ifs(M8&lt;='Range Tables'!$G$148,'Range Tables'!$B$148,M8&lt;='Range Tables'!$G$149,'Range Tables'!$B$149,M8&lt;='Range Tables'!$G$150,'Range Tables'!$B$150,M8&lt;='Range Tables'!$G$151,'Range Tables'!$B$151),H8="Auto",ifs(M8&lt;='Range Tables'!$G$161,'Range Tables'!$B$161,M8&lt;='Range Tables'!$G$162,'Range Tables'!$B$162,M8&lt;='Range Tables'!$G$163,'Range Tables'!$B$163,M8&lt;='Range Tables'!$G$164,'Range Tables'!$B$164),H8="Carriers*",ifs(M8&lt;='Range Tables'!$G$173,'Range Tables'!$B$173,M8&lt;='Range Tables'!$G$174,'Range Tables'!$B$174,M8&lt;='Range Tables'!$G$175,'Range Tables'!$B$175,M8&lt;='Range Tables'!$G$176,'Range Tables'!$B$176,M8&lt;='Range Tables'!$G$177,'Range Tables'!$B$177,M8&lt;='Range Tables'!$G$179,'Range Tables'!$B$179),H8="Van*",ifs(M8&lt;='Range Tables'!$G$186,'Range Tables'!$B$186))</f>
        <v>120 - 180</v>
      </c>
      <c r="O8" s="113">
        <f>IFERROR(__xludf.DUMMYFUNCTION("SPLIT(N8,""-"")"),120.0)</f>
        <v>120</v>
      </c>
      <c r="P8" s="113">
        <f>IFERROR(__xludf.DUMMYFUNCTION("""COMPUTED_VALUE"""),180.0)</f>
        <v>180</v>
      </c>
      <c r="Q8" s="114">
        <f t="shared" si="2"/>
        <v>174.9364935</v>
      </c>
      <c r="R8" s="115">
        <f t="shared" si="3"/>
        <v>0.002749402229</v>
      </c>
      <c r="S8" s="114">
        <f t="shared" si="39"/>
        <v>237.5483526</v>
      </c>
      <c r="T8" s="113" t="str">
        <f t="shared" si="4"/>
        <v>no</v>
      </c>
      <c r="U8" s="115">
        <f t="shared" si="5"/>
        <v>0</v>
      </c>
      <c r="V8" s="113">
        <f t="shared" si="34"/>
        <v>0</v>
      </c>
      <c r="W8" s="115">
        <f t="shared" si="6"/>
        <v>0</v>
      </c>
      <c r="X8" s="85">
        <f t="shared" si="7"/>
        <v>0</v>
      </c>
      <c r="Y8" s="116">
        <f t="shared" si="8"/>
        <v>0</v>
      </c>
      <c r="Z8" s="113">
        <f t="shared" si="9"/>
        <v>0</v>
      </c>
      <c r="AA8" s="113" t="str">
        <f t="shared" si="10"/>
        <v>yes</v>
      </c>
      <c r="AB8" s="115">
        <f t="shared" si="11"/>
        <v>0</v>
      </c>
      <c r="AC8" s="113">
        <f t="shared" si="35"/>
        <v>0</v>
      </c>
      <c r="AD8" s="116">
        <f t="shared" si="12"/>
        <v>0.002749402229</v>
      </c>
      <c r="AE8" s="114">
        <f t="shared" si="13"/>
        <v>237.5483526</v>
      </c>
      <c r="AF8" s="116">
        <f t="shared" si="14"/>
        <v>0.004774130163</v>
      </c>
      <c r="AG8" s="114">
        <f t="shared" si="15"/>
        <v>412.4848461</v>
      </c>
      <c r="AH8" s="113" t="str">
        <f t="shared" si="16"/>
        <v>no</v>
      </c>
      <c r="AI8" s="115">
        <f t="shared" si="17"/>
        <v>0</v>
      </c>
      <c r="AJ8" s="113">
        <f t="shared" si="36"/>
        <v>0</v>
      </c>
      <c r="AK8" s="116">
        <f t="shared" si="18"/>
        <v>0</v>
      </c>
      <c r="AL8" s="113">
        <f t="shared" si="19"/>
        <v>0</v>
      </c>
      <c r="AM8" s="115">
        <f t="shared" si="20"/>
        <v>0</v>
      </c>
      <c r="AN8" s="85">
        <f t="shared" si="21"/>
        <v>0</v>
      </c>
      <c r="AO8" s="113" t="str">
        <f t="shared" si="22"/>
        <v>no</v>
      </c>
      <c r="AP8" s="115">
        <f t="shared" si="23"/>
        <v>0</v>
      </c>
      <c r="AQ8" s="113">
        <f t="shared" si="37"/>
        <v>0</v>
      </c>
      <c r="AR8" s="116">
        <f t="shared" si="24"/>
        <v>0</v>
      </c>
      <c r="AS8" s="113">
        <f t="shared" si="25"/>
        <v>0</v>
      </c>
      <c r="AT8" s="116">
        <f t="shared" si="26"/>
        <v>0</v>
      </c>
      <c r="AU8" s="113">
        <f t="shared" si="27"/>
        <v>0</v>
      </c>
      <c r="AV8" s="113" t="str">
        <f t="shared" si="28"/>
        <v>no</v>
      </c>
      <c r="AW8" s="115">
        <f t="shared" si="29"/>
        <v>0</v>
      </c>
      <c r="AX8" s="85">
        <f t="shared" si="38"/>
        <v>0</v>
      </c>
      <c r="AY8" s="116">
        <f t="shared" si="30"/>
        <v>0</v>
      </c>
      <c r="AZ8" s="113">
        <f t="shared" si="31"/>
        <v>0</v>
      </c>
      <c r="BA8" s="116">
        <f t="shared" si="32"/>
        <v>0</v>
      </c>
      <c r="BB8" s="113">
        <f t="shared" si="33"/>
        <v>0</v>
      </c>
      <c r="BC8" s="112">
        <v>0.8037462391107734</v>
      </c>
      <c r="BD8" s="113" t="str">
        <f>ifs(BC8&lt;='Range Tables'!$G$81,'Range Tables'!$B$81,BC8&lt;='Range Tables'!$G$82,'Range Tables'!$B$82)</f>
        <v>Offline*</v>
      </c>
      <c r="BE8" s="112">
        <v>0.6175397402502226</v>
      </c>
      <c r="BF8" s="112" t="str">
        <f>ifs(BE8&lt;='Range Tables'!$G$95,'Range Tables'!$B$95,BE8&lt;='Range Tables'!$G$96,'Range Tables'!$B$96,BE8&lt;='Range Tables'!$G$97,'Range Tables'!$B$97,BE8&lt;='Range Tables'!$G$98,'Range Tables'!$B$98,BE8&lt;='Range Tables'!$G$99,'Range Tables'!$B$99,BE8&lt;='Range Tables'!$G$100,'Range Tables'!$B$100,BE8&lt;='Range Tables'!$G$101,'Range Tables'!$B$101,BE8&lt;='Range Tables'!$G$102,'Range Tables'!$B$102,BE8&lt;='Range Tables'!$G$103,'Range Tables'!$B$103)</f>
        <v>Jammu</v>
      </c>
      <c r="BG8" s="112">
        <v>0.7529222587689334</v>
      </c>
      <c r="BH8" s="113" t="str">
        <f>ifs(BG8&lt;='Range Tables'!$G$112,'Range Tables'!$B$112,BG8&lt;='Range Tables'!$G$113,'Range Tables'!$B$113,BG8&lt;='Range Tables'!$G$114,'Range Tables'!$B$114)</f>
        <v>0</v>
      </c>
      <c r="BI8" s="117">
        <v>0.4980079241087586</v>
      </c>
      <c r="BJ8" s="113" t="str">
        <f>ifs(BI8&lt;='Range Tables'!$G$118,'Range Tables'!$B$118,BI8&lt;='Range Tables'!$G$119,'Range Tables'!$B$119)</f>
        <v>Valid</v>
      </c>
    </row>
    <row r="9">
      <c r="A9" s="85">
        <v>6.0</v>
      </c>
      <c r="B9" s="112">
        <v>0.6245050699665667</v>
      </c>
      <c r="C9" s="113" t="str">
        <f>ifs(B9&lt;='Range Tables'!$G$54,'Range Tables'!$B$54,B9&lt;='Range Tables'!$G$55,'Range Tables'!$B$55,B9&lt;='Range Tables'!$G$56,'Range Tables'!$B$56,B9&lt;='Range Tables'!$G$57,'Range Tables'!$B$57,B9&lt;='Range Tables'!$G$58,'Range Tables'!$B$58,B9&lt;='Range Tables'!$G$59,'Range Tables'!$B$59,B9&lt;='Range Tables'!$G$60,'Range Tables'!$B$60,B9&lt;='Range Tables'!$G$61,'Range Tables'!$B$61,B9&lt;='Range Tables'!$G$63,'Range Tables'!$B$63,B9&lt;='Range Tables'!$G$64,'Range Tables'!$B$64,B9&lt;='Range Tables'!$G$66,'Range Tables'!$B$66)</f>
        <v>60 - 90</v>
      </c>
      <c r="D9" s="113">
        <f>IFERROR(__xludf.DUMMYFUNCTION("SPLIT(C9,""-"")"),60.0)</f>
        <v>60</v>
      </c>
      <c r="E9" s="113">
        <f>IFERROR(__xludf.DUMMYFUNCTION("""COMPUTED_VALUE"""),90.0)</f>
        <v>90</v>
      </c>
      <c r="F9" s="114">
        <f t="shared" si="1"/>
        <v>78.7351521</v>
      </c>
      <c r="G9" s="112">
        <v>0.5512274000735831</v>
      </c>
      <c r="H9" s="113" t="str">
        <f>ifs(G9&lt;='Range Tables'!$G$86,'Range Tables'!$B$86,G9&lt;='Range Tables'!$G$87,'Range Tables'!$B$87,G9&lt;='Range Tables'!$G$88,'Range Tables'!$B$88,G9&lt;='Range Tables'!$G$89,'Range Tables'!$B$89,G9&lt;='Range Tables'!$G$90,'Range Tables'!$B$90,G9&lt;='Range Tables'!$G$91,'Range Tables'!$B$91)</f>
        <v>Bike</v>
      </c>
      <c r="I9" s="112">
        <v>0.46932394878564876</v>
      </c>
      <c r="J9" s="113" t="str">
        <f>IFS(
  H9="Car", IF(I9&lt;='Range Tables'!$G$19, 'Range Tables'!$B$19, 'Range Tables'!$B$20), 
  H9="Bike", IF(I9&lt;='Range Tables'!$G$25, 'Range Tables'!$B$25, 'Range Tables'!$B$26), 
  H9="Scooter", IF(I9&lt;='Range Tables'!$G$31, 'Range Tables'!$B$31, 'Range Tables'!$B$32), 
  H9="Auto", IF(I9&lt;='Range Tables'!$G$37, 'Range Tables'!$B$37, 'Range Tables'!$B$38), 
  H9="Carriers*", IF(I9&lt;='Range Tables'!$G$43, 'Range Tables'!$B$43, 'Range Tables'!$B$44), 
  H9="Van*", IF(I9&lt;='Range Tables'!$G$50, 'Range Tables'!$B$50, 'Range Tables'!$B$49)
)</f>
        <v>Petrol</v>
      </c>
      <c r="K9" s="112">
        <v>0.03195020970924356</v>
      </c>
      <c r="L9" s="113">
        <f>if(J9="Petrol",ifs(K9&lt;='Range Tables'!$G$5,'Range Tables'!$B$5,K9&lt;='Range Tables'!$G$6,'Range Tables'!$B$6,K9&lt;='Range Tables'!$G$7,'Range Tables'!$B$7),ifs(K9&lt;='Range Tables'!$G$13,'Range Tables'!$B$13,K9&lt;='Range Tables'!$G$14,'Range Tables'!$B$14))</f>
        <v>2</v>
      </c>
      <c r="M9" s="112">
        <v>0.7386871537520194</v>
      </c>
      <c r="N9" s="113" t="str">
        <f>ifs(H9="Car",ifs(M9&lt;='Range Tables'!$G$125,'Range Tables'!$B$125,M9&lt;='Range Tables'!$G$126,'Range Tables'!$B$126,M9&lt;='Range Tables'!$G$127,'Range Tables'!$B$127,M9&lt;='Range Tables'!$G$128,'Range Tables'!$B$128,M9&lt;='Range Tables'!$G$129,'Range Tables'!$B$129,'Range Tables'!$G$131,'Range Tables'!$B$131),H9="Bike",ifs(M9&lt;='Range Tables'!$G$136,'Range Tables'!$B$136,M9&lt;='Range Tables'!$G$137,'Range Tables'!$B$137,M9&lt;='Range Tables'!$G$138,'Range Tables'!$B$138,M9&lt;='Range Tables'!$G$142,'Range Tables'!$B$142),H9="Scooter",ifs(M9&lt;='Range Tables'!$G$148,'Range Tables'!$B$148,M9&lt;='Range Tables'!$G$149,'Range Tables'!$B$149,M9&lt;='Range Tables'!$G$150,'Range Tables'!$B$150,M9&lt;='Range Tables'!$G$151,'Range Tables'!$B$151),H9="Auto",ifs(M9&lt;='Range Tables'!$G$161,'Range Tables'!$B$161,M9&lt;='Range Tables'!$G$162,'Range Tables'!$B$162,M9&lt;='Range Tables'!$G$163,'Range Tables'!$B$163,M9&lt;='Range Tables'!$G$164,'Range Tables'!$B$164),H9="Carriers*",ifs(M9&lt;='Range Tables'!$G$173,'Range Tables'!$B$173,M9&lt;='Range Tables'!$G$174,'Range Tables'!$B$174,M9&lt;='Range Tables'!$G$175,'Range Tables'!$B$175,M9&lt;='Range Tables'!$G$176,'Range Tables'!$B$176,M9&lt;='Range Tables'!$G$177,'Range Tables'!$B$177,M9&lt;='Range Tables'!$G$179,'Range Tables'!$B$179),H9="Van*",ifs(M9&lt;='Range Tables'!$G$186,'Range Tables'!$B$186))</f>
        <v>120 - 180</v>
      </c>
      <c r="O9" s="113">
        <f>IFERROR(__xludf.DUMMYFUNCTION("SPLIT(N9,""-"")"),120.0)</f>
        <v>120</v>
      </c>
      <c r="P9" s="113">
        <f>IFERROR(__xludf.DUMMYFUNCTION("""COMPUTED_VALUE"""),180.0)</f>
        <v>180</v>
      </c>
      <c r="Q9" s="114">
        <f t="shared" si="2"/>
        <v>164.3212292</v>
      </c>
      <c r="R9" s="115">
        <f t="shared" si="3"/>
        <v>0.003660575643</v>
      </c>
      <c r="S9" s="114">
        <f t="shared" si="39"/>
        <v>316.2737356</v>
      </c>
      <c r="T9" s="113" t="str">
        <f t="shared" si="4"/>
        <v>no</v>
      </c>
      <c r="U9" s="115">
        <f t="shared" si="5"/>
        <v>0</v>
      </c>
      <c r="V9" s="113">
        <f t="shared" si="34"/>
        <v>0</v>
      </c>
      <c r="W9" s="115">
        <f t="shared" si="6"/>
        <v>0</v>
      </c>
      <c r="X9" s="85">
        <f t="shared" si="7"/>
        <v>0</v>
      </c>
      <c r="Y9" s="116">
        <f t="shared" si="8"/>
        <v>0</v>
      </c>
      <c r="Z9" s="113">
        <f t="shared" si="9"/>
        <v>0</v>
      </c>
      <c r="AA9" s="113" t="str">
        <f t="shared" si="10"/>
        <v>yes</v>
      </c>
      <c r="AB9" s="115">
        <f t="shared" si="11"/>
        <v>0.00111355452</v>
      </c>
      <c r="AC9" s="114">
        <f t="shared" si="35"/>
        <v>96.21111054</v>
      </c>
      <c r="AD9" s="116">
        <f t="shared" si="12"/>
        <v>0.004774130163</v>
      </c>
      <c r="AE9" s="114">
        <f t="shared" si="13"/>
        <v>412.4848461</v>
      </c>
      <c r="AF9" s="116">
        <f t="shared" si="14"/>
        <v>0.006675996242</v>
      </c>
      <c r="AG9" s="114">
        <f t="shared" si="15"/>
        <v>576.8060753</v>
      </c>
      <c r="AH9" s="113" t="str">
        <f t="shared" si="16"/>
        <v>no</v>
      </c>
      <c r="AI9" s="115">
        <f t="shared" si="17"/>
        <v>0</v>
      </c>
      <c r="AJ9" s="113">
        <f t="shared" si="36"/>
        <v>0</v>
      </c>
      <c r="AK9" s="116">
        <f t="shared" si="18"/>
        <v>0</v>
      </c>
      <c r="AL9" s="113">
        <f t="shared" si="19"/>
        <v>0</v>
      </c>
      <c r="AM9" s="115">
        <f t="shared" si="20"/>
        <v>0</v>
      </c>
      <c r="AN9" s="85">
        <f t="shared" si="21"/>
        <v>0</v>
      </c>
      <c r="AO9" s="113" t="str">
        <f t="shared" si="22"/>
        <v>no</v>
      </c>
      <c r="AP9" s="115">
        <f t="shared" si="23"/>
        <v>0</v>
      </c>
      <c r="AQ9" s="113">
        <f t="shared" si="37"/>
        <v>0</v>
      </c>
      <c r="AR9" s="116">
        <f t="shared" si="24"/>
        <v>0</v>
      </c>
      <c r="AS9" s="113">
        <f t="shared" si="25"/>
        <v>0</v>
      </c>
      <c r="AT9" s="116">
        <f t="shared" si="26"/>
        <v>0</v>
      </c>
      <c r="AU9" s="113">
        <f t="shared" si="27"/>
        <v>0</v>
      </c>
      <c r="AV9" s="113" t="str">
        <f t="shared" si="28"/>
        <v>no</v>
      </c>
      <c r="AW9" s="115">
        <f t="shared" si="29"/>
        <v>0</v>
      </c>
      <c r="AX9" s="85">
        <f t="shared" si="38"/>
        <v>0</v>
      </c>
      <c r="AY9" s="116">
        <f t="shared" si="30"/>
        <v>0</v>
      </c>
      <c r="AZ9" s="113">
        <f t="shared" si="31"/>
        <v>0</v>
      </c>
      <c r="BA9" s="116">
        <f t="shared" si="32"/>
        <v>0</v>
      </c>
      <c r="BB9" s="113">
        <f t="shared" si="33"/>
        <v>0</v>
      </c>
      <c r="BC9" s="112">
        <v>0.04872628375180843</v>
      </c>
      <c r="BD9" s="113" t="str">
        <f>ifs(BC9&lt;='Range Tables'!$G$81,'Range Tables'!$B$81,BC9&lt;='Range Tables'!$G$82,'Range Tables'!$B$82)</f>
        <v>Online*</v>
      </c>
      <c r="BE9" s="112">
        <v>0.1222981819120299</v>
      </c>
      <c r="BF9" s="112" t="str">
        <f>ifs(BE9&lt;='Range Tables'!$G$95,'Range Tables'!$B$95,BE9&lt;='Range Tables'!$G$96,'Range Tables'!$B$96,BE9&lt;='Range Tables'!$G$97,'Range Tables'!$B$97,BE9&lt;='Range Tables'!$G$98,'Range Tables'!$B$98,BE9&lt;='Range Tables'!$G$99,'Range Tables'!$B$99,BE9&lt;='Range Tables'!$G$100,'Range Tables'!$B$100,BE9&lt;='Range Tables'!$G$101,'Range Tables'!$B$101,BE9&lt;='Range Tables'!$G$102,'Range Tables'!$B$102,BE9&lt;='Range Tables'!$G$103,'Range Tables'!$B$103)</f>
        <v>Jammu</v>
      </c>
      <c r="BG9" s="112">
        <v>0.8504728356734927</v>
      </c>
      <c r="BH9" s="113" t="str">
        <f>ifs(BG9&lt;='Range Tables'!$G$112,'Range Tables'!$B$112,BG9&lt;='Range Tables'!$G$113,'Range Tables'!$B$113,BG9&lt;='Range Tables'!$G$114,'Range Tables'!$B$114)</f>
        <v>1-5</v>
      </c>
      <c r="BI9" s="117">
        <v>0.8035690595851429</v>
      </c>
      <c r="BJ9" s="113" t="str">
        <f>ifs(BI9&lt;='Range Tables'!$G$118,'Range Tables'!$B$118,BI9&lt;='Range Tables'!$G$119,'Range Tables'!$B$119)</f>
        <v>Expired</v>
      </c>
    </row>
    <row r="10">
      <c r="A10" s="85">
        <v>7.0</v>
      </c>
      <c r="B10" s="112">
        <v>0.5023615393603802</v>
      </c>
      <c r="C10" s="113" t="str">
        <f>ifs(B10&lt;='Range Tables'!$G$54,'Range Tables'!$B$54,B10&lt;='Range Tables'!$G$55,'Range Tables'!$B$55,B10&lt;='Range Tables'!$G$56,'Range Tables'!$B$56,B10&lt;='Range Tables'!$G$57,'Range Tables'!$B$57,B10&lt;='Range Tables'!$G$58,'Range Tables'!$B$58,B10&lt;='Range Tables'!$G$59,'Range Tables'!$B$59,B10&lt;='Range Tables'!$G$60,'Range Tables'!$B$60,B10&lt;='Range Tables'!$G$61,'Range Tables'!$B$61,B10&lt;='Range Tables'!$G$63,'Range Tables'!$B$63,B10&lt;='Range Tables'!$G$64,'Range Tables'!$B$64,B10&lt;='Range Tables'!$G$66,'Range Tables'!$B$66)</f>
        <v>30 - 60 </v>
      </c>
      <c r="D10" s="113">
        <f>IFERROR(__xludf.DUMMYFUNCTION("SPLIT(C10,""-"")"),30.0)</f>
        <v>30</v>
      </c>
      <c r="E10" s="113">
        <f>IFERROR(__xludf.DUMMYFUNCTION("""COMPUTED_VALUE"""),60.0)</f>
        <v>60</v>
      </c>
      <c r="F10" s="114">
        <f t="shared" si="1"/>
        <v>45.07084618</v>
      </c>
      <c r="G10" s="112">
        <v>0.4691800813570933</v>
      </c>
      <c r="H10" s="113" t="str">
        <f>ifs(G10&lt;='Range Tables'!$G$86,'Range Tables'!$B$86,G10&lt;='Range Tables'!$G$87,'Range Tables'!$B$87,G10&lt;='Range Tables'!$G$88,'Range Tables'!$B$88,G10&lt;='Range Tables'!$G$89,'Range Tables'!$B$89,G10&lt;='Range Tables'!$G$90,'Range Tables'!$B$90,G10&lt;='Range Tables'!$G$91,'Range Tables'!$B$91)</f>
        <v>Car</v>
      </c>
      <c r="I10" s="112">
        <v>0.10233770615766813</v>
      </c>
      <c r="J10" s="113" t="str">
        <f>IFS(
  H10="Car", IF(I10&lt;='Range Tables'!$G$19, 'Range Tables'!$B$19, 'Range Tables'!$B$20), 
  H10="Bike", IF(I10&lt;='Range Tables'!$G$25, 'Range Tables'!$B$25, 'Range Tables'!$B$26), 
  H10="Scooter", IF(I10&lt;='Range Tables'!$G$31, 'Range Tables'!$B$31, 'Range Tables'!$B$32), 
  H10="Auto", IF(I10&lt;='Range Tables'!$G$37, 'Range Tables'!$B$37, 'Range Tables'!$B$38), 
  H10="Carriers*", IF(I10&lt;='Range Tables'!$G$43, 'Range Tables'!$B$43, 'Range Tables'!$B$44), 
  H10="Van*", IF(I10&lt;='Range Tables'!$G$50, 'Range Tables'!$B$50, 'Range Tables'!$B$49)
)</f>
        <v>Petrol</v>
      </c>
      <c r="K10" s="112">
        <v>0.552334414904939</v>
      </c>
      <c r="L10" s="113">
        <f>if(J10="Petrol",ifs(K10&lt;='Range Tables'!$G$5,'Range Tables'!$B$5,K10&lt;='Range Tables'!$G$6,'Range Tables'!$B$6,K10&lt;='Range Tables'!$G$7,'Range Tables'!$B$7),ifs(K10&lt;='Range Tables'!$G$13,'Range Tables'!$B$13,K10&lt;='Range Tables'!$G$14,'Range Tables'!$B$14))</f>
        <v>3</v>
      </c>
      <c r="M10" s="112">
        <v>0.6976649677696951</v>
      </c>
      <c r="N10" s="113" t="str">
        <f>ifs(H10="Car",ifs(M10&lt;='Range Tables'!$G$125,'Range Tables'!$B$125,M10&lt;='Range Tables'!$G$126,'Range Tables'!$B$126,M10&lt;='Range Tables'!$G$127,'Range Tables'!$B$127,M10&lt;='Range Tables'!$G$128,'Range Tables'!$B$128,M10&lt;='Range Tables'!$G$129,'Range Tables'!$B$129,'Range Tables'!$G$131,'Range Tables'!$B$131),H10="Bike",ifs(M10&lt;='Range Tables'!$G$136,'Range Tables'!$B$136,M10&lt;='Range Tables'!$G$137,'Range Tables'!$B$137,M10&lt;='Range Tables'!$G$138,'Range Tables'!$B$138,M10&lt;='Range Tables'!$G$142,'Range Tables'!$B$142),H10="Scooter",ifs(M10&lt;='Range Tables'!$G$148,'Range Tables'!$B$148,M10&lt;='Range Tables'!$G$149,'Range Tables'!$B$149,M10&lt;='Range Tables'!$G$150,'Range Tables'!$B$150,M10&lt;='Range Tables'!$G$151,'Range Tables'!$B$151),H10="Auto",ifs(M10&lt;='Range Tables'!$G$161,'Range Tables'!$B$161,M10&lt;='Range Tables'!$G$162,'Range Tables'!$B$162,M10&lt;='Range Tables'!$G$163,'Range Tables'!$B$163,M10&lt;='Range Tables'!$G$164,'Range Tables'!$B$164),H10="Carriers*",ifs(M10&lt;='Range Tables'!$G$173,'Range Tables'!$B$173,M10&lt;='Range Tables'!$G$174,'Range Tables'!$B$174,M10&lt;='Range Tables'!$G$175,'Range Tables'!$B$175,M10&lt;='Range Tables'!$G$176,'Range Tables'!$B$176,M10&lt;='Range Tables'!$G$177,'Range Tables'!$B$177,M10&lt;='Range Tables'!$G$179,'Range Tables'!$B$179),H10="Van*",ifs(M10&lt;='Range Tables'!$G$186,'Range Tables'!$B$186))</f>
        <v>120 - 180</v>
      </c>
      <c r="O10" s="113">
        <f>IFERROR(__xludf.DUMMYFUNCTION("SPLIT(N10,""-"")"),120.0)</f>
        <v>120</v>
      </c>
      <c r="P10" s="113">
        <f>IFERROR(__xludf.DUMMYFUNCTION("""COMPUTED_VALUE"""),180.0)</f>
        <v>180</v>
      </c>
      <c r="Q10" s="114">
        <f t="shared" si="2"/>
        <v>161.8598981</v>
      </c>
      <c r="R10" s="115">
        <f t="shared" si="3"/>
        <v>0.004571862126</v>
      </c>
      <c r="S10" s="114">
        <f t="shared" si="39"/>
        <v>395.0088877</v>
      </c>
      <c r="T10" s="113" t="str">
        <f t="shared" si="4"/>
        <v>no</v>
      </c>
      <c r="U10" s="115">
        <f t="shared" si="5"/>
        <v>0</v>
      </c>
      <c r="V10" s="113">
        <f t="shared" si="34"/>
        <v>0</v>
      </c>
      <c r="W10" s="115">
        <f t="shared" si="6"/>
        <v>0</v>
      </c>
      <c r="X10" s="85">
        <f t="shared" si="7"/>
        <v>0</v>
      </c>
      <c r="Y10" s="116">
        <f t="shared" si="8"/>
        <v>0</v>
      </c>
      <c r="Z10" s="113">
        <f t="shared" si="9"/>
        <v>0</v>
      </c>
      <c r="AA10" s="113" t="str">
        <f t="shared" si="10"/>
        <v>no</v>
      </c>
      <c r="AB10" s="115">
        <f t="shared" si="11"/>
        <v>0</v>
      </c>
      <c r="AC10" s="113">
        <f t="shared" si="35"/>
        <v>0</v>
      </c>
      <c r="AD10" s="116">
        <f t="shared" si="12"/>
        <v>0</v>
      </c>
      <c r="AE10" s="113">
        <f t="shared" si="13"/>
        <v>0</v>
      </c>
      <c r="AF10" s="116">
        <f t="shared" si="14"/>
        <v>0</v>
      </c>
      <c r="AG10" s="113">
        <f t="shared" si="15"/>
        <v>0</v>
      </c>
      <c r="AH10" s="113" t="str">
        <f t="shared" si="16"/>
        <v>yes</v>
      </c>
      <c r="AI10" s="115">
        <f t="shared" si="17"/>
        <v>0</v>
      </c>
      <c r="AJ10" s="113">
        <f t="shared" si="36"/>
        <v>0</v>
      </c>
      <c r="AK10" s="116">
        <f t="shared" si="18"/>
        <v>0.004571862126</v>
      </c>
      <c r="AL10" s="114">
        <f t="shared" si="19"/>
        <v>395.0088877</v>
      </c>
      <c r="AM10" s="115">
        <f t="shared" si="20"/>
        <v>0.006445240576</v>
      </c>
      <c r="AN10" s="118">
        <f t="shared" si="21"/>
        <v>556.8687857</v>
      </c>
      <c r="AO10" s="113" t="str">
        <f t="shared" si="22"/>
        <v>no</v>
      </c>
      <c r="AP10" s="115">
        <f t="shared" si="23"/>
        <v>0</v>
      </c>
      <c r="AQ10" s="113">
        <f t="shared" si="37"/>
        <v>0</v>
      </c>
      <c r="AR10" s="116">
        <f t="shared" si="24"/>
        <v>0</v>
      </c>
      <c r="AS10" s="113">
        <f t="shared" si="25"/>
        <v>0</v>
      </c>
      <c r="AT10" s="116">
        <f t="shared" si="26"/>
        <v>0</v>
      </c>
      <c r="AU10" s="113">
        <f t="shared" si="27"/>
        <v>0</v>
      </c>
      <c r="AV10" s="113" t="str">
        <f t="shared" si="28"/>
        <v>no</v>
      </c>
      <c r="AW10" s="115">
        <f t="shared" si="29"/>
        <v>0</v>
      </c>
      <c r="AX10" s="85">
        <f t="shared" si="38"/>
        <v>0</v>
      </c>
      <c r="AY10" s="116">
        <f t="shared" si="30"/>
        <v>0</v>
      </c>
      <c r="AZ10" s="113">
        <f t="shared" si="31"/>
        <v>0</v>
      </c>
      <c r="BA10" s="116">
        <f t="shared" si="32"/>
        <v>0</v>
      </c>
      <c r="BB10" s="113">
        <f t="shared" si="33"/>
        <v>0</v>
      </c>
      <c r="BC10" s="112">
        <v>0.45242936771865205</v>
      </c>
      <c r="BD10" s="113" t="str">
        <f>ifs(BC10&lt;='Range Tables'!$G$81,'Range Tables'!$B$81,BC10&lt;='Range Tables'!$G$82,'Range Tables'!$B$82)</f>
        <v>Offline*</v>
      </c>
      <c r="BE10" s="112">
        <v>0.0967389013194061</v>
      </c>
      <c r="BF10" s="112" t="str">
        <f>ifs(BE10&lt;='Range Tables'!$G$95,'Range Tables'!$B$95,BE10&lt;='Range Tables'!$G$96,'Range Tables'!$B$96,BE10&lt;='Range Tables'!$G$97,'Range Tables'!$B$97,BE10&lt;='Range Tables'!$G$98,'Range Tables'!$B$98,BE10&lt;='Range Tables'!$G$99,'Range Tables'!$B$99,BE10&lt;='Range Tables'!$G$100,'Range Tables'!$B$100,BE10&lt;='Range Tables'!$G$101,'Range Tables'!$B$101,BE10&lt;='Range Tables'!$G$102,'Range Tables'!$B$102,BE10&lt;='Range Tables'!$G$103,'Range Tables'!$B$103)</f>
        <v>Jammu</v>
      </c>
      <c r="BG10" s="112">
        <v>0.11005320325038914</v>
      </c>
      <c r="BH10" s="113" t="str">
        <f>ifs(BG10&lt;='Range Tables'!$G$112,'Range Tables'!$B$112,BG10&lt;='Range Tables'!$G$113,'Range Tables'!$B$113,BG10&lt;='Range Tables'!$G$114,'Range Tables'!$B$114)</f>
        <v>0</v>
      </c>
      <c r="BI10" s="117">
        <v>0.5666907795103356</v>
      </c>
      <c r="BJ10" s="113" t="str">
        <f>ifs(BI10&lt;='Range Tables'!$G$118,'Range Tables'!$B$118,BI10&lt;='Range Tables'!$G$119,'Range Tables'!$B$119)</f>
        <v>Valid</v>
      </c>
    </row>
    <row r="11">
      <c r="A11" s="85">
        <v>8.0</v>
      </c>
      <c r="B11" s="112">
        <v>0.3986909706196522</v>
      </c>
      <c r="C11" s="113" t="str">
        <f>ifs(B11&lt;='Range Tables'!$G$54,'Range Tables'!$B$54,B11&lt;='Range Tables'!$G$55,'Range Tables'!$B$55,B11&lt;='Range Tables'!$G$56,'Range Tables'!$B$56,B11&lt;='Range Tables'!$G$57,'Range Tables'!$B$57,B11&lt;='Range Tables'!$G$58,'Range Tables'!$B$58,B11&lt;='Range Tables'!$G$59,'Range Tables'!$B$59,B11&lt;='Range Tables'!$G$60,'Range Tables'!$B$60,B11&lt;='Range Tables'!$G$61,'Range Tables'!$B$61,B11&lt;='Range Tables'!$G$63,'Range Tables'!$B$63,B11&lt;='Range Tables'!$G$64,'Range Tables'!$B$64,B11&lt;='Range Tables'!$G$66,'Range Tables'!$B$66)</f>
        <v>30 - 60 </v>
      </c>
      <c r="D11" s="113">
        <f>IFERROR(__xludf.DUMMYFUNCTION("SPLIT(C11,""-"")"),30.0)</f>
        <v>30</v>
      </c>
      <c r="E11" s="113">
        <f>IFERROR(__xludf.DUMMYFUNCTION("""COMPUTED_VALUE"""),60.0)</f>
        <v>60</v>
      </c>
      <c r="F11" s="114">
        <f t="shared" si="1"/>
        <v>41.96072912</v>
      </c>
      <c r="G11" s="112">
        <v>0.23780848256299314</v>
      </c>
      <c r="H11" s="113" t="str">
        <f>ifs(G11&lt;='Range Tables'!$G$86,'Range Tables'!$B$86,G11&lt;='Range Tables'!$G$87,'Range Tables'!$B$87,G11&lt;='Range Tables'!$G$88,'Range Tables'!$B$88,G11&lt;='Range Tables'!$G$89,'Range Tables'!$B$89,G11&lt;='Range Tables'!$G$90,'Range Tables'!$B$90,G11&lt;='Range Tables'!$G$91,'Range Tables'!$B$91)</f>
        <v>Car</v>
      </c>
      <c r="I11" s="112">
        <v>0.7688738863390047</v>
      </c>
      <c r="J11" s="113" t="str">
        <f>IFS(
  H11="Car", IF(I11&lt;='Range Tables'!$G$19, 'Range Tables'!$B$19, 'Range Tables'!$B$20), 
  H11="Bike", IF(I11&lt;='Range Tables'!$G$25, 'Range Tables'!$B$25, 'Range Tables'!$B$26), 
  H11="Scooter", IF(I11&lt;='Range Tables'!$G$31, 'Range Tables'!$B$31, 'Range Tables'!$B$32), 
  H11="Auto", IF(I11&lt;='Range Tables'!$G$37, 'Range Tables'!$B$37, 'Range Tables'!$B$38), 
  H11="Carriers*", IF(I11&lt;='Range Tables'!$G$43, 'Range Tables'!$B$43, 'Range Tables'!$B$44), 
  H11="Van*", IF(I11&lt;='Range Tables'!$G$50, 'Range Tables'!$B$50, 'Range Tables'!$B$49)
)</f>
        <v>Petrol</v>
      </c>
      <c r="K11" s="112">
        <v>0.27084103493288014</v>
      </c>
      <c r="L11" s="113">
        <f>if(J11="Petrol",ifs(K11&lt;='Range Tables'!$G$5,'Range Tables'!$B$5,K11&lt;='Range Tables'!$G$6,'Range Tables'!$B$6,K11&lt;='Range Tables'!$G$7,'Range Tables'!$B$7),ifs(K11&lt;='Range Tables'!$G$13,'Range Tables'!$B$13,K11&lt;='Range Tables'!$G$14,'Range Tables'!$B$14))</f>
        <v>2</v>
      </c>
      <c r="M11" s="112">
        <v>0.7420639984044948</v>
      </c>
      <c r="N11" s="113" t="str">
        <f>ifs(H11="Car",ifs(M11&lt;='Range Tables'!$G$125,'Range Tables'!$B$125,M11&lt;='Range Tables'!$G$126,'Range Tables'!$B$126,M11&lt;='Range Tables'!$G$127,'Range Tables'!$B$127,M11&lt;='Range Tables'!$G$128,'Range Tables'!$B$128,M11&lt;='Range Tables'!$G$129,'Range Tables'!$B$129,'Range Tables'!$G$131,'Range Tables'!$B$131),H11="Bike",ifs(M11&lt;='Range Tables'!$G$136,'Range Tables'!$B$136,M11&lt;='Range Tables'!$G$137,'Range Tables'!$B$137,M11&lt;='Range Tables'!$G$138,'Range Tables'!$B$138,M11&lt;='Range Tables'!$G$142,'Range Tables'!$B$142),H11="Scooter",ifs(M11&lt;='Range Tables'!$G$148,'Range Tables'!$B$148,M11&lt;='Range Tables'!$G$149,'Range Tables'!$B$149,M11&lt;='Range Tables'!$G$150,'Range Tables'!$B$150,M11&lt;='Range Tables'!$G$151,'Range Tables'!$B$151),H11="Auto",ifs(M11&lt;='Range Tables'!$G$161,'Range Tables'!$B$161,M11&lt;='Range Tables'!$G$162,'Range Tables'!$B$162,M11&lt;='Range Tables'!$G$163,'Range Tables'!$B$163,M11&lt;='Range Tables'!$G$164,'Range Tables'!$B$164),H11="Carriers*",ifs(M11&lt;='Range Tables'!$G$173,'Range Tables'!$B$173,M11&lt;='Range Tables'!$G$174,'Range Tables'!$B$174,M11&lt;='Range Tables'!$G$175,'Range Tables'!$B$175,M11&lt;='Range Tables'!$G$176,'Range Tables'!$B$176,M11&lt;='Range Tables'!$G$177,'Range Tables'!$B$177,M11&lt;='Range Tables'!$G$179,'Range Tables'!$B$179),H11="Van*",ifs(M11&lt;='Range Tables'!$G$186,'Range Tables'!$B$186))</f>
        <v>120 - 180</v>
      </c>
      <c r="O11" s="113">
        <f>IFERROR(__xludf.DUMMYFUNCTION("SPLIT(N11,""-"")"),120.0)</f>
        <v>120</v>
      </c>
      <c r="P11" s="113">
        <f>IFERROR(__xludf.DUMMYFUNCTION("""COMPUTED_VALUE"""),180.0)</f>
        <v>180</v>
      </c>
      <c r="Q11" s="114">
        <f t="shared" si="2"/>
        <v>164.5238399</v>
      </c>
      <c r="R11" s="115">
        <f t="shared" si="3"/>
        <v>0.005093515438</v>
      </c>
      <c r="S11" s="114">
        <f t="shared" si="39"/>
        <v>440.0797339</v>
      </c>
      <c r="T11" s="113" t="str">
        <f t="shared" si="4"/>
        <v>no</v>
      </c>
      <c r="U11" s="115">
        <f t="shared" si="5"/>
        <v>0</v>
      </c>
      <c r="V11" s="113">
        <f t="shared" si="34"/>
        <v>0</v>
      </c>
      <c r="W11" s="115">
        <f t="shared" si="6"/>
        <v>0</v>
      </c>
      <c r="X11" s="85">
        <f t="shared" si="7"/>
        <v>0</v>
      </c>
      <c r="Y11" s="116">
        <f t="shared" si="8"/>
        <v>0</v>
      </c>
      <c r="Z11" s="113">
        <f t="shared" si="9"/>
        <v>0</v>
      </c>
      <c r="AA11" s="113" t="str">
        <f t="shared" si="10"/>
        <v>yes</v>
      </c>
      <c r="AB11" s="115">
        <f t="shared" si="11"/>
        <v>0</v>
      </c>
      <c r="AC11" s="113">
        <f t="shared" si="35"/>
        <v>0</v>
      </c>
      <c r="AD11" s="116">
        <f t="shared" si="12"/>
        <v>0.005093515438</v>
      </c>
      <c r="AE11" s="114">
        <f t="shared" si="13"/>
        <v>440.0797339</v>
      </c>
      <c r="AF11" s="116">
        <f t="shared" si="14"/>
        <v>0.006997726548</v>
      </c>
      <c r="AG11" s="114">
        <f t="shared" si="15"/>
        <v>604.6035738</v>
      </c>
      <c r="AH11" s="113" t="str">
        <f t="shared" si="16"/>
        <v>no</v>
      </c>
      <c r="AI11" s="115">
        <f t="shared" si="17"/>
        <v>0</v>
      </c>
      <c r="AJ11" s="113">
        <f t="shared" si="36"/>
        <v>0</v>
      </c>
      <c r="AK11" s="116">
        <f t="shared" si="18"/>
        <v>0</v>
      </c>
      <c r="AL11" s="113">
        <f t="shared" si="19"/>
        <v>0</v>
      </c>
      <c r="AM11" s="115">
        <f t="shared" si="20"/>
        <v>0</v>
      </c>
      <c r="AN11" s="85">
        <f t="shared" si="21"/>
        <v>0</v>
      </c>
      <c r="AO11" s="113" t="str">
        <f t="shared" si="22"/>
        <v>no</v>
      </c>
      <c r="AP11" s="115">
        <f t="shared" si="23"/>
        <v>0</v>
      </c>
      <c r="AQ11" s="113">
        <f t="shared" si="37"/>
        <v>0</v>
      </c>
      <c r="AR11" s="116">
        <f t="shared" si="24"/>
        <v>0</v>
      </c>
      <c r="AS11" s="113">
        <f t="shared" si="25"/>
        <v>0</v>
      </c>
      <c r="AT11" s="116">
        <f t="shared" si="26"/>
        <v>0</v>
      </c>
      <c r="AU11" s="113">
        <f t="shared" si="27"/>
        <v>0</v>
      </c>
      <c r="AV11" s="113" t="str">
        <f t="shared" si="28"/>
        <v>no</v>
      </c>
      <c r="AW11" s="115">
        <f t="shared" si="29"/>
        <v>0</v>
      </c>
      <c r="AX11" s="85">
        <f t="shared" si="38"/>
        <v>0</v>
      </c>
      <c r="AY11" s="116">
        <f t="shared" si="30"/>
        <v>0</v>
      </c>
      <c r="AZ11" s="113">
        <f t="shared" si="31"/>
        <v>0</v>
      </c>
      <c r="BA11" s="116">
        <f t="shared" si="32"/>
        <v>0</v>
      </c>
      <c r="BB11" s="113">
        <f t="shared" si="33"/>
        <v>0</v>
      </c>
      <c r="BC11" s="112">
        <v>0.6622134550577075</v>
      </c>
      <c r="BD11" s="113" t="str">
        <f>ifs(BC11&lt;='Range Tables'!$G$81,'Range Tables'!$B$81,BC11&lt;='Range Tables'!$G$82,'Range Tables'!$B$82)</f>
        <v>Offline*</v>
      </c>
      <c r="BE11" s="112">
        <v>0.8579212947338233</v>
      </c>
      <c r="BF11" s="112" t="str">
        <f>ifs(BE11&lt;='Range Tables'!$G$95,'Range Tables'!$B$95,BE11&lt;='Range Tables'!$G$96,'Range Tables'!$B$96,BE11&lt;='Range Tables'!$G$97,'Range Tables'!$B$97,BE11&lt;='Range Tables'!$G$98,'Range Tables'!$B$98,BE11&lt;='Range Tables'!$G$99,'Range Tables'!$B$99,BE11&lt;='Range Tables'!$G$100,'Range Tables'!$B$100,BE11&lt;='Range Tables'!$G$101,'Range Tables'!$B$101,BE11&lt;='Range Tables'!$G$102,'Range Tables'!$B$102,BE11&lt;='Range Tables'!$G$103,'Range Tables'!$B$103)</f>
        <v>Udhampur</v>
      </c>
      <c r="BG11" s="112">
        <v>0.8075611573246048</v>
      </c>
      <c r="BH11" s="113" t="str">
        <f>ifs(BG11&lt;='Range Tables'!$G$112,'Range Tables'!$B$112,BG11&lt;='Range Tables'!$G$113,'Range Tables'!$B$113,BG11&lt;='Range Tables'!$G$114,'Range Tables'!$B$114)</f>
        <v>1-5</v>
      </c>
      <c r="BI11" s="117">
        <v>0.34018758588968</v>
      </c>
      <c r="BJ11" s="113" t="str">
        <f>ifs(BI11&lt;='Range Tables'!$G$118,'Range Tables'!$B$118,BI11&lt;='Range Tables'!$G$119,'Range Tables'!$B$119)</f>
        <v>Valid</v>
      </c>
    </row>
    <row r="12">
      <c r="A12" s="85">
        <v>9.0</v>
      </c>
      <c r="B12" s="112">
        <v>0.4739062551528552</v>
      </c>
      <c r="C12" s="113" t="str">
        <f>ifs(B12&lt;='Range Tables'!$G$54,'Range Tables'!$B$54,B12&lt;='Range Tables'!$G$55,'Range Tables'!$B$55,B12&lt;='Range Tables'!$G$56,'Range Tables'!$B$56,B12&lt;='Range Tables'!$G$57,'Range Tables'!$B$57,B12&lt;='Range Tables'!$G$58,'Range Tables'!$B$58,B12&lt;='Range Tables'!$G$59,'Range Tables'!$B$59,B12&lt;='Range Tables'!$G$60,'Range Tables'!$B$60,B12&lt;='Range Tables'!$G$61,'Range Tables'!$B$61,B12&lt;='Range Tables'!$G$63,'Range Tables'!$B$63,B12&lt;='Range Tables'!$G$64,'Range Tables'!$B$64,B12&lt;='Range Tables'!$G$66,'Range Tables'!$B$66)</f>
        <v>30 - 60 </v>
      </c>
      <c r="D12" s="113">
        <f>IFERROR(__xludf.DUMMYFUNCTION("SPLIT(C12,""-"")"),30.0)</f>
        <v>30</v>
      </c>
      <c r="E12" s="113">
        <f>IFERROR(__xludf.DUMMYFUNCTION("""COMPUTED_VALUE"""),60.0)</f>
        <v>60</v>
      </c>
      <c r="F12" s="114">
        <f t="shared" si="1"/>
        <v>44.21718765</v>
      </c>
      <c r="G12" s="112">
        <v>0.10503365405482479</v>
      </c>
      <c r="H12" s="113" t="str">
        <f>ifs(G12&lt;='Range Tables'!$G$86,'Range Tables'!$B$86,G12&lt;='Range Tables'!$G$87,'Range Tables'!$B$87,G12&lt;='Range Tables'!$G$88,'Range Tables'!$B$88,G12&lt;='Range Tables'!$G$89,'Range Tables'!$B$89,G12&lt;='Range Tables'!$G$90,'Range Tables'!$B$90,G12&lt;='Range Tables'!$G$91,'Range Tables'!$B$91)</f>
        <v>Car</v>
      </c>
      <c r="I12" s="112">
        <v>0.8815687979594252</v>
      </c>
      <c r="J12" s="113" t="str">
        <f>IFS(
  H12="Car", IF(I12&lt;='Range Tables'!$G$19, 'Range Tables'!$B$19, 'Range Tables'!$B$20), 
  H12="Bike", IF(I12&lt;='Range Tables'!$G$25, 'Range Tables'!$B$25, 'Range Tables'!$B$26), 
  H12="Scooter", IF(I12&lt;='Range Tables'!$G$31, 'Range Tables'!$B$31, 'Range Tables'!$B$32), 
  H12="Auto", IF(I12&lt;='Range Tables'!$G$37, 'Range Tables'!$B$37, 'Range Tables'!$B$38), 
  H12="Carriers*", IF(I12&lt;='Range Tables'!$G$43, 'Range Tables'!$B$43, 'Range Tables'!$B$44), 
  H12="Van*", IF(I12&lt;='Range Tables'!$G$50, 'Range Tables'!$B$50, 'Range Tables'!$B$49)
)</f>
        <v>Petrol</v>
      </c>
      <c r="K12" s="112">
        <v>0.9347429888574537</v>
      </c>
      <c r="L12" s="113">
        <f>if(J12="Petrol",ifs(K12&lt;='Range Tables'!$G$5,'Range Tables'!$B$5,K12&lt;='Range Tables'!$G$6,'Range Tables'!$B$6,K12&lt;='Range Tables'!$G$7,'Range Tables'!$B$7),ifs(K12&lt;='Range Tables'!$G$13,'Range Tables'!$B$13,K12&lt;='Range Tables'!$G$14,'Range Tables'!$B$14))</f>
        <v>4</v>
      </c>
      <c r="M12" s="112">
        <v>0.9272590319728462</v>
      </c>
      <c r="N12" s="113" t="str">
        <f>ifs(H12="Car",ifs(M12&lt;='Range Tables'!$G$125,'Range Tables'!$B$125,M12&lt;='Range Tables'!$G$126,'Range Tables'!$B$126,M12&lt;='Range Tables'!$G$127,'Range Tables'!$B$127,M12&lt;='Range Tables'!$G$128,'Range Tables'!$B$128,M12&lt;='Range Tables'!$G$129,'Range Tables'!$B$129,'Range Tables'!$G$131,'Range Tables'!$B$131),H12="Bike",ifs(M12&lt;='Range Tables'!$G$136,'Range Tables'!$B$136,M12&lt;='Range Tables'!$G$137,'Range Tables'!$B$137,M12&lt;='Range Tables'!$G$138,'Range Tables'!$B$138,M12&lt;='Range Tables'!$G$142,'Range Tables'!$B$142),H12="Scooter",ifs(M12&lt;='Range Tables'!$G$148,'Range Tables'!$B$148,M12&lt;='Range Tables'!$G$149,'Range Tables'!$B$149,M12&lt;='Range Tables'!$G$150,'Range Tables'!$B$150,M12&lt;='Range Tables'!$G$151,'Range Tables'!$B$151),H12="Auto",ifs(M12&lt;='Range Tables'!$G$161,'Range Tables'!$B$161,M12&lt;='Range Tables'!$G$162,'Range Tables'!$B$162,M12&lt;='Range Tables'!$G$163,'Range Tables'!$B$163,M12&lt;='Range Tables'!$G$164,'Range Tables'!$B$164),H12="Carriers*",ifs(M12&lt;='Range Tables'!$G$173,'Range Tables'!$B$173,M12&lt;='Range Tables'!$G$174,'Range Tables'!$B$174,M12&lt;='Range Tables'!$G$175,'Range Tables'!$B$175,M12&lt;='Range Tables'!$G$176,'Range Tables'!$B$176,M12&lt;='Range Tables'!$G$177,'Range Tables'!$B$177,M12&lt;='Range Tables'!$G$179,'Range Tables'!$B$179),H12="Van*",ifs(M12&lt;='Range Tables'!$G$186,'Range Tables'!$B$186))</f>
        <v>240 - 300</v>
      </c>
      <c r="O12" s="113">
        <f>IFERROR(__xludf.DUMMYFUNCTION("SPLIT(N12,""-"")"),240.0)</f>
        <v>240</v>
      </c>
      <c r="P12" s="113">
        <f>IFERROR(__xludf.DUMMYFUNCTION("""COMPUTED_VALUE"""),300.0)</f>
        <v>300</v>
      </c>
      <c r="Q12" s="114">
        <f t="shared" si="2"/>
        <v>295.6355419</v>
      </c>
      <c r="R12" s="115">
        <f t="shared" si="3"/>
        <v>0.005579172025</v>
      </c>
      <c r="S12" s="114">
        <f t="shared" si="39"/>
        <v>482.040463</v>
      </c>
      <c r="T12" s="113" t="str">
        <f t="shared" si="4"/>
        <v>no</v>
      </c>
      <c r="U12" s="115">
        <f t="shared" si="5"/>
        <v>0</v>
      </c>
      <c r="V12" s="113">
        <f t="shared" si="34"/>
        <v>0</v>
      </c>
      <c r="W12" s="115">
        <f t="shared" si="6"/>
        <v>0</v>
      </c>
      <c r="X12" s="85">
        <f t="shared" si="7"/>
        <v>0</v>
      </c>
      <c r="Y12" s="116">
        <f t="shared" si="8"/>
        <v>0</v>
      </c>
      <c r="Z12" s="113">
        <f t="shared" si="9"/>
        <v>0</v>
      </c>
      <c r="AA12" s="113" t="str">
        <f t="shared" si="10"/>
        <v>no</v>
      </c>
      <c r="AB12" s="115">
        <f t="shared" si="11"/>
        <v>0</v>
      </c>
      <c r="AC12" s="113">
        <f t="shared" si="35"/>
        <v>0</v>
      </c>
      <c r="AD12" s="116">
        <f t="shared" si="12"/>
        <v>0</v>
      </c>
      <c r="AE12" s="113">
        <f t="shared" si="13"/>
        <v>0</v>
      </c>
      <c r="AF12" s="116">
        <f t="shared" si="14"/>
        <v>0</v>
      </c>
      <c r="AG12" s="113">
        <f t="shared" si="15"/>
        <v>0</v>
      </c>
      <c r="AH12" s="113" t="str">
        <f t="shared" si="16"/>
        <v>no</v>
      </c>
      <c r="AI12" s="115">
        <f t="shared" si="17"/>
        <v>0</v>
      </c>
      <c r="AJ12" s="113">
        <f t="shared" si="36"/>
        <v>0</v>
      </c>
      <c r="AK12" s="116">
        <f t="shared" si="18"/>
        <v>0</v>
      </c>
      <c r="AL12" s="113">
        <f t="shared" si="19"/>
        <v>0</v>
      </c>
      <c r="AM12" s="115">
        <f t="shared" si="20"/>
        <v>0</v>
      </c>
      <c r="AN12" s="85">
        <f t="shared" si="21"/>
        <v>0</v>
      </c>
      <c r="AO12" s="113" t="str">
        <f t="shared" si="22"/>
        <v>yes</v>
      </c>
      <c r="AP12" s="115">
        <f t="shared" si="23"/>
        <v>0</v>
      </c>
      <c r="AQ12" s="113">
        <f t="shared" si="37"/>
        <v>0</v>
      </c>
      <c r="AR12" s="116">
        <f t="shared" si="24"/>
        <v>0.005579172025</v>
      </c>
      <c r="AS12" s="114">
        <f t="shared" si="25"/>
        <v>482.040463</v>
      </c>
      <c r="AT12" s="116">
        <f t="shared" si="26"/>
        <v>0.009000879686</v>
      </c>
      <c r="AU12" s="114">
        <f t="shared" si="27"/>
        <v>777.6760049</v>
      </c>
      <c r="AV12" s="113" t="str">
        <f t="shared" si="28"/>
        <v>no</v>
      </c>
      <c r="AW12" s="115">
        <f t="shared" si="29"/>
        <v>0</v>
      </c>
      <c r="AX12" s="85">
        <f t="shared" si="38"/>
        <v>0</v>
      </c>
      <c r="AY12" s="116">
        <f t="shared" si="30"/>
        <v>0</v>
      </c>
      <c r="AZ12" s="113">
        <f t="shared" si="31"/>
        <v>0</v>
      </c>
      <c r="BA12" s="116">
        <f t="shared" si="32"/>
        <v>0</v>
      </c>
      <c r="BB12" s="113">
        <f t="shared" si="33"/>
        <v>0</v>
      </c>
      <c r="BC12" s="112">
        <v>0.7014462176612218</v>
      </c>
      <c r="BD12" s="113" t="str">
        <f>ifs(BC12&lt;='Range Tables'!$G$81,'Range Tables'!$B$81,BC12&lt;='Range Tables'!$G$82,'Range Tables'!$B$82)</f>
        <v>Offline*</v>
      </c>
      <c r="BE12" s="112">
        <v>0.06771532633093169</v>
      </c>
      <c r="BF12" s="112" t="str">
        <f>ifs(BE12&lt;='Range Tables'!$G$95,'Range Tables'!$B$95,BE12&lt;='Range Tables'!$G$96,'Range Tables'!$B$96,BE12&lt;='Range Tables'!$G$97,'Range Tables'!$B$97,BE12&lt;='Range Tables'!$G$98,'Range Tables'!$B$98,BE12&lt;='Range Tables'!$G$99,'Range Tables'!$B$99,BE12&lt;='Range Tables'!$G$100,'Range Tables'!$B$100,BE12&lt;='Range Tables'!$G$101,'Range Tables'!$B$101,BE12&lt;='Range Tables'!$G$102,'Range Tables'!$B$102,BE12&lt;='Range Tables'!$G$103,'Range Tables'!$B$103)</f>
        <v>Jammu</v>
      </c>
      <c r="BG12" s="112">
        <v>0.8833386169829308</v>
      </c>
      <c r="BH12" s="113" t="str">
        <f>ifs(BG12&lt;='Range Tables'!$G$112,'Range Tables'!$B$112,BG12&lt;='Range Tables'!$G$113,'Range Tables'!$B$113,BG12&lt;='Range Tables'!$G$114,'Range Tables'!$B$114)</f>
        <v>1-5</v>
      </c>
      <c r="BI12" s="117">
        <v>0.24685126881659858</v>
      </c>
      <c r="BJ12" s="113" t="str">
        <f>ifs(BI12&lt;='Range Tables'!$G$118,'Range Tables'!$B$118,BI12&lt;='Range Tables'!$G$119,'Range Tables'!$B$119)</f>
        <v>Valid</v>
      </c>
    </row>
    <row r="13">
      <c r="A13" s="85">
        <v>10.0</v>
      </c>
      <c r="B13" s="112">
        <v>0.21132727725376987</v>
      </c>
      <c r="C13" s="113" t="str">
        <f>ifs(B13&lt;='Range Tables'!$G$54,'Range Tables'!$B$54,B13&lt;='Range Tables'!$G$55,'Range Tables'!$B$55,B13&lt;='Range Tables'!$G$56,'Range Tables'!$B$56,B13&lt;='Range Tables'!$G$57,'Range Tables'!$B$57,B13&lt;='Range Tables'!$G$58,'Range Tables'!$B$58,B13&lt;='Range Tables'!$G$59,'Range Tables'!$B$59,B13&lt;='Range Tables'!$G$60,'Range Tables'!$B$60,B13&lt;='Range Tables'!$G$61,'Range Tables'!$B$61,B13&lt;='Range Tables'!$G$63,'Range Tables'!$B$63,B13&lt;='Range Tables'!$G$64,'Range Tables'!$B$64,B13&lt;='Range Tables'!$G$66,'Range Tables'!$B$66)</f>
        <v>0 - 30</v>
      </c>
      <c r="D13" s="113">
        <f>IFERROR(__xludf.DUMMYFUNCTION("SPLIT(C13,""-"")"),0.0)</f>
        <v>0</v>
      </c>
      <c r="E13" s="113">
        <f>IFERROR(__xludf.DUMMYFUNCTION("""COMPUTED_VALUE"""),30.0)</f>
        <v>30</v>
      </c>
      <c r="F13" s="114">
        <f t="shared" si="1"/>
        <v>6.339818318</v>
      </c>
      <c r="G13" s="112">
        <v>0.525858323704182</v>
      </c>
      <c r="H13" s="113" t="str">
        <f>ifs(G13&lt;='Range Tables'!$G$86,'Range Tables'!$B$86,G13&lt;='Range Tables'!$G$87,'Range Tables'!$B$87,G13&lt;='Range Tables'!$G$88,'Range Tables'!$B$88,G13&lt;='Range Tables'!$G$89,'Range Tables'!$B$89,G13&lt;='Range Tables'!$G$90,'Range Tables'!$B$90,G13&lt;='Range Tables'!$G$91,'Range Tables'!$B$91)</f>
        <v>Bike</v>
      </c>
      <c r="I13" s="112">
        <v>0.5709653241716522</v>
      </c>
      <c r="J13" s="113" t="str">
        <f>IFS(
  H13="Car", IF(I13&lt;='Range Tables'!$G$19, 'Range Tables'!$B$19, 'Range Tables'!$B$20), 
  H13="Bike", IF(I13&lt;='Range Tables'!$G$25, 'Range Tables'!$B$25, 'Range Tables'!$B$26), 
  H13="Scooter", IF(I13&lt;='Range Tables'!$G$31, 'Range Tables'!$B$31, 'Range Tables'!$B$32), 
  H13="Auto", IF(I13&lt;='Range Tables'!$G$37, 'Range Tables'!$B$37, 'Range Tables'!$B$38), 
  H13="Carriers*", IF(I13&lt;='Range Tables'!$G$43, 'Range Tables'!$B$43, 'Range Tables'!$B$44), 
  H13="Van*", IF(I13&lt;='Range Tables'!$G$50, 'Range Tables'!$B$50, 'Range Tables'!$B$49)
)</f>
        <v>Petrol</v>
      </c>
      <c r="K13" s="112">
        <v>0.8804691565505153</v>
      </c>
      <c r="L13" s="113">
        <f>if(J13="Petrol",ifs(K13&lt;='Range Tables'!$G$5,'Range Tables'!$B$5,K13&lt;='Range Tables'!$G$6,'Range Tables'!$B$6,K13&lt;='Range Tables'!$G$7,'Range Tables'!$B$7),ifs(K13&lt;='Range Tables'!$G$13,'Range Tables'!$B$13,K13&lt;='Range Tables'!$G$14,'Range Tables'!$B$14))</f>
        <v>4</v>
      </c>
      <c r="M13" s="112">
        <v>0.22922019095520507</v>
      </c>
      <c r="N13" s="113" t="str">
        <f>ifs(H13="Car",ifs(M13&lt;='Range Tables'!$G$125,'Range Tables'!$B$125,M13&lt;='Range Tables'!$G$126,'Range Tables'!$B$126,M13&lt;='Range Tables'!$G$127,'Range Tables'!$B$127,M13&lt;='Range Tables'!$G$128,'Range Tables'!$B$128,M13&lt;='Range Tables'!$G$129,'Range Tables'!$B$129,'Range Tables'!$G$131,'Range Tables'!$B$131),H13="Bike",ifs(M13&lt;='Range Tables'!$G$136,'Range Tables'!$B$136,M13&lt;='Range Tables'!$G$137,'Range Tables'!$B$137,M13&lt;='Range Tables'!$G$138,'Range Tables'!$B$138,M13&lt;='Range Tables'!$G$142,'Range Tables'!$B$142),H13="Scooter",ifs(M13&lt;='Range Tables'!$G$148,'Range Tables'!$B$148,M13&lt;='Range Tables'!$G$149,'Range Tables'!$B$149,M13&lt;='Range Tables'!$G$150,'Range Tables'!$B$150,M13&lt;='Range Tables'!$G$151,'Range Tables'!$B$151),H13="Auto",ifs(M13&lt;='Range Tables'!$G$161,'Range Tables'!$B$161,M13&lt;='Range Tables'!$G$162,'Range Tables'!$B$162,M13&lt;='Range Tables'!$G$163,'Range Tables'!$B$163,M13&lt;='Range Tables'!$G$164,'Range Tables'!$B$164),H13="Carriers*",ifs(M13&lt;='Range Tables'!$G$173,'Range Tables'!$B$173,M13&lt;='Range Tables'!$G$174,'Range Tables'!$B$174,M13&lt;='Range Tables'!$G$175,'Range Tables'!$B$175,M13&lt;='Range Tables'!$G$176,'Range Tables'!$B$176,M13&lt;='Range Tables'!$G$177,'Range Tables'!$B$177,M13&lt;='Range Tables'!$G$179,'Range Tables'!$B$179),H13="Van*",ifs(M13&lt;='Range Tables'!$G$186,'Range Tables'!$B$186))</f>
        <v>60 - 120</v>
      </c>
      <c r="O13" s="113">
        <f>IFERROR(__xludf.DUMMYFUNCTION("SPLIT(N13,""-"")"),60.0)</f>
        <v>60</v>
      </c>
      <c r="P13" s="113">
        <f>IFERROR(__xludf.DUMMYFUNCTION("""COMPUTED_VALUE"""),120.0)</f>
        <v>120</v>
      </c>
      <c r="Q13" s="114">
        <f t="shared" si="2"/>
        <v>73.75321146</v>
      </c>
      <c r="R13" s="115">
        <f t="shared" si="3"/>
        <v>0.006090945031</v>
      </c>
      <c r="S13" s="114">
        <f t="shared" si="39"/>
        <v>526.2576506</v>
      </c>
      <c r="T13" s="113" t="str">
        <f t="shared" si="4"/>
        <v>no</v>
      </c>
      <c r="U13" s="115">
        <f t="shared" si="5"/>
        <v>0</v>
      </c>
      <c r="V13" s="113">
        <f t="shared" si="34"/>
        <v>0</v>
      </c>
      <c r="W13" s="115">
        <f t="shared" si="6"/>
        <v>0</v>
      </c>
      <c r="X13" s="85">
        <f t="shared" si="7"/>
        <v>0</v>
      </c>
      <c r="Y13" s="116">
        <f t="shared" si="8"/>
        <v>0</v>
      </c>
      <c r="Z13" s="113">
        <f t="shared" si="9"/>
        <v>0</v>
      </c>
      <c r="AA13" s="113" t="str">
        <f t="shared" si="10"/>
        <v>no</v>
      </c>
      <c r="AB13" s="115">
        <f t="shared" si="11"/>
        <v>0</v>
      </c>
      <c r="AC13" s="113">
        <f t="shared" si="35"/>
        <v>0</v>
      </c>
      <c r="AD13" s="116">
        <f t="shared" si="12"/>
        <v>0</v>
      </c>
      <c r="AE13" s="113">
        <f t="shared" si="13"/>
        <v>0</v>
      </c>
      <c r="AF13" s="116">
        <f t="shared" si="14"/>
        <v>0</v>
      </c>
      <c r="AG13" s="113">
        <f t="shared" si="15"/>
        <v>0</v>
      </c>
      <c r="AH13" s="113" t="str">
        <f t="shared" si="16"/>
        <v>no</v>
      </c>
      <c r="AI13" s="115">
        <f t="shared" si="17"/>
        <v>0</v>
      </c>
      <c r="AJ13" s="113">
        <f t="shared" si="36"/>
        <v>0</v>
      </c>
      <c r="AK13" s="116">
        <f t="shared" si="18"/>
        <v>0</v>
      </c>
      <c r="AL13" s="113">
        <f t="shared" si="19"/>
        <v>0</v>
      </c>
      <c r="AM13" s="115">
        <f t="shared" si="20"/>
        <v>0</v>
      </c>
      <c r="AN13" s="85">
        <f t="shared" si="21"/>
        <v>0</v>
      </c>
      <c r="AO13" s="113" t="str">
        <f t="shared" si="22"/>
        <v>yes</v>
      </c>
      <c r="AP13" s="115">
        <f t="shared" si="23"/>
        <v>0.002909934656</v>
      </c>
      <c r="AQ13" s="114">
        <f t="shared" si="37"/>
        <v>251.4183543</v>
      </c>
      <c r="AR13" s="116">
        <f t="shared" si="24"/>
        <v>0.009000879686</v>
      </c>
      <c r="AS13" s="114">
        <f t="shared" si="25"/>
        <v>777.6760049</v>
      </c>
      <c r="AT13" s="116">
        <f t="shared" si="26"/>
        <v>0.009854504819</v>
      </c>
      <c r="AU13" s="114">
        <f t="shared" si="27"/>
        <v>851.4292164</v>
      </c>
      <c r="AV13" s="113" t="str">
        <f t="shared" si="28"/>
        <v>no</v>
      </c>
      <c r="AW13" s="115">
        <f t="shared" si="29"/>
        <v>0</v>
      </c>
      <c r="AX13" s="85">
        <f t="shared" si="38"/>
        <v>0</v>
      </c>
      <c r="AY13" s="116">
        <f t="shared" si="30"/>
        <v>0</v>
      </c>
      <c r="AZ13" s="113">
        <f t="shared" si="31"/>
        <v>0</v>
      </c>
      <c r="BA13" s="116">
        <f t="shared" si="32"/>
        <v>0</v>
      </c>
      <c r="BB13" s="113">
        <f t="shared" si="33"/>
        <v>0</v>
      </c>
      <c r="BC13" s="112">
        <v>0.30917900936184084</v>
      </c>
      <c r="BD13" s="113" t="str">
        <f>ifs(BC13&lt;='Range Tables'!$G$81,'Range Tables'!$B$81,BC13&lt;='Range Tables'!$G$82,'Range Tables'!$B$82)</f>
        <v>Online*</v>
      </c>
      <c r="BE13" s="112">
        <v>0.16455802596192548</v>
      </c>
      <c r="BF13" s="112" t="str">
        <f>ifs(BE13&lt;='Range Tables'!$G$95,'Range Tables'!$B$95,BE13&lt;='Range Tables'!$G$96,'Range Tables'!$B$96,BE13&lt;='Range Tables'!$G$97,'Range Tables'!$B$97,BE13&lt;='Range Tables'!$G$98,'Range Tables'!$B$98,BE13&lt;='Range Tables'!$G$99,'Range Tables'!$B$99,BE13&lt;='Range Tables'!$G$100,'Range Tables'!$B$100,BE13&lt;='Range Tables'!$G$101,'Range Tables'!$B$101,BE13&lt;='Range Tables'!$G$102,'Range Tables'!$B$102,BE13&lt;='Range Tables'!$G$103,'Range Tables'!$B$103)</f>
        <v>Jammu</v>
      </c>
      <c r="BG13" s="112">
        <v>0.16002519145358274</v>
      </c>
      <c r="BH13" s="113" t="str">
        <f>ifs(BG13&lt;='Range Tables'!$G$112,'Range Tables'!$B$112,BG13&lt;='Range Tables'!$G$113,'Range Tables'!$B$113,BG13&lt;='Range Tables'!$G$114,'Range Tables'!$B$114)</f>
        <v>0</v>
      </c>
      <c r="BI13" s="117">
        <v>0.12038643072142852</v>
      </c>
      <c r="BJ13" s="113" t="str">
        <f>ifs(BI13&lt;='Range Tables'!$G$118,'Range Tables'!$B$118,BI13&lt;='Range Tables'!$G$119,'Range Tables'!$B$119)</f>
        <v>Valid</v>
      </c>
    </row>
    <row r="14">
      <c r="A14" s="85">
        <v>11.0</v>
      </c>
      <c r="B14" s="112">
        <v>0.25384686892256025</v>
      </c>
      <c r="C14" s="113" t="str">
        <f>ifs(B14&lt;='Range Tables'!$G$54,'Range Tables'!$B$54,B14&lt;='Range Tables'!$G$55,'Range Tables'!$B$55,B14&lt;='Range Tables'!$G$56,'Range Tables'!$B$56,B14&lt;='Range Tables'!$G$57,'Range Tables'!$B$57,B14&lt;='Range Tables'!$G$58,'Range Tables'!$B$58,B14&lt;='Range Tables'!$G$59,'Range Tables'!$B$59,B14&lt;='Range Tables'!$G$60,'Range Tables'!$B$60,B14&lt;='Range Tables'!$G$61,'Range Tables'!$B$61,B14&lt;='Range Tables'!$G$63,'Range Tables'!$B$63,B14&lt;='Range Tables'!$G$64,'Range Tables'!$B$64,B14&lt;='Range Tables'!$G$66,'Range Tables'!$B$66)</f>
        <v>0 - 30</v>
      </c>
      <c r="D14" s="113">
        <f>IFERROR(__xludf.DUMMYFUNCTION("SPLIT(C14,""-"")"),0.0)</f>
        <v>0</v>
      </c>
      <c r="E14" s="113">
        <f>IFERROR(__xludf.DUMMYFUNCTION("""COMPUTED_VALUE"""),30.0)</f>
        <v>30</v>
      </c>
      <c r="F14" s="114">
        <f t="shared" si="1"/>
        <v>7.615406068</v>
      </c>
      <c r="G14" s="112">
        <v>0.3051593069396643</v>
      </c>
      <c r="H14" s="113" t="str">
        <f>ifs(G14&lt;='Range Tables'!$G$86,'Range Tables'!$B$86,G14&lt;='Range Tables'!$G$87,'Range Tables'!$B$87,G14&lt;='Range Tables'!$G$88,'Range Tables'!$B$88,G14&lt;='Range Tables'!$G$89,'Range Tables'!$B$89,G14&lt;='Range Tables'!$G$90,'Range Tables'!$B$90,G14&lt;='Range Tables'!$G$91,'Range Tables'!$B$91)</f>
        <v>Car</v>
      </c>
      <c r="I14" s="112">
        <v>0.6198956788542018</v>
      </c>
      <c r="J14" s="113" t="str">
        <f>IFS(
  H14="Car", IF(I14&lt;='Range Tables'!$G$19, 'Range Tables'!$B$19, 'Range Tables'!$B$20), 
  H14="Bike", IF(I14&lt;='Range Tables'!$G$25, 'Range Tables'!$B$25, 'Range Tables'!$B$26), 
  H14="Scooter", IF(I14&lt;='Range Tables'!$G$31, 'Range Tables'!$B$31, 'Range Tables'!$B$32), 
  H14="Auto", IF(I14&lt;='Range Tables'!$G$37, 'Range Tables'!$B$37, 'Range Tables'!$B$38), 
  H14="Carriers*", IF(I14&lt;='Range Tables'!$G$43, 'Range Tables'!$B$43, 'Range Tables'!$B$44), 
  H14="Van*", IF(I14&lt;='Range Tables'!$G$50, 'Range Tables'!$B$50, 'Range Tables'!$B$49)
)</f>
        <v>Petrol</v>
      </c>
      <c r="K14" s="112">
        <v>0.8833506402322907</v>
      </c>
      <c r="L14" s="113">
        <f>if(J14="Petrol",ifs(K14&lt;='Range Tables'!$G$5,'Range Tables'!$B$5,K14&lt;='Range Tables'!$G$6,'Range Tables'!$B$6,K14&lt;='Range Tables'!$G$7,'Range Tables'!$B$7),ifs(K14&lt;='Range Tables'!$G$13,'Range Tables'!$B$13,K14&lt;='Range Tables'!$G$14,'Range Tables'!$B$14))</f>
        <v>4</v>
      </c>
      <c r="M14" s="112">
        <v>0.06896137859760076</v>
      </c>
      <c r="N14" s="113" t="str">
        <f>ifs(H14="Car",ifs(M14&lt;='Range Tables'!$G$125,'Range Tables'!$B$125,M14&lt;='Range Tables'!$G$126,'Range Tables'!$B$126,M14&lt;='Range Tables'!$G$127,'Range Tables'!$B$127,M14&lt;='Range Tables'!$G$128,'Range Tables'!$B$128,M14&lt;='Range Tables'!$G$129,'Range Tables'!$B$129,'Range Tables'!$G$131,'Range Tables'!$B$131),H14="Bike",ifs(M14&lt;='Range Tables'!$G$136,'Range Tables'!$B$136,M14&lt;='Range Tables'!$G$137,'Range Tables'!$B$137,M14&lt;='Range Tables'!$G$138,'Range Tables'!$B$138,M14&lt;='Range Tables'!$G$142,'Range Tables'!$B$142),H14="Scooter",ifs(M14&lt;='Range Tables'!$G$148,'Range Tables'!$B$148,M14&lt;='Range Tables'!$G$149,'Range Tables'!$B$149,M14&lt;='Range Tables'!$G$150,'Range Tables'!$B$150,M14&lt;='Range Tables'!$G$151,'Range Tables'!$B$151),H14="Auto",ifs(M14&lt;='Range Tables'!$G$161,'Range Tables'!$B$161,M14&lt;='Range Tables'!$G$162,'Range Tables'!$B$162,M14&lt;='Range Tables'!$G$163,'Range Tables'!$B$163,M14&lt;='Range Tables'!$G$164,'Range Tables'!$B$164),H14="Carriers*",ifs(M14&lt;='Range Tables'!$G$173,'Range Tables'!$B$173,M14&lt;='Range Tables'!$G$174,'Range Tables'!$B$174,M14&lt;='Range Tables'!$G$175,'Range Tables'!$B$175,M14&lt;='Range Tables'!$G$176,'Range Tables'!$B$176,M14&lt;='Range Tables'!$G$177,'Range Tables'!$B$177,M14&lt;='Range Tables'!$G$179,'Range Tables'!$B$179),H14="Van*",ifs(M14&lt;='Range Tables'!$G$186,'Range Tables'!$B$186))</f>
        <v>60 - 120</v>
      </c>
      <c r="O14" s="113">
        <f>IFERROR(__xludf.DUMMYFUNCTION("SPLIT(N14,""-"")"),60.0)</f>
        <v>60</v>
      </c>
      <c r="P14" s="113">
        <f>IFERROR(__xludf.DUMMYFUNCTION("""COMPUTED_VALUE"""),120.0)</f>
        <v>120</v>
      </c>
      <c r="Q14" s="114">
        <f t="shared" si="2"/>
        <v>64.13768272</v>
      </c>
      <c r="R14" s="115">
        <f t="shared" si="3"/>
        <v>0.006164322557</v>
      </c>
      <c r="S14" s="114">
        <f t="shared" si="39"/>
        <v>532.597469</v>
      </c>
      <c r="T14" s="113" t="str">
        <f t="shared" si="4"/>
        <v>no</v>
      </c>
      <c r="U14" s="115">
        <f t="shared" si="5"/>
        <v>0</v>
      </c>
      <c r="V14" s="113">
        <f t="shared" si="34"/>
        <v>0</v>
      </c>
      <c r="W14" s="115">
        <f t="shared" si="6"/>
        <v>0</v>
      </c>
      <c r="X14" s="85">
        <f t="shared" si="7"/>
        <v>0</v>
      </c>
      <c r="Y14" s="116">
        <f t="shared" si="8"/>
        <v>0</v>
      </c>
      <c r="Z14" s="113">
        <f t="shared" si="9"/>
        <v>0</v>
      </c>
      <c r="AA14" s="113" t="str">
        <f t="shared" si="10"/>
        <v>no</v>
      </c>
      <c r="AB14" s="115">
        <f t="shared" si="11"/>
        <v>0</v>
      </c>
      <c r="AC14" s="113">
        <f t="shared" si="35"/>
        <v>0</v>
      </c>
      <c r="AD14" s="116">
        <f t="shared" si="12"/>
        <v>0</v>
      </c>
      <c r="AE14" s="113">
        <f t="shared" si="13"/>
        <v>0</v>
      </c>
      <c r="AF14" s="116">
        <f t="shared" si="14"/>
        <v>0</v>
      </c>
      <c r="AG14" s="113">
        <f t="shared" si="15"/>
        <v>0</v>
      </c>
      <c r="AH14" s="113" t="str">
        <f t="shared" si="16"/>
        <v>no</v>
      </c>
      <c r="AI14" s="115">
        <f t="shared" si="17"/>
        <v>0</v>
      </c>
      <c r="AJ14" s="113">
        <f t="shared" si="36"/>
        <v>0</v>
      </c>
      <c r="AK14" s="116">
        <f t="shared" si="18"/>
        <v>0</v>
      </c>
      <c r="AL14" s="113">
        <f t="shared" si="19"/>
        <v>0</v>
      </c>
      <c r="AM14" s="115">
        <f t="shared" si="20"/>
        <v>0</v>
      </c>
      <c r="AN14" s="85">
        <f t="shared" si="21"/>
        <v>0</v>
      </c>
      <c r="AO14" s="113" t="str">
        <f t="shared" si="22"/>
        <v>yes</v>
      </c>
      <c r="AP14" s="115">
        <f t="shared" si="23"/>
        <v>0.003690182262</v>
      </c>
      <c r="AQ14" s="114">
        <f t="shared" si="37"/>
        <v>318.8317474</v>
      </c>
      <c r="AR14" s="116">
        <f t="shared" si="24"/>
        <v>0.009854504819</v>
      </c>
      <c r="AS14" s="114">
        <f t="shared" si="25"/>
        <v>851.4292164</v>
      </c>
      <c r="AT14" s="116">
        <f t="shared" si="26"/>
        <v>0.01059683911</v>
      </c>
      <c r="AU14" s="114">
        <f t="shared" si="27"/>
        <v>915.5668991</v>
      </c>
      <c r="AV14" s="113" t="str">
        <f t="shared" si="28"/>
        <v>no</v>
      </c>
      <c r="AW14" s="115">
        <f t="shared" si="29"/>
        <v>0</v>
      </c>
      <c r="AX14" s="85">
        <f t="shared" si="38"/>
        <v>0</v>
      </c>
      <c r="AY14" s="116">
        <f t="shared" si="30"/>
        <v>0</v>
      </c>
      <c r="AZ14" s="113">
        <f t="shared" si="31"/>
        <v>0</v>
      </c>
      <c r="BA14" s="116">
        <f t="shared" si="32"/>
        <v>0</v>
      </c>
      <c r="BB14" s="113">
        <f t="shared" si="33"/>
        <v>0</v>
      </c>
      <c r="BC14" s="112">
        <v>0.16563032137010136</v>
      </c>
      <c r="BD14" s="113" t="str">
        <f>ifs(BC14&lt;='Range Tables'!$G$81,'Range Tables'!$B$81,BC14&lt;='Range Tables'!$G$82,'Range Tables'!$B$82)</f>
        <v>Online*</v>
      </c>
      <c r="BE14" s="112">
        <v>0.707254062366333</v>
      </c>
      <c r="BF14" s="112" t="str">
        <f>ifs(BE14&lt;='Range Tables'!$G$95,'Range Tables'!$B$95,BE14&lt;='Range Tables'!$G$96,'Range Tables'!$B$96,BE14&lt;='Range Tables'!$G$97,'Range Tables'!$B$97,BE14&lt;='Range Tables'!$G$98,'Range Tables'!$B$98,BE14&lt;='Range Tables'!$G$99,'Range Tables'!$B$99,BE14&lt;='Range Tables'!$G$100,'Range Tables'!$B$100,BE14&lt;='Range Tables'!$G$101,'Range Tables'!$B$101,BE14&lt;='Range Tables'!$G$102,'Range Tables'!$B$102,BE14&lt;='Range Tables'!$G$103,'Range Tables'!$B$103)</f>
        <v>Jammu</v>
      </c>
      <c r="BG14" s="112">
        <v>0.32374319566687415</v>
      </c>
      <c r="BH14" s="113" t="str">
        <f>ifs(BG14&lt;='Range Tables'!$G$112,'Range Tables'!$B$112,BG14&lt;='Range Tables'!$G$113,'Range Tables'!$B$113,BG14&lt;='Range Tables'!$G$114,'Range Tables'!$B$114)</f>
        <v>0</v>
      </c>
      <c r="BI14" s="117">
        <v>0.4130223455001666</v>
      </c>
      <c r="BJ14" s="113" t="str">
        <f>ifs(BI14&lt;='Range Tables'!$G$118,'Range Tables'!$B$118,BI14&lt;='Range Tables'!$G$119,'Range Tables'!$B$119)</f>
        <v>Valid</v>
      </c>
    </row>
    <row r="15">
      <c r="A15" s="85">
        <v>12.0</v>
      </c>
      <c r="B15" s="112">
        <v>0.5218473434580777</v>
      </c>
      <c r="C15" s="113" t="str">
        <f>ifs(B15&lt;='Range Tables'!$G$54,'Range Tables'!$B$54,B15&lt;='Range Tables'!$G$55,'Range Tables'!$B$55,B15&lt;='Range Tables'!$G$56,'Range Tables'!$B$56,B15&lt;='Range Tables'!$G$57,'Range Tables'!$B$57,B15&lt;='Range Tables'!$G$58,'Range Tables'!$B$58,B15&lt;='Range Tables'!$G$59,'Range Tables'!$B$59,B15&lt;='Range Tables'!$G$60,'Range Tables'!$B$60,B15&lt;='Range Tables'!$G$61,'Range Tables'!$B$61,B15&lt;='Range Tables'!$G$63,'Range Tables'!$B$63,B15&lt;='Range Tables'!$G$64,'Range Tables'!$B$64,B15&lt;='Range Tables'!$G$66,'Range Tables'!$B$66)</f>
        <v>30 - 60 </v>
      </c>
      <c r="D15" s="113">
        <f>IFERROR(__xludf.DUMMYFUNCTION("SPLIT(C15,""-"")"),30.0)</f>
        <v>30</v>
      </c>
      <c r="E15" s="113">
        <f>IFERROR(__xludf.DUMMYFUNCTION("""COMPUTED_VALUE"""),60.0)</f>
        <v>60</v>
      </c>
      <c r="F15" s="114">
        <f t="shared" si="1"/>
        <v>45.6554203</v>
      </c>
      <c r="G15" s="112">
        <v>0.03983067254295558</v>
      </c>
      <c r="H15" s="113" t="str">
        <f>ifs(G15&lt;='Range Tables'!$G$86,'Range Tables'!$B$86,G15&lt;='Range Tables'!$G$87,'Range Tables'!$B$87,G15&lt;='Range Tables'!$G$88,'Range Tables'!$B$88,G15&lt;='Range Tables'!$G$89,'Range Tables'!$B$89,G15&lt;='Range Tables'!$G$90,'Range Tables'!$B$90,G15&lt;='Range Tables'!$G$91,'Range Tables'!$B$91)</f>
        <v>Car</v>
      </c>
      <c r="I15" s="112">
        <v>0.5695098902541234</v>
      </c>
      <c r="J15" s="113" t="str">
        <f>IFS(
  H15="Car", IF(I15&lt;='Range Tables'!$G$19, 'Range Tables'!$B$19, 'Range Tables'!$B$20), 
  H15="Bike", IF(I15&lt;='Range Tables'!$G$25, 'Range Tables'!$B$25, 'Range Tables'!$B$26), 
  H15="Scooter", IF(I15&lt;='Range Tables'!$G$31, 'Range Tables'!$B$31, 'Range Tables'!$B$32), 
  H15="Auto", IF(I15&lt;='Range Tables'!$G$37, 'Range Tables'!$B$37, 'Range Tables'!$B$38), 
  H15="Carriers*", IF(I15&lt;='Range Tables'!$G$43, 'Range Tables'!$B$43, 'Range Tables'!$B$44), 
  H15="Van*", IF(I15&lt;='Range Tables'!$G$50, 'Range Tables'!$B$50, 'Range Tables'!$B$49)
)</f>
        <v>Petrol</v>
      </c>
      <c r="K15" s="112">
        <v>0.8273119757097455</v>
      </c>
      <c r="L15" s="113">
        <f>if(J15="Petrol",ifs(K15&lt;='Range Tables'!$G$5,'Range Tables'!$B$5,K15&lt;='Range Tables'!$G$6,'Range Tables'!$B$6,K15&lt;='Range Tables'!$G$7,'Range Tables'!$B$7),ifs(K15&lt;='Range Tables'!$G$13,'Range Tables'!$B$13,K15&lt;='Range Tables'!$G$14,'Range Tables'!$B$14))</f>
        <v>3</v>
      </c>
      <c r="M15" s="112">
        <v>0.3666617492995228</v>
      </c>
      <c r="N15" s="113" t="str">
        <f>ifs(H15="Car",ifs(M15&lt;='Range Tables'!$G$125,'Range Tables'!$B$125,M15&lt;='Range Tables'!$G$126,'Range Tables'!$B$126,M15&lt;='Range Tables'!$G$127,'Range Tables'!$B$127,M15&lt;='Range Tables'!$G$128,'Range Tables'!$B$128,M15&lt;='Range Tables'!$G$129,'Range Tables'!$B$129,'Range Tables'!$G$131,'Range Tables'!$B$131),H15="Bike",ifs(M15&lt;='Range Tables'!$G$136,'Range Tables'!$B$136,M15&lt;='Range Tables'!$G$137,'Range Tables'!$B$137,M15&lt;='Range Tables'!$G$138,'Range Tables'!$B$138,M15&lt;='Range Tables'!$G$142,'Range Tables'!$B$142),H15="Scooter",ifs(M15&lt;='Range Tables'!$G$148,'Range Tables'!$B$148,M15&lt;='Range Tables'!$G$149,'Range Tables'!$B$149,M15&lt;='Range Tables'!$G$150,'Range Tables'!$B$150,M15&lt;='Range Tables'!$G$151,'Range Tables'!$B$151),H15="Auto",ifs(M15&lt;='Range Tables'!$G$161,'Range Tables'!$B$161,M15&lt;='Range Tables'!$G$162,'Range Tables'!$B$162,M15&lt;='Range Tables'!$G$163,'Range Tables'!$B$163,M15&lt;='Range Tables'!$G$164,'Range Tables'!$B$164),H15="Carriers*",ifs(M15&lt;='Range Tables'!$G$173,'Range Tables'!$B$173,M15&lt;='Range Tables'!$G$174,'Range Tables'!$B$174,M15&lt;='Range Tables'!$G$175,'Range Tables'!$B$175,M15&lt;='Range Tables'!$G$176,'Range Tables'!$B$176,M15&lt;='Range Tables'!$G$177,'Range Tables'!$B$177,M15&lt;='Range Tables'!$G$179,'Range Tables'!$B$179),H15="Van*",ifs(M15&lt;='Range Tables'!$G$186,'Range Tables'!$B$186))</f>
        <v>60 - 120</v>
      </c>
      <c r="O15" s="113">
        <f>IFERROR(__xludf.DUMMYFUNCTION("SPLIT(N15,""-"")"),60.0)</f>
        <v>60</v>
      </c>
      <c r="P15" s="113">
        <f>IFERROR(__xludf.DUMMYFUNCTION("""COMPUTED_VALUE"""),120.0)</f>
        <v>120</v>
      </c>
      <c r="Q15" s="114">
        <f t="shared" si="2"/>
        <v>81.99970496</v>
      </c>
      <c r="R15" s="115">
        <f t="shared" si="3"/>
        <v>0.006252463831</v>
      </c>
      <c r="S15" s="114">
        <f t="shared" si="39"/>
        <v>540.212875</v>
      </c>
      <c r="T15" s="113" t="str">
        <f t="shared" si="4"/>
        <v>no</v>
      </c>
      <c r="U15" s="115">
        <f t="shared" si="5"/>
        <v>0</v>
      </c>
      <c r="V15" s="113">
        <f t="shared" si="34"/>
        <v>0</v>
      </c>
      <c r="W15" s="115">
        <f t="shared" si="6"/>
        <v>0</v>
      </c>
      <c r="X15" s="85">
        <f t="shared" si="7"/>
        <v>0</v>
      </c>
      <c r="Y15" s="116">
        <f t="shared" si="8"/>
        <v>0</v>
      </c>
      <c r="Z15" s="113">
        <f t="shared" si="9"/>
        <v>0</v>
      </c>
      <c r="AA15" s="113" t="str">
        <f t="shared" si="10"/>
        <v>no</v>
      </c>
      <c r="AB15" s="115">
        <f t="shared" si="11"/>
        <v>0</v>
      </c>
      <c r="AC15" s="113">
        <f t="shared" si="35"/>
        <v>0</v>
      </c>
      <c r="AD15" s="116">
        <f t="shared" si="12"/>
        <v>0</v>
      </c>
      <c r="AE15" s="113">
        <f t="shared" si="13"/>
        <v>0</v>
      </c>
      <c r="AF15" s="116">
        <f t="shared" si="14"/>
        <v>0</v>
      </c>
      <c r="AG15" s="113">
        <f t="shared" si="15"/>
        <v>0</v>
      </c>
      <c r="AH15" s="113" t="str">
        <f t="shared" si="16"/>
        <v>yes</v>
      </c>
      <c r="AI15" s="115">
        <f t="shared" si="17"/>
        <v>0</v>
      </c>
      <c r="AJ15" s="113">
        <f t="shared" si="36"/>
        <v>0</v>
      </c>
      <c r="AK15" s="116">
        <f t="shared" si="18"/>
        <v>0.006252463831</v>
      </c>
      <c r="AL15" s="114">
        <f t="shared" si="19"/>
        <v>540.212875</v>
      </c>
      <c r="AM15" s="115">
        <f t="shared" si="20"/>
        <v>0.00720153449</v>
      </c>
      <c r="AN15" s="118">
        <f t="shared" si="21"/>
        <v>622.21258</v>
      </c>
      <c r="AO15" s="113" t="str">
        <f t="shared" si="22"/>
        <v>no</v>
      </c>
      <c r="AP15" s="115">
        <f t="shared" si="23"/>
        <v>0</v>
      </c>
      <c r="AQ15" s="113">
        <f t="shared" si="37"/>
        <v>0</v>
      </c>
      <c r="AR15" s="116">
        <f t="shared" si="24"/>
        <v>0</v>
      </c>
      <c r="AS15" s="113">
        <f t="shared" si="25"/>
        <v>0</v>
      </c>
      <c r="AT15" s="116">
        <f t="shared" si="26"/>
        <v>0</v>
      </c>
      <c r="AU15" s="113">
        <f t="shared" si="27"/>
        <v>0</v>
      </c>
      <c r="AV15" s="113" t="str">
        <f t="shared" si="28"/>
        <v>no</v>
      </c>
      <c r="AW15" s="115">
        <f t="shared" si="29"/>
        <v>0</v>
      </c>
      <c r="AX15" s="85">
        <f t="shared" si="38"/>
        <v>0</v>
      </c>
      <c r="AY15" s="116">
        <f t="shared" si="30"/>
        <v>0</v>
      </c>
      <c r="AZ15" s="113">
        <f t="shared" si="31"/>
        <v>0</v>
      </c>
      <c r="BA15" s="116">
        <f t="shared" si="32"/>
        <v>0</v>
      </c>
      <c r="BB15" s="113">
        <f t="shared" si="33"/>
        <v>0</v>
      </c>
      <c r="BC15" s="112">
        <v>0.6780842759665565</v>
      </c>
      <c r="BD15" s="113" t="str">
        <f>ifs(BC15&lt;='Range Tables'!$G$81,'Range Tables'!$B$81,BC15&lt;='Range Tables'!$G$82,'Range Tables'!$B$82)</f>
        <v>Offline*</v>
      </c>
      <c r="BE15" s="112">
        <v>0.64361614371995</v>
      </c>
      <c r="BF15" s="112" t="str">
        <f>ifs(BE15&lt;='Range Tables'!$G$95,'Range Tables'!$B$95,BE15&lt;='Range Tables'!$G$96,'Range Tables'!$B$96,BE15&lt;='Range Tables'!$G$97,'Range Tables'!$B$97,BE15&lt;='Range Tables'!$G$98,'Range Tables'!$B$98,BE15&lt;='Range Tables'!$G$99,'Range Tables'!$B$99,BE15&lt;='Range Tables'!$G$100,'Range Tables'!$B$100,BE15&lt;='Range Tables'!$G$101,'Range Tables'!$B$101,BE15&lt;='Range Tables'!$G$102,'Range Tables'!$B$102,BE15&lt;='Range Tables'!$G$103,'Range Tables'!$B$103)</f>
        <v>Jammu</v>
      </c>
      <c r="BG15" s="112">
        <v>0.9138351438355659</v>
      </c>
      <c r="BH15" s="113" t="str">
        <f>ifs(BG15&lt;='Range Tables'!$G$112,'Range Tables'!$B$112,BG15&lt;='Range Tables'!$G$113,'Range Tables'!$B$113,BG15&lt;='Range Tables'!$G$114,'Range Tables'!$B$114)</f>
        <v>1-5</v>
      </c>
      <c r="BI15" s="117">
        <v>0.1377498323290055</v>
      </c>
      <c r="BJ15" s="113" t="str">
        <f>ifs(BI15&lt;='Range Tables'!$G$118,'Range Tables'!$B$118,BI15&lt;='Range Tables'!$G$119,'Range Tables'!$B$119)</f>
        <v>Valid</v>
      </c>
    </row>
    <row r="16">
      <c r="A16" s="85">
        <v>13.0</v>
      </c>
      <c r="B16" s="112">
        <v>0.14680998247494104</v>
      </c>
      <c r="C16" s="113" t="str">
        <f>ifs(B16&lt;='Range Tables'!$G$54,'Range Tables'!$B$54,B16&lt;='Range Tables'!$G$55,'Range Tables'!$B$55,B16&lt;='Range Tables'!$G$56,'Range Tables'!$B$56,B16&lt;='Range Tables'!$G$57,'Range Tables'!$B$57,B16&lt;='Range Tables'!$G$58,'Range Tables'!$B$58,B16&lt;='Range Tables'!$G$59,'Range Tables'!$B$59,B16&lt;='Range Tables'!$G$60,'Range Tables'!$B$60,B16&lt;='Range Tables'!$G$61,'Range Tables'!$B$61,B16&lt;='Range Tables'!$G$63,'Range Tables'!$B$63,B16&lt;='Range Tables'!$G$64,'Range Tables'!$B$64,B16&lt;='Range Tables'!$G$66,'Range Tables'!$B$66)</f>
        <v>0 - 30</v>
      </c>
      <c r="D16" s="113">
        <f>IFERROR(__xludf.DUMMYFUNCTION("SPLIT(C16,""-"")"),0.0)</f>
        <v>0</v>
      </c>
      <c r="E16" s="113">
        <f>IFERROR(__xludf.DUMMYFUNCTION("""COMPUTED_VALUE"""),30.0)</f>
        <v>30</v>
      </c>
      <c r="F16" s="114">
        <f t="shared" si="1"/>
        <v>4.404299474</v>
      </c>
      <c r="G16" s="112">
        <v>0.5068738640193979</v>
      </c>
      <c r="H16" s="113" t="str">
        <f>ifs(G16&lt;='Range Tables'!$G$86,'Range Tables'!$B$86,G16&lt;='Range Tables'!$G$87,'Range Tables'!$B$87,G16&lt;='Range Tables'!$G$88,'Range Tables'!$B$88,G16&lt;='Range Tables'!$G$89,'Range Tables'!$B$89,G16&lt;='Range Tables'!$G$90,'Range Tables'!$B$90,G16&lt;='Range Tables'!$G$91,'Range Tables'!$B$91)</f>
        <v>Bike</v>
      </c>
      <c r="I16" s="112">
        <v>0.36049213915246425</v>
      </c>
      <c r="J16" s="113" t="str">
        <f>IFS(
  H16="Car", IF(I16&lt;='Range Tables'!$G$19, 'Range Tables'!$B$19, 'Range Tables'!$B$20), 
  H16="Bike", IF(I16&lt;='Range Tables'!$G$25, 'Range Tables'!$B$25, 'Range Tables'!$B$26), 
  H16="Scooter", IF(I16&lt;='Range Tables'!$G$31, 'Range Tables'!$B$31, 'Range Tables'!$B$32), 
  H16="Auto", IF(I16&lt;='Range Tables'!$G$37, 'Range Tables'!$B$37, 'Range Tables'!$B$38), 
  H16="Carriers*", IF(I16&lt;='Range Tables'!$G$43, 'Range Tables'!$B$43, 'Range Tables'!$B$44), 
  H16="Van*", IF(I16&lt;='Range Tables'!$G$50, 'Range Tables'!$B$50, 'Range Tables'!$B$49)
)</f>
        <v>Petrol</v>
      </c>
      <c r="K16" s="112">
        <v>0.9686555085220886</v>
      </c>
      <c r="L16" s="113">
        <f>if(J16="Petrol",ifs(K16&lt;='Range Tables'!$G$5,'Range Tables'!$B$5,K16&lt;='Range Tables'!$G$6,'Range Tables'!$B$6,K16&lt;='Range Tables'!$G$7,'Range Tables'!$B$7),ifs(K16&lt;='Range Tables'!$G$13,'Range Tables'!$B$13,K16&lt;='Range Tables'!$G$14,'Range Tables'!$B$14))</f>
        <v>4</v>
      </c>
      <c r="M16" s="112">
        <v>0.09916379093519745</v>
      </c>
      <c r="N16" s="113" t="str">
        <f>ifs(H16="Car",ifs(M16&lt;='Range Tables'!$G$125,'Range Tables'!$B$125,M16&lt;='Range Tables'!$G$126,'Range Tables'!$B$126,M16&lt;='Range Tables'!$G$127,'Range Tables'!$B$127,M16&lt;='Range Tables'!$G$128,'Range Tables'!$B$128,M16&lt;='Range Tables'!$G$129,'Range Tables'!$B$129,'Range Tables'!$G$131,'Range Tables'!$B$131),H16="Bike",ifs(M16&lt;='Range Tables'!$G$136,'Range Tables'!$B$136,M16&lt;='Range Tables'!$G$137,'Range Tables'!$B$137,M16&lt;='Range Tables'!$G$138,'Range Tables'!$B$138,M16&lt;='Range Tables'!$G$142,'Range Tables'!$B$142),H16="Scooter",ifs(M16&lt;='Range Tables'!$G$148,'Range Tables'!$B$148,M16&lt;='Range Tables'!$G$149,'Range Tables'!$B$149,M16&lt;='Range Tables'!$G$150,'Range Tables'!$B$150,M16&lt;='Range Tables'!$G$151,'Range Tables'!$B$151),H16="Auto",ifs(M16&lt;='Range Tables'!$G$161,'Range Tables'!$B$161,M16&lt;='Range Tables'!$G$162,'Range Tables'!$B$162,M16&lt;='Range Tables'!$G$163,'Range Tables'!$B$163,M16&lt;='Range Tables'!$G$164,'Range Tables'!$B$164),H16="Carriers*",ifs(M16&lt;='Range Tables'!$G$173,'Range Tables'!$B$173,M16&lt;='Range Tables'!$G$174,'Range Tables'!$B$174,M16&lt;='Range Tables'!$G$175,'Range Tables'!$B$175,M16&lt;='Range Tables'!$G$176,'Range Tables'!$B$176,M16&lt;='Range Tables'!$G$177,'Range Tables'!$B$177,M16&lt;='Range Tables'!$G$179,'Range Tables'!$B$179),H16="Van*",ifs(M16&lt;='Range Tables'!$G$186,'Range Tables'!$B$186))</f>
        <v>30 - 60</v>
      </c>
      <c r="O16" s="113">
        <f>IFERROR(__xludf.DUMMYFUNCTION("SPLIT(N16,""-"")"),30.0)</f>
        <v>30</v>
      </c>
      <c r="P16" s="113">
        <f>IFERROR(__xludf.DUMMYFUNCTION("""COMPUTED_VALUE"""),60.0)</f>
        <v>60</v>
      </c>
      <c r="Q16" s="114">
        <f t="shared" si="2"/>
        <v>32.97491373</v>
      </c>
      <c r="R16" s="115">
        <f t="shared" si="3"/>
        <v>0.006780883048</v>
      </c>
      <c r="S16" s="114">
        <f t="shared" si="39"/>
        <v>585.8682953</v>
      </c>
      <c r="T16" s="113" t="str">
        <f t="shared" si="4"/>
        <v>no</v>
      </c>
      <c r="U16" s="115">
        <f t="shared" si="5"/>
        <v>0</v>
      </c>
      <c r="V16" s="113">
        <f t="shared" si="34"/>
        <v>0</v>
      </c>
      <c r="W16" s="115">
        <f t="shared" si="6"/>
        <v>0</v>
      </c>
      <c r="X16" s="85">
        <f t="shared" si="7"/>
        <v>0</v>
      </c>
      <c r="Y16" s="116">
        <f t="shared" si="8"/>
        <v>0</v>
      </c>
      <c r="Z16" s="113">
        <f t="shared" si="9"/>
        <v>0</v>
      </c>
      <c r="AA16" s="113" t="str">
        <f t="shared" si="10"/>
        <v>no</v>
      </c>
      <c r="AB16" s="115">
        <f t="shared" si="11"/>
        <v>0</v>
      </c>
      <c r="AC16" s="113">
        <f t="shared" si="35"/>
        <v>0</v>
      </c>
      <c r="AD16" s="116">
        <f t="shared" si="12"/>
        <v>0</v>
      </c>
      <c r="AE16" s="113">
        <f t="shared" si="13"/>
        <v>0</v>
      </c>
      <c r="AF16" s="116">
        <f t="shared" si="14"/>
        <v>0</v>
      </c>
      <c r="AG16" s="113">
        <f t="shared" si="15"/>
        <v>0</v>
      </c>
      <c r="AH16" s="113" t="str">
        <f t="shared" si="16"/>
        <v>no</v>
      </c>
      <c r="AI16" s="115">
        <f t="shared" si="17"/>
        <v>0</v>
      </c>
      <c r="AJ16" s="113">
        <f t="shared" si="36"/>
        <v>0</v>
      </c>
      <c r="AK16" s="116">
        <f t="shared" si="18"/>
        <v>0</v>
      </c>
      <c r="AL16" s="113">
        <f t="shared" si="19"/>
        <v>0</v>
      </c>
      <c r="AM16" s="115">
        <f t="shared" si="20"/>
        <v>0</v>
      </c>
      <c r="AN16" s="85">
        <f t="shared" si="21"/>
        <v>0</v>
      </c>
      <c r="AO16" s="113" t="str">
        <f t="shared" si="22"/>
        <v>yes</v>
      </c>
      <c r="AP16" s="115">
        <f t="shared" si="23"/>
        <v>0</v>
      </c>
      <c r="AQ16" s="113">
        <f t="shared" si="37"/>
        <v>0</v>
      </c>
      <c r="AR16" s="116">
        <f t="shared" si="24"/>
        <v>0.006780883048</v>
      </c>
      <c r="AS16" s="114">
        <f t="shared" si="25"/>
        <v>585.8682953</v>
      </c>
      <c r="AT16" s="116">
        <f t="shared" si="26"/>
        <v>0.007162537142</v>
      </c>
      <c r="AU16" s="114">
        <f t="shared" si="27"/>
        <v>618.8432091</v>
      </c>
      <c r="AV16" s="113" t="str">
        <f t="shared" si="28"/>
        <v>no</v>
      </c>
      <c r="AW16" s="115">
        <f t="shared" si="29"/>
        <v>0</v>
      </c>
      <c r="AX16" s="85">
        <f t="shared" si="38"/>
        <v>0</v>
      </c>
      <c r="AY16" s="116">
        <f t="shared" si="30"/>
        <v>0</v>
      </c>
      <c r="AZ16" s="113">
        <f t="shared" si="31"/>
        <v>0</v>
      </c>
      <c r="BA16" s="116">
        <f t="shared" si="32"/>
        <v>0</v>
      </c>
      <c r="BB16" s="113">
        <f t="shared" si="33"/>
        <v>0</v>
      </c>
      <c r="BC16" s="112">
        <v>0.2574576943190201</v>
      </c>
      <c r="BD16" s="113" t="str">
        <f>ifs(BC16&lt;='Range Tables'!$G$81,'Range Tables'!$B$81,BC16&lt;='Range Tables'!$G$82,'Range Tables'!$B$82)</f>
        <v>Online*</v>
      </c>
      <c r="BE16" s="112">
        <v>0.42938918881724886</v>
      </c>
      <c r="BF16" s="112" t="str">
        <f>ifs(BE16&lt;='Range Tables'!$G$95,'Range Tables'!$B$95,BE16&lt;='Range Tables'!$G$96,'Range Tables'!$B$96,BE16&lt;='Range Tables'!$G$97,'Range Tables'!$B$97,BE16&lt;='Range Tables'!$G$98,'Range Tables'!$B$98,BE16&lt;='Range Tables'!$G$99,'Range Tables'!$B$99,BE16&lt;='Range Tables'!$G$100,'Range Tables'!$B$100,BE16&lt;='Range Tables'!$G$101,'Range Tables'!$B$101,BE16&lt;='Range Tables'!$G$102,'Range Tables'!$B$102,BE16&lt;='Range Tables'!$G$103,'Range Tables'!$B$103)</f>
        <v>Jammu</v>
      </c>
      <c r="BG16" s="112">
        <v>0.5026260249605953</v>
      </c>
      <c r="BH16" s="113" t="str">
        <f>ifs(BG16&lt;='Range Tables'!$G$112,'Range Tables'!$B$112,BG16&lt;='Range Tables'!$G$113,'Range Tables'!$B$113,BG16&lt;='Range Tables'!$G$114,'Range Tables'!$B$114)</f>
        <v>0</v>
      </c>
      <c r="BI16" s="117">
        <v>0.17272535226528096</v>
      </c>
      <c r="BJ16" s="113" t="str">
        <f>ifs(BI16&lt;='Range Tables'!$G$118,'Range Tables'!$B$118,BI16&lt;='Range Tables'!$G$119,'Range Tables'!$B$119)</f>
        <v>Valid</v>
      </c>
    </row>
    <row r="17">
      <c r="A17" s="85">
        <v>14.0</v>
      </c>
      <c r="B17" s="112">
        <v>0.661611199273424</v>
      </c>
      <c r="C17" s="113" t="str">
        <f>ifs(B17&lt;='Range Tables'!$G$54,'Range Tables'!$B$54,B17&lt;='Range Tables'!$G$55,'Range Tables'!$B$55,B17&lt;='Range Tables'!$G$56,'Range Tables'!$B$56,B17&lt;='Range Tables'!$G$57,'Range Tables'!$B$57,B17&lt;='Range Tables'!$G$58,'Range Tables'!$B$58,B17&lt;='Range Tables'!$G$59,'Range Tables'!$B$59,B17&lt;='Range Tables'!$G$60,'Range Tables'!$B$60,B17&lt;='Range Tables'!$G$61,'Range Tables'!$B$61,B17&lt;='Range Tables'!$G$63,'Range Tables'!$B$63,B17&lt;='Range Tables'!$G$64,'Range Tables'!$B$64,B17&lt;='Range Tables'!$G$66,'Range Tables'!$B$66)</f>
        <v>60 - 90</v>
      </c>
      <c r="D17" s="113">
        <f>IFERROR(__xludf.DUMMYFUNCTION("SPLIT(C17,""-"")"),60.0)</f>
        <v>60</v>
      </c>
      <c r="E17" s="113">
        <f>IFERROR(__xludf.DUMMYFUNCTION("""COMPUTED_VALUE"""),90.0)</f>
        <v>90</v>
      </c>
      <c r="F17" s="114">
        <f t="shared" si="1"/>
        <v>79.84833598</v>
      </c>
      <c r="G17" s="112">
        <v>0.36181516552338266</v>
      </c>
      <c r="H17" s="113" t="str">
        <f>ifs(G17&lt;='Range Tables'!$G$86,'Range Tables'!$B$86,G17&lt;='Range Tables'!$G$87,'Range Tables'!$B$87,G17&lt;='Range Tables'!$G$88,'Range Tables'!$B$88,G17&lt;='Range Tables'!$G$89,'Range Tables'!$B$89,G17&lt;='Range Tables'!$G$90,'Range Tables'!$B$90,G17&lt;='Range Tables'!$G$91,'Range Tables'!$B$91)</f>
        <v>Car</v>
      </c>
      <c r="I17" s="112">
        <v>0.4072497246287753</v>
      </c>
      <c r="J17" s="113" t="str">
        <f>IFS(
  H17="Car", IF(I17&lt;='Range Tables'!$G$19, 'Range Tables'!$B$19, 'Range Tables'!$B$20), 
  H17="Bike", IF(I17&lt;='Range Tables'!$G$25, 'Range Tables'!$B$25, 'Range Tables'!$B$26), 
  H17="Scooter", IF(I17&lt;='Range Tables'!$G$31, 'Range Tables'!$B$31, 'Range Tables'!$B$32), 
  H17="Auto", IF(I17&lt;='Range Tables'!$G$37, 'Range Tables'!$B$37, 'Range Tables'!$B$38), 
  H17="Carriers*", IF(I17&lt;='Range Tables'!$G$43, 'Range Tables'!$B$43, 'Range Tables'!$B$44), 
  H17="Van*", IF(I17&lt;='Range Tables'!$G$50, 'Range Tables'!$B$50, 'Range Tables'!$B$49)
)</f>
        <v>Petrol</v>
      </c>
      <c r="K17" s="112">
        <v>0.5046329168435617</v>
      </c>
      <c r="L17" s="113">
        <f>if(J17="Petrol",ifs(K17&lt;='Range Tables'!$G$5,'Range Tables'!$B$5,K17&lt;='Range Tables'!$G$6,'Range Tables'!$B$6,K17&lt;='Range Tables'!$G$7,'Range Tables'!$B$7),ifs(K17&lt;='Range Tables'!$G$13,'Range Tables'!$B$13,K17&lt;='Range Tables'!$G$14,'Range Tables'!$B$14))</f>
        <v>2</v>
      </c>
      <c r="M17" s="112">
        <v>0.26183369891044583</v>
      </c>
      <c r="N17" s="113" t="str">
        <f>ifs(H17="Car",ifs(M17&lt;='Range Tables'!$G$125,'Range Tables'!$B$125,M17&lt;='Range Tables'!$G$126,'Range Tables'!$B$126,M17&lt;='Range Tables'!$G$127,'Range Tables'!$B$127,M17&lt;='Range Tables'!$G$128,'Range Tables'!$B$128,M17&lt;='Range Tables'!$G$129,'Range Tables'!$B$129,'Range Tables'!$G$131,'Range Tables'!$B$131),H17="Bike",ifs(M17&lt;='Range Tables'!$G$136,'Range Tables'!$B$136,M17&lt;='Range Tables'!$G$137,'Range Tables'!$B$137,M17&lt;='Range Tables'!$G$138,'Range Tables'!$B$138,M17&lt;='Range Tables'!$G$142,'Range Tables'!$B$142),H17="Scooter",ifs(M17&lt;='Range Tables'!$G$148,'Range Tables'!$B$148,M17&lt;='Range Tables'!$G$149,'Range Tables'!$B$149,M17&lt;='Range Tables'!$G$150,'Range Tables'!$B$150,M17&lt;='Range Tables'!$G$151,'Range Tables'!$B$151),H17="Auto",ifs(M17&lt;='Range Tables'!$G$161,'Range Tables'!$B$161,M17&lt;='Range Tables'!$G$162,'Range Tables'!$B$162,M17&lt;='Range Tables'!$G$163,'Range Tables'!$B$163,M17&lt;='Range Tables'!$G$164,'Range Tables'!$B$164),H17="Carriers*",ifs(M17&lt;='Range Tables'!$G$173,'Range Tables'!$B$173,M17&lt;='Range Tables'!$G$174,'Range Tables'!$B$174,M17&lt;='Range Tables'!$G$175,'Range Tables'!$B$175,M17&lt;='Range Tables'!$G$176,'Range Tables'!$B$176,M17&lt;='Range Tables'!$G$177,'Range Tables'!$B$177,M17&lt;='Range Tables'!$G$179,'Range Tables'!$B$179),H17="Van*",ifs(M17&lt;='Range Tables'!$G$186,'Range Tables'!$B$186))</f>
        <v>60 - 120</v>
      </c>
      <c r="O17" s="113">
        <f>IFERROR(__xludf.DUMMYFUNCTION("SPLIT(N17,""-"")"),60.0)</f>
        <v>60</v>
      </c>
      <c r="P17" s="113">
        <f>IFERROR(__xludf.DUMMYFUNCTION("""COMPUTED_VALUE"""),120.0)</f>
        <v>120</v>
      </c>
      <c r="Q17" s="114">
        <f t="shared" si="2"/>
        <v>75.71002193</v>
      </c>
      <c r="R17" s="115">
        <f t="shared" si="3"/>
        <v>0.006831858736</v>
      </c>
      <c r="S17" s="114">
        <f t="shared" si="39"/>
        <v>590.2725948</v>
      </c>
      <c r="T17" s="113" t="str">
        <f t="shared" si="4"/>
        <v>no</v>
      </c>
      <c r="U17" s="115">
        <f t="shared" si="5"/>
        <v>0</v>
      </c>
      <c r="V17" s="113">
        <f t="shared" si="34"/>
        <v>0</v>
      </c>
      <c r="W17" s="115">
        <f t="shared" si="6"/>
        <v>0</v>
      </c>
      <c r="X17" s="85">
        <f t="shared" si="7"/>
        <v>0</v>
      </c>
      <c r="Y17" s="116">
        <f t="shared" si="8"/>
        <v>0</v>
      </c>
      <c r="Z17" s="113">
        <f t="shared" si="9"/>
        <v>0</v>
      </c>
      <c r="AA17" s="113" t="str">
        <f t="shared" si="10"/>
        <v>yes</v>
      </c>
      <c r="AB17" s="115">
        <f t="shared" si="11"/>
        <v>0</v>
      </c>
      <c r="AC17" s="113">
        <f t="shared" si="35"/>
        <v>0</v>
      </c>
      <c r="AD17" s="116">
        <f t="shared" si="12"/>
        <v>0.006831858736</v>
      </c>
      <c r="AE17" s="114">
        <f t="shared" si="13"/>
        <v>590.2725948</v>
      </c>
      <c r="AF17" s="116">
        <f t="shared" si="14"/>
        <v>0.007708132138</v>
      </c>
      <c r="AG17" s="114">
        <f t="shared" si="15"/>
        <v>665.9826167</v>
      </c>
      <c r="AH17" s="113" t="str">
        <f t="shared" si="16"/>
        <v>no</v>
      </c>
      <c r="AI17" s="115">
        <f t="shared" si="17"/>
        <v>0</v>
      </c>
      <c r="AJ17" s="113">
        <f t="shared" si="36"/>
        <v>0</v>
      </c>
      <c r="AK17" s="116">
        <f t="shared" si="18"/>
        <v>0</v>
      </c>
      <c r="AL17" s="113">
        <f t="shared" si="19"/>
        <v>0</v>
      </c>
      <c r="AM17" s="115">
        <f t="shared" si="20"/>
        <v>0</v>
      </c>
      <c r="AN17" s="85">
        <f t="shared" si="21"/>
        <v>0</v>
      </c>
      <c r="AO17" s="113" t="str">
        <f t="shared" si="22"/>
        <v>no</v>
      </c>
      <c r="AP17" s="115">
        <f t="shared" si="23"/>
        <v>0</v>
      </c>
      <c r="AQ17" s="113">
        <f t="shared" si="37"/>
        <v>0</v>
      </c>
      <c r="AR17" s="116">
        <f t="shared" si="24"/>
        <v>0</v>
      </c>
      <c r="AS17" s="113">
        <f t="shared" si="25"/>
        <v>0</v>
      </c>
      <c r="AT17" s="116">
        <f t="shared" si="26"/>
        <v>0</v>
      </c>
      <c r="AU17" s="113">
        <f t="shared" si="27"/>
        <v>0</v>
      </c>
      <c r="AV17" s="113" t="str">
        <f t="shared" si="28"/>
        <v>no</v>
      </c>
      <c r="AW17" s="115">
        <f t="shared" si="29"/>
        <v>0</v>
      </c>
      <c r="AX17" s="85">
        <f t="shared" si="38"/>
        <v>0</v>
      </c>
      <c r="AY17" s="116">
        <f t="shared" si="30"/>
        <v>0</v>
      </c>
      <c r="AZ17" s="113">
        <f t="shared" si="31"/>
        <v>0</v>
      </c>
      <c r="BA17" s="116">
        <f t="shared" si="32"/>
        <v>0</v>
      </c>
      <c r="BB17" s="113">
        <f t="shared" si="33"/>
        <v>0</v>
      </c>
      <c r="BC17" s="112">
        <v>0.2838425630083936</v>
      </c>
      <c r="BD17" s="113" t="str">
        <f>ifs(BC17&lt;='Range Tables'!$G$81,'Range Tables'!$B$81,BC17&lt;='Range Tables'!$G$82,'Range Tables'!$B$82)</f>
        <v>Online*</v>
      </c>
      <c r="BE17" s="112">
        <v>0.8477170955448431</v>
      </c>
      <c r="BF17" s="112" t="str">
        <f>ifs(BE17&lt;='Range Tables'!$G$95,'Range Tables'!$B$95,BE17&lt;='Range Tables'!$G$96,'Range Tables'!$B$96,BE17&lt;='Range Tables'!$G$97,'Range Tables'!$B$97,BE17&lt;='Range Tables'!$G$98,'Range Tables'!$B$98,BE17&lt;='Range Tables'!$G$99,'Range Tables'!$B$99,BE17&lt;='Range Tables'!$G$100,'Range Tables'!$B$100,BE17&lt;='Range Tables'!$G$101,'Range Tables'!$B$101,BE17&lt;='Range Tables'!$G$102,'Range Tables'!$B$102,BE17&lt;='Range Tables'!$G$103,'Range Tables'!$B$103)</f>
        <v>Udhampur</v>
      </c>
      <c r="BG17" s="112">
        <v>0.8262532556389641</v>
      </c>
      <c r="BH17" s="113" t="str">
        <f>ifs(BG17&lt;='Range Tables'!$G$112,'Range Tables'!$B$112,BG17&lt;='Range Tables'!$G$113,'Range Tables'!$B$113,BG17&lt;='Range Tables'!$G$114,'Range Tables'!$B$114)</f>
        <v>1-5</v>
      </c>
      <c r="BI17" s="117">
        <v>0.6695031739695099</v>
      </c>
      <c r="BJ17" s="113" t="str">
        <f>ifs(BI17&lt;='Range Tables'!$G$118,'Range Tables'!$B$118,BI17&lt;='Range Tables'!$G$119,'Range Tables'!$B$119)</f>
        <v>Expired</v>
      </c>
    </row>
    <row r="18">
      <c r="A18" s="85">
        <v>15.0</v>
      </c>
      <c r="B18" s="112">
        <v>0.6919837954276905</v>
      </c>
      <c r="C18" s="113" t="str">
        <f>ifs(B18&lt;='Range Tables'!$G$54,'Range Tables'!$B$54,B18&lt;='Range Tables'!$G$55,'Range Tables'!$B$55,B18&lt;='Range Tables'!$G$56,'Range Tables'!$B$56,B18&lt;='Range Tables'!$G$57,'Range Tables'!$B$57,B18&lt;='Range Tables'!$G$58,'Range Tables'!$B$58,B18&lt;='Range Tables'!$G$59,'Range Tables'!$B$59,B18&lt;='Range Tables'!$G$60,'Range Tables'!$B$60,B18&lt;='Range Tables'!$G$61,'Range Tables'!$B$61,B18&lt;='Range Tables'!$G$63,'Range Tables'!$B$63,B18&lt;='Range Tables'!$G$64,'Range Tables'!$B$64,B18&lt;='Range Tables'!$G$66,'Range Tables'!$B$66)</f>
        <v>60 - 90</v>
      </c>
      <c r="D18" s="113">
        <f>IFERROR(__xludf.DUMMYFUNCTION("SPLIT(C18,""-"")"),60.0)</f>
        <v>60</v>
      </c>
      <c r="E18" s="113">
        <f>IFERROR(__xludf.DUMMYFUNCTION("""COMPUTED_VALUE"""),90.0)</f>
        <v>90</v>
      </c>
      <c r="F18" s="114">
        <f t="shared" si="1"/>
        <v>80.75951386</v>
      </c>
      <c r="G18" s="112">
        <v>0.4972461947106669</v>
      </c>
      <c r="H18" s="113" t="str">
        <f>ifs(G18&lt;='Range Tables'!$G$86,'Range Tables'!$B$86,G18&lt;='Range Tables'!$G$87,'Range Tables'!$B$87,G18&lt;='Range Tables'!$G$88,'Range Tables'!$B$88,G18&lt;='Range Tables'!$G$89,'Range Tables'!$B$89,G18&lt;='Range Tables'!$G$90,'Range Tables'!$B$90,G18&lt;='Range Tables'!$G$91,'Range Tables'!$B$91)</f>
        <v>Bike</v>
      </c>
      <c r="I18" s="112">
        <v>0.8545293336474074</v>
      </c>
      <c r="J18" s="113" t="str">
        <f>IFS(
  H18="Car", IF(I18&lt;='Range Tables'!$G$19, 'Range Tables'!$B$19, 'Range Tables'!$B$20), 
  H18="Bike", IF(I18&lt;='Range Tables'!$G$25, 'Range Tables'!$B$25, 'Range Tables'!$B$26), 
  H18="Scooter", IF(I18&lt;='Range Tables'!$G$31, 'Range Tables'!$B$31, 'Range Tables'!$B$32), 
  H18="Auto", IF(I18&lt;='Range Tables'!$G$37, 'Range Tables'!$B$37, 'Range Tables'!$B$38), 
  H18="Carriers*", IF(I18&lt;='Range Tables'!$G$43, 'Range Tables'!$B$43, 'Range Tables'!$B$44), 
  H18="Van*", IF(I18&lt;='Range Tables'!$G$50, 'Range Tables'!$B$50, 'Range Tables'!$B$49)
)</f>
        <v>Petrol</v>
      </c>
      <c r="K18" s="112">
        <v>0.020498352185887025</v>
      </c>
      <c r="L18" s="113">
        <f>if(J18="Petrol",ifs(K18&lt;='Range Tables'!$G$5,'Range Tables'!$B$5,K18&lt;='Range Tables'!$G$6,'Range Tables'!$B$6,K18&lt;='Range Tables'!$G$7,'Range Tables'!$B$7),ifs(K18&lt;='Range Tables'!$G$13,'Range Tables'!$B$13,K18&lt;='Range Tables'!$G$14,'Range Tables'!$B$14))</f>
        <v>2</v>
      </c>
      <c r="M18" s="112">
        <v>0.31150211145751383</v>
      </c>
      <c r="N18" s="113" t="str">
        <f>ifs(H18="Car",ifs(M18&lt;='Range Tables'!$G$125,'Range Tables'!$B$125,M18&lt;='Range Tables'!$G$126,'Range Tables'!$B$126,M18&lt;='Range Tables'!$G$127,'Range Tables'!$B$127,M18&lt;='Range Tables'!$G$128,'Range Tables'!$B$128,M18&lt;='Range Tables'!$G$129,'Range Tables'!$B$129,'Range Tables'!$G$131,'Range Tables'!$B$131),H18="Bike",ifs(M18&lt;='Range Tables'!$G$136,'Range Tables'!$B$136,M18&lt;='Range Tables'!$G$137,'Range Tables'!$B$137,M18&lt;='Range Tables'!$G$138,'Range Tables'!$B$138,M18&lt;='Range Tables'!$G$142,'Range Tables'!$B$142),H18="Scooter",ifs(M18&lt;='Range Tables'!$G$148,'Range Tables'!$B$148,M18&lt;='Range Tables'!$G$149,'Range Tables'!$B$149,M18&lt;='Range Tables'!$G$150,'Range Tables'!$B$150,M18&lt;='Range Tables'!$G$151,'Range Tables'!$B$151),H18="Auto",ifs(M18&lt;='Range Tables'!$G$161,'Range Tables'!$B$161,M18&lt;='Range Tables'!$G$162,'Range Tables'!$B$162,M18&lt;='Range Tables'!$G$163,'Range Tables'!$B$163,M18&lt;='Range Tables'!$G$164,'Range Tables'!$B$164),H18="Carriers*",ifs(M18&lt;='Range Tables'!$G$173,'Range Tables'!$B$173,M18&lt;='Range Tables'!$G$174,'Range Tables'!$B$174,M18&lt;='Range Tables'!$G$175,'Range Tables'!$B$175,M18&lt;='Range Tables'!$G$176,'Range Tables'!$B$176,M18&lt;='Range Tables'!$G$177,'Range Tables'!$B$177,M18&lt;='Range Tables'!$G$179,'Range Tables'!$B$179),H18="Van*",ifs(M18&lt;='Range Tables'!$G$186,'Range Tables'!$B$186))</f>
        <v>60 - 120</v>
      </c>
      <c r="O18" s="113">
        <f>IFERROR(__xludf.DUMMYFUNCTION("SPLIT(N18,""-"")"),60.0)</f>
        <v>60</v>
      </c>
      <c r="P18" s="113">
        <f>IFERROR(__xludf.DUMMYFUNCTION("""COMPUTED_VALUE"""),120.0)</f>
        <v>120</v>
      </c>
      <c r="Q18" s="114">
        <f t="shared" si="2"/>
        <v>78.69012669</v>
      </c>
      <c r="R18" s="115">
        <f t="shared" si="3"/>
        <v>0.007756029291</v>
      </c>
      <c r="S18" s="114">
        <f t="shared" si="39"/>
        <v>670.1209308</v>
      </c>
      <c r="T18" s="113" t="str">
        <f t="shared" si="4"/>
        <v>no</v>
      </c>
      <c r="U18" s="115">
        <f t="shared" si="5"/>
        <v>0</v>
      </c>
      <c r="V18" s="113">
        <f t="shared" si="34"/>
        <v>0</v>
      </c>
      <c r="W18" s="115">
        <f t="shared" si="6"/>
        <v>0</v>
      </c>
      <c r="X18" s="85">
        <f t="shared" si="7"/>
        <v>0</v>
      </c>
      <c r="Y18" s="116">
        <f t="shared" si="8"/>
        <v>0</v>
      </c>
      <c r="Z18" s="113">
        <f t="shared" si="9"/>
        <v>0</v>
      </c>
      <c r="AA18" s="113" t="str">
        <f t="shared" si="10"/>
        <v>yes</v>
      </c>
      <c r="AB18" s="115">
        <f t="shared" si="11"/>
        <v>0</v>
      </c>
      <c r="AC18" s="113">
        <f t="shared" si="35"/>
        <v>0</v>
      </c>
      <c r="AD18" s="116">
        <f t="shared" si="12"/>
        <v>0.007756029291</v>
      </c>
      <c r="AE18" s="114">
        <f t="shared" si="13"/>
        <v>670.1209308</v>
      </c>
      <c r="AF18" s="116">
        <f t="shared" si="14"/>
        <v>0.008666794647</v>
      </c>
      <c r="AG18" s="114">
        <f t="shared" si="15"/>
        <v>748.8110575</v>
      </c>
      <c r="AH18" s="113" t="str">
        <f t="shared" si="16"/>
        <v>no</v>
      </c>
      <c r="AI18" s="115">
        <f t="shared" si="17"/>
        <v>0</v>
      </c>
      <c r="AJ18" s="113">
        <f t="shared" si="36"/>
        <v>0</v>
      </c>
      <c r="AK18" s="116">
        <f t="shared" si="18"/>
        <v>0</v>
      </c>
      <c r="AL18" s="113">
        <f t="shared" si="19"/>
        <v>0</v>
      </c>
      <c r="AM18" s="115">
        <f t="shared" si="20"/>
        <v>0</v>
      </c>
      <c r="AN18" s="85">
        <f t="shared" si="21"/>
        <v>0</v>
      </c>
      <c r="AO18" s="113" t="str">
        <f t="shared" si="22"/>
        <v>no</v>
      </c>
      <c r="AP18" s="115">
        <f t="shared" si="23"/>
        <v>0</v>
      </c>
      <c r="AQ18" s="113">
        <f t="shared" si="37"/>
        <v>0</v>
      </c>
      <c r="AR18" s="116">
        <f t="shared" si="24"/>
        <v>0</v>
      </c>
      <c r="AS18" s="113">
        <f t="shared" si="25"/>
        <v>0</v>
      </c>
      <c r="AT18" s="116">
        <f t="shared" si="26"/>
        <v>0</v>
      </c>
      <c r="AU18" s="113">
        <f t="shared" si="27"/>
        <v>0</v>
      </c>
      <c r="AV18" s="113" t="str">
        <f t="shared" si="28"/>
        <v>no</v>
      </c>
      <c r="AW18" s="115">
        <f t="shared" si="29"/>
        <v>0</v>
      </c>
      <c r="AX18" s="85">
        <f t="shared" si="38"/>
        <v>0</v>
      </c>
      <c r="AY18" s="116">
        <f t="shared" si="30"/>
        <v>0</v>
      </c>
      <c r="AZ18" s="113">
        <f t="shared" si="31"/>
        <v>0</v>
      </c>
      <c r="BA18" s="116">
        <f t="shared" si="32"/>
        <v>0</v>
      </c>
      <c r="BB18" s="113">
        <f t="shared" si="33"/>
        <v>0</v>
      </c>
      <c r="BC18" s="112">
        <v>0.04316580151480309</v>
      </c>
      <c r="BD18" s="113" t="str">
        <f>ifs(BC18&lt;='Range Tables'!$G$81,'Range Tables'!$B$81,BC18&lt;='Range Tables'!$G$82,'Range Tables'!$B$82)</f>
        <v>Online*</v>
      </c>
      <c r="BE18" s="112">
        <v>0.48208074502830023</v>
      </c>
      <c r="BF18" s="112" t="str">
        <f>ifs(BE18&lt;='Range Tables'!$G$95,'Range Tables'!$B$95,BE18&lt;='Range Tables'!$G$96,'Range Tables'!$B$96,BE18&lt;='Range Tables'!$G$97,'Range Tables'!$B$97,BE18&lt;='Range Tables'!$G$98,'Range Tables'!$B$98,BE18&lt;='Range Tables'!$G$99,'Range Tables'!$B$99,BE18&lt;='Range Tables'!$G$100,'Range Tables'!$B$100,BE18&lt;='Range Tables'!$G$101,'Range Tables'!$B$101,BE18&lt;='Range Tables'!$G$102,'Range Tables'!$B$102,BE18&lt;='Range Tables'!$G$103,'Range Tables'!$B$103)</f>
        <v>Jammu</v>
      </c>
      <c r="BG18" s="112">
        <v>0.4004338422667184</v>
      </c>
      <c r="BH18" s="113" t="str">
        <f>ifs(BG18&lt;='Range Tables'!$G$112,'Range Tables'!$B$112,BG18&lt;='Range Tables'!$G$113,'Range Tables'!$B$113,BG18&lt;='Range Tables'!$G$114,'Range Tables'!$B$114)</f>
        <v>0</v>
      </c>
      <c r="BI18" s="117">
        <v>0.27292820859655365</v>
      </c>
      <c r="BJ18" s="113" t="str">
        <f>ifs(BI18&lt;='Range Tables'!$G$118,'Range Tables'!$B$118,BI18&lt;='Range Tables'!$G$119,'Range Tables'!$B$119)</f>
        <v>Valid</v>
      </c>
    </row>
    <row r="19">
      <c r="A19" s="85">
        <v>16.0</v>
      </c>
      <c r="B19" s="112">
        <v>0.2740792636964946</v>
      </c>
      <c r="C19" s="113" t="str">
        <f>ifs(B19&lt;='Range Tables'!$G$54,'Range Tables'!$B$54,B19&lt;='Range Tables'!$G$55,'Range Tables'!$B$55,B19&lt;='Range Tables'!$G$56,'Range Tables'!$B$56,B19&lt;='Range Tables'!$G$57,'Range Tables'!$B$57,B19&lt;='Range Tables'!$G$58,'Range Tables'!$B$58,B19&lt;='Range Tables'!$G$59,'Range Tables'!$B$59,B19&lt;='Range Tables'!$G$60,'Range Tables'!$B$60,B19&lt;='Range Tables'!$G$61,'Range Tables'!$B$61,B19&lt;='Range Tables'!$G$63,'Range Tables'!$B$63,B19&lt;='Range Tables'!$G$64,'Range Tables'!$B$64,B19&lt;='Range Tables'!$G$66,'Range Tables'!$B$66)</f>
        <v>0 - 30</v>
      </c>
      <c r="D19" s="113">
        <f>IFERROR(__xludf.DUMMYFUNCTION("SPLIT(C19,""-"")"),0.0)</f>
        <v>0</v>
      </c>
      <c r="E19" s="113">
        <f>IFERROR(__xludf.DUMMYFUNCTION("""COMPUTED_VALUE"""),30.0)</f>
        <v>30</v>
      </c>
      <c r="F19" s="114">
        <f t="shared" si="1"/>
        <v>8.222377911</v>
      </c>
      <c r="G19" s="112">
        <v>0.38885934761094487</v>
      </c>
      <c r="H19" s="113" t="str">
        <f>ifs(G19&lt;='Range Tables'!$G$86,'Range Tables'!$B$86,G19&lt;='Range Tables'!$G$87,'Range Tables'!$B$87,G19&lt;='Range Tables'!$G$88,'Range Tables'!$B$88,G19&lt;='Range Tables'!$G$89,'Range Tables'!$B$89,G19&lt;='Range Tables'!$G$90,'Range Tables'!$B$90,G19&lt;='Range Tables'!$G$91,'Range Tables'!$B$91)</f>
        <v>Car</v>
      </c>
      <c r="I19" s="112">
        <v>0.30873750052584825</v>
      </c>
      <c r="J19" s="113" t="str">
        <f>IFS(
  H19="Car", IF(I19&lt;='Range Tables'!$G$19, 'Range Tables'!$B$19, 'Range Tables'!$B$20), 
  H19="Bike", IF(I19&lt;='Range Tables'!$G$25, 'Range Tables'!$B$25, 'Range Tables'!$B$26), 
  H19="Scooter", IF(I19&lt;='Range Tables'!$G$31, 'Range Tables'!$B$31, 'Range Tables'!$B$32), 
  H19="Auto", IF(I19&lt;='Range Tables'!$G$37, 'Range Tables'!$B$37, 'Range Tables'!$B$38), 
  H19="Carriers*", IF(I19&lt;='Range Tables'!$G$43, 'Range Tables'!$B$43, 'Range Tables'!$B$44), 
  H19="Van*", IF(I19&lt;='Range Tables'!$G$50, 'Range Tables'!$B$50, 'Range Tables'!$B$49)
)</f>
        <v>Petrol</v>
      </c>
      <c r="K19" s="112">
        <v>0.003415489546867656</v>
      </c>
      <c r="L19" s="113">
        <f>if(J19="Petrol",ifs(K19&lt;='Range Tables'!$G$5,'Range Tables'!$B$5,K19&lt;='Range Tables'!$G$6,'Range Tables'!$B$6,K19&lt;='Range Tables'!$G$7,'Range Tables'!$B$7),ifs(K19&lt;='Range Tables'!$G$13,'Range Tables'!$B$13,K19&lt;='Range Tables'!$G$14,'Range Tables'!$B$14))</f>
        <v>2</v>
      </c>
      <c r="M19" s="112">
        <v>0.21070405728982744</v>
      </c>
      <c r="N19" s="113" t="str">
        <f>ifs(H19="Car",ifs(M19&lt;='Range Tables'!$G$125,'Range Tables'!$B$125,M19&lt;='Range Tables'!$G$126,'Range Tables'!$B$126,M19&lt;='Range Tables'!$G$127,'Range Tables'!$B$127,M19&lt;='Range Tables'!$G$128,'Range Tables'!$B$128,M19&lt;='Range Tables'!$G$129,'Range Tables'!$B$129,'Range Tables'!$G$131,'Range Tables'!$B$131),H19="Bike",ifs(M19&lt;='Range Tables'!$G$136,'Range Tables'!$B$136,M19&lt;='Range Tables'!$G$137,'Range Tables'!$B$137,M19&lt;='Range Tables'!$G$138,'Range Tables'!$B$138,M19&lt;='Range Tables'!$G$142,'Range Tables'!$B$142),H19="Scooter",ifs(M19&lt;='Range Tables'!$G$148,'Range Tables'!$B$148,M19&lt;='Range Tables'!$G$149,'Range Tables'!$B$149,M19&lt;='Range Tables'!$G$150,'Range Tables'!$B$150,M19&lt;='Range Tables'!$G$151,'Range Tables'!$B$151),H19="Auto",ifs(M19&lt;='Range Tables'!$G$161,'Range Tables'!$B$161,M19&lt;='Range Tables'!$G$162,'Range Tables'!$B$162,M19&lt;='Range Tables'!$G$163,'Range Tables'!$B$163,M19&lt;='Range Tables'!$G$164,'Range Tables'!$B$164),H19="Carriers*",ifs(M19&lt;='Range Tables'!$G$173,'Range Tables'!$B$173,M19&lt;='Range Tables'!$G$174,'Range Tables'!$B$174,M19&lt;='Range Tables'!$G$175,'Range Tables'!$B$175,M19&lt;='Range Tables'!$G$176,'Range Tables'!$B$176,M19&lt;='Range Tables'!$G$177,'Range Tables'!$B$177,M19&lt;='Range Tables'!$G$179,'Range Tables'!$B$179),H19="Van*",ifs(M19&lt;='Range Tables'!$G$186,'Range Tables'!$B$186))</f>
        <v>60 - 120</v>
      </c>
      <c r="O19" s="113">
        <f>IFERROR(__xludf.DUMMYFUNCTION("SPLIT(N19,""-"")"),60.0)</f>
        <v>60</v>
      </c>
      <c r="P19" s="113">
        <f>IFERROR(__xludf.DUMMYFUNCTION("""COMPUTED_VALUE"""),120.0)</f>
        <v>120</v>
      </c>
      <c r="Q19" s="114">
        <f t="shared" si="2"/>
        <v>72.64224344</v>
      </c>
      <c r="R19" s="115">
        <f t="shared" si="3"/>
        <v>0.008690745887</v>
      </c>
      <c r="S19" s="114">
        <f t="shared" si="39"/>
        <v>750.8804446</v>
      </c>
      <c r="T19" s="113" t="str">
        <f t="shared" si="4"/>
        <v>no</v>
      </c>
      <c r="U19" s="115">
        <f t="shared" si="5"/>
        <v>0</v>
      </c>
      <c r="V19" s="113">
        <f t="shared" si="34"/>
        <v>0</v>
      </c>
      <c r="W19" s="115">
        <f t="shared" si="6"/>
        <v>0</v>
      </c>
      <c r="X19" s="85">
        <f t="shared" si="7"/>
        <v>0</v>
      </c>
      <c r="Y19" s="116">
        <f t="shared" si="8"/>
        <v>0</v>
      </c>
      <c r="Z19" s="113">
        <f t="shared" si="9"/>
        <v>0</v>
      </c>
      <c r="AA19" s="113" t="str">
        <f t="shared" si="10"/>
        <v>yes</v>
      </c>
      <c r="AB19" s="115">
        <f t="shared" si="11"/>
        <v>0</v>
      </c>
      <c r="AC19" s="113">
        <f t="shared" si="35"/>
        <v>0</v>
      </c>
      <c r="AD19" s="116">
        <f t="shared" si="12"/>
        <v>0.008690745887</v>
      </c>
      <c r="AE19" s="114">
        <f t="shared" si="13"/>
        <v>750.8804446</v>
      </c>
      <c r="AF19" s="116">
        <f t="shared" si="14"/>
        <v>0.009531512593</v>
      </c>
      <c r="AG19" s="114">
        <f t="shared" si="15"/>
        <v>823.5226881</v>
      </c>
      <c r="AH19" s="113" t="str">
        <f t="shared" si="16"/>
        <v>no</v>
      </c>
      <c r="AI19" s="115">
        <f t="shared" si="17"/>
        <v>0</v>
      </c>
      <c r="AJ19" s="113">
        <f t="shared" si="36"/>
        <v>0</v>
      </c>
      <c r="AK19" s="116">
        <f t="shared" si="18"/>
        <v>0</v>
      </c>
      <c r="AL19" s="113">
        <f t="shared" si="19"/>
        <v>0</v>
      </c>
      <c r="AM19" s="115">
        <f t="shared" si="20"/>
        <v>0</v>
      </c>
      <c r="AN19" s="85">
        <f t="shared" si="21"/>
        <v>0</v>
      </c>
      <c r="AO19" s="113" t="str">
        <f t="shared" si="22"/>
        <v>no</v>
      </c>
      <c r="AP19" s="115">
        <f t="shared" si="23"/>
        <v>0</v>
      </c>
      <c r="AQ19" s="113">
        <f t="shared" si="37"/>
        <v>0</v>
      </c>
      <c r="AR19" s="116">
        <f t="shared" si="24"/>
        <v>0</v>
      </c>
      <c r="AS19" s="113">
        <f t="shared" si="25"/>
        <v>0</v>
      </c>
      <c r="AT19" s="116">
        <f t="shared" si="26"/>
        <v>0</v>
      </c>
      <c r="AU19" s="113">
        <f t="shared" si="27"/>
        <v>0</v>
      </c>
      <c r="AV19" s="113" t="str">
        <f t="shared" si="28"/>
        <v>no</v>
      </c>
      <c r="AW19" s="115">
        <f t="shared" si="29"/>
        <v>0</v>
      </c>
      <c r="AX19" s="85">
        <f t="shared" si="38"/>
        <v>0</v>
      </c>
      <c r="AY19" s="116">
        <f t="shared" si="30"/>
        <v>0</v>
      </c>
      <c r="AZ19" s="113">
        <f t="shared" si="31"/>
        <v>0</v>
      </c>
      <c r="BA19" s="116">
        <f t="shared" si="32"/>
        <v>0</v>
      </c>
      <c r="BB19" s="113">
        <f t="shared" si="33"/>
        <v>0</v>
      </c>
      <c r="BC19" s="112">
        <v>0.8041230019698895</v>
      </c>
      <c r="BD19" s="113" t="str">
        <f>ifs(BC19&lt;='Range Tables'!$G$81,'Range Tables'!$B$81,BC19&lt;='Range Tables'!$G$82,'Range Tables'!$B$82)</f>
        <v>Offline*</v>
      </c>
      <c r="BE19" s="112">
        <v>0.6258809595464818</v>
      </c>
      <c r="BF19" s="112" t="str">
        <f>ifs(BE19&lt;='Range Tables'!$G$95,'Range Tables'!$B$95,BE19&lt;='Range Tables'!$G$96,'Range Tables'!$B$96,BE19&lt;='Range Tables'!$G$97,'Range Tables'!$B$97,BE19&lt;='Range Tables'!$G$98,'Range Tables'!$B$98,BE19&lt;='Range Tables'!$G$99,'Range Tables'!$B$99,BE19&lt;='Range Tables'!$G$100,'Range Tables'!$B$100,BE19&lt;='Range Tables'!$G$101,'Range Tables'!$B$101,BE19&lt;='Range Tables'!$G$102,'Range Tables'!$B$102,BE19&lt;='Range Tables'!$G$103,'Range Tables'!$B$103)</f>
        <v>Jammu</v>
      </c>
      <c r="BG19" s="112">
        <v>0.708973838273967</v>
      </c>
      <c r="BH19" s="113" t="str">
        <f>ifs(BG19&lt;='Range Tables'!$G$112,'Range Tables'!$B$112,BG19&lt;='Range Tables'!$G$113,'Range Tables'!$B$113,BG19&lt;='Range Tables'!$G$114,'Range Tables'!$B$114)</f>
        <v>0</v>
      </c>
      <c r="BI19" s="117">
        <v>0.8058164954768156</v>
      </c>
      <c r="BJ19" s="113" t="str">
        <f>ifs(BI19&lt;='Range Tables'!$G$118,'Range Tables'!$B$118,BI19&lt;='Range Tables'!$G$119,'Range Tables'!$B$119)</f>
        <v>Expired</v>
      </c>
    </row>
    <row r="20">
      <c r="A20" s="85">
        <v>17.0</v>
      </c>
      <c r="B20" s="112">
        <v>0.6855130309182399</v>
      </c>
      <c r="C20" s="113" t="str">
        <f>ifs(B20&lt;='Range Tables'!$G$54,'Range Tables'!$B$54,B20&lt;='Range Tables'!$G$55,'Range Tables'!$B$55,B20&lt;='Range Tables'!$G$56,'Range Tables'!$B$56,B20&lt;='Range Tables'!$G$57,'Range Tables'!$B$57,B20&lt;='Range Tables'!$G$58,'Range Tables'!$B$58,B20&lt;='Range Tables'!$G$59,'Range Tables'!$B$59,B20&lt;='Range Tables'!$G$60,'Range Tables'!$B$60,B20&lt;='Range Tables'!$G$61,'Range Tables'!$B$61,B20&lt;='Range Tables'!$G$63,'Range Tables'!$B$63,B20&lt;='Range Tables'!$G$64,'Range Tables'!$B$64,B20&lt;='Range Tables'!$G$66,'Range Tables'!$B$66)</f>
        <v>60 - 90</v>
      </c>
      <c r="D20" s="113">
        <f>IFERROR(__xludf.DUMMYFUNCTION("SPLIT(C20,""-"")"),60.0)</f>
        <v>60</v>
      </c>
      <c r="E20" s="113">
        <f>IFERROR(__xludf.DUMMYFUNCTION("""COMPUTED_VALUE"""),90.0)</f>
        <v>90</v>
      </c>
      <c r="F20" s="114">
        <f t="shared" si="1"/>
        <v>80.56539093</v>
      </c>
      <c r="G20" s="112">
        <v>0.5889543938477229</v>
      </c>
      <c r="H20" s="113" t="str">
        <f>ifs(G20&lt;='Range Tables'!$G$86,'Range Tables'!$B$86,G20&lt;='Range Tables'!$G$87,'Range Tables'!$B$87,G20&lt;='Range Tables'!$G$88,'Range Tables'!$B$88,G20&lt;='Range Tables'!$G$89,'Range Tables'!$B$89,G20&lt;='Range Tables'!$G$90,'Range Tables'!$B$90,G20&lt;='Range Tables'!$G$91,'Range Tables'!$B$91)</f>
        <v>Bike</v>
      </c>
      <c r="I20" s="112">
        <v>0.5522598415408675</v>
      </c>
      <c r="J20" s="113" t="str">
        <f>IFS(
  H20="Car", IF(I20&lt;='Range Tables'!$G$19, 'Range Tables'!$B$19, 'Range Tables'!$B$20), 
  H20="Bike", IF(I20&lt;='Range Tables'!$G$25, 'Range Tables'!$B$25, 'Range Tables'!$B$26), 
  H20="Scooter", IF(I20&lt;='Range Tables'!$G$31, 'Range Tables'!$B$31, 'Range Tables'!$B$32), 
  H20="Auto", IF(I20&lt;='Range Tables'!$G$37, 'Range Tables'!$B$37, 'Range Tables'!$B$38), 
  H20="Carriers*", IF(I20&lt;='Range Tables'!$G$43, 'Range Tables'!$B$43, 'Range Tables'!$B$44), 
  H20="Van*", IF(I20&lt;='Range Tables'!$G$50, 'Range Tables'!$B$50, 'Range Tables'!$B$49)
)</f>
        <v>Petrol</v>
      </c>
      <c r="K20" s="112">
        <v>0.19715858010322285</v>
      </c>
      <c r="L20" s="113">
        <f>if(J20="Petrol",ifs(K20&lt;='Range Tables'!$G$5,'Range Tables'!$B$5,K20&lt;='Range Tables'!$G$6,'Range Tables'!$B$6,K20&lt;='Range Tables'!$G$7,'Range Tables'!$B$7),ifs(K20&lt;='Range Tables'!$G$13,'Range Tables'!$B$13,K20&lt;='Range Tables'!$G$14,'Range Tables'!$B$14))</f>
        <v>2</v>
      </c>
      <c r="M20" s="112">
        <v>0.5948274790327862</v>
      </c>
      <c r="N20" s="113" t="str">
        <f>ifs(H20="Car",ifs(M20&lt;='Range Tables'!$G$125,'Range Tables'!$B$125,M20&lt;='Range Tables'!$G$126,'Range Tables'!$B$126,M20&lt;='Range Tables'!$G$127,'Range Tables'!$B$127,M20&lt;='Range Tables'!$G$128,'Range Tables'!$B$128,M20&lt;='Range Tables'!$G$129,'Range Tables'!$B$129,'Range Tables'!$G$131,'Range Tables'!$B$131),H20="Bike",ifs(M20&lt;='Range Tables'!$G$136,'Range Tables'!$B$136,M20&lt;='Range Tables'!$G$137,'Range Tables'!$B$137,M20&lt;='Range Tables'!$G$138,'Range Tables'!$B$138,M20&lt;='Range Tables'!$G$142,'Range Tables'!$B$142),H20="Scooter",ifs(M20&lt;='Range Tables'!$G$148,'Range Tables'!$B$148,M20&lt;='Range Tables'!$G$149,'Range Tables'!$B$149,M20&lt;='Range Tables'!$G$150,'Range Tables'!$B$150,M20&lt;='Range Tables'!$G$151,'Range Tables'!$B$151),H20="Auto",ifs(M20&lt;='Range Tables'!$G$161,'Range Tables'!$B$161,M20&lt;='Range Tables'!$G$162,'Range Tables'!$B$162,M20&lt;='Range Tables'!$G$163,'Range Tables'!$B$163,M20&lt;='Range Tables'!$G$164,'Range Tables'!$B$164),H20="Carriers*",ifs(M20&lt;='Range Tables'!$G$173,'Range Tables'!$B$173,M20&lt;='Range Tables'!$G$174,'Range Tables'!$B$174,M20&lt;='Range Tables'!$G$175,'Range Tables'!$B$175,M20&lt;='Range Tables'!$G$176,'Range Tables'!$B$176,M20&lt;='Range Tables'!$G$177,'Range Tables'!$B$177,M20&lt;='Range Tables'!$G$179,'Range Tables'!$B$179),H20="Van*",ifs(M20&lt;='Range Tables'!$G$186,'Range Tables'!$B$186))</f>
        <v>60 - 120</v>
      </c>
      <c r="O20" s="113">
        <f>IFERROR(__xludf.DUMMYFUNCTION("SPLIT(N20,""-"")"),60.0)</f>
        <v>60</v>
      </c>
      <c r="P20" s="113">
        <f>IFERROR(__xludf.DUMMYFUNCTION("""COMPUTED_VALUE"""),120.0)</f>
        <v>120</v>
      </c>
      <c r="Q20" s="114">
        <f t="shared" si="2"/>
        <v>95.68964874</v>
      </c>
      <c r="R20" s="115">
        <f t="shared" si="3"/>
        <v>0.008785912298</v>
      </c>
      <c r="S20" s="114">
        <f t="shared" si="39"/>
        <v>759.1028226</v>
      </c>
      <c r="T20" s="113" t="str">
        <f t="shared" si="4"/>
        <v>no</v>
      </c>
      <c r="U20" s="115">
        <f t="shared" si="5"/>
        <v>0</v>
      </c>
      <c r="V20" s="113">
        <f t="shared" si="34"/>
        <v>0</v>
      </c>
      <c r="W20" s="115">
        <f t="shared" si="6"/>
        <v>0</v>
      </c>
      <c r="X20" s="85">
        <f t="shared" si="7"/>
        <v>0</v>
      </c>
      <c r="Y20" s="116">
        <f t="shared" si="8"/>
        <v>0</v>
      </c>
      <c r="Z20" s="113">
        <f t="shared" si="9"/>
        <v>0</v>
      </c>
      <c r="AA20" s="113" t="str">
        <f t="shared" si="10"/>
        <v>yes</v>
      </c>
      <c r="AB20" s="115">
        <f t="shared" si="11"/>
        <v>0.0007456002954</v>
      </c>
      <c r="AC20" s="114">
        <f t="shared" si="35"/>
        <v>64.41986553</v>
      </c>
      <c r="AD20" s="116">
        <f t="shared" si="12"/>
        <v>0.009531512593</v>
      </c>
      <c r="AE20" s="114">
        <f t="shared" si="13"/>
        <v>823.5226881</v>
      </c>
      <c r="AF20" s="116">
        <f t="shared" si="14"/>
        <v>0.01063903168</v>
      </c>
      <c r="AG20" s="114">
        <f t="shared" si="15"/>
        <v>919.2123368</v>
      </c>
      <c r="AH20" s="113" t="str">
        <f t="shared" si="16"/>
        <v>no</v>
      </c>
      <c r="AI20" s="115">
        <f t="shared" si="17"/>
        <v>0</v>
      </c>
      <c r="AJ20" s="113">
        <f t="shared" si="36"/>
        <v>0</v>
      </c>
      <c r="AK20" s="116">
        <f t="shared" si="18"/>
        <v>0</v>
      </c>
      <c r="AL20" s="113">
        <f t="shared" si="19"/>
        <v>0</v>
      </c>
      <c r="AM20" s="115">
        <f t="shared" si="20"/>
        <v>0</v>
      </c>
      <c r="AN20" s="85">
        <f t="shared" si="21"/>
        <v>0</v>
      </c>
      <c r="AO20" s="113" t="str">
        <f t="shared" si="22"/>
        <v>no</v>
      </c>
      <c r="AP20" s="115">
        <f t="shared" si="23"/>
        <v>0</v>
      </c>
      <c r="AQ20" s="113">
        <f t="shared" si="37"/>
        <v>0</v>
      </c>
      <c r="AR20" s="116">
        <f t="shared" si="24"/>
        <v>0</v>
      </c>
      <c r="AS20" s="113">
        <f t="shared" si="25"/>
        <v>0</v>
      </c>
      <c r="AT20" s="116">
        <f t="shared" si="26"/>
        <v>0</v>
      </c>
      <c r="AU20" s="113">
        <f t="shared" si="27"/>
        <v>0</v>
      </c>
      <c r="AV20" s="113" t="str">
        <f t="shared" si="28"/>
        <v>no</v>
      </c>
      <c r="AW20" s="115">
        <f t="shared" si="29"/>
        <v>0</v>
      </c>
      <c r="AX20" s="85">
        <f t="shared" si="38"/>
        <v>0</v>
      </c>
      <c r="AY20" s="116">
        <f t="shared" si="30"/>
        <v>0</v>
      </c>
      <c r="AZ20" s="113">
        <f t="shared" si="31"/>
        <v>0</v>
      </c>
      <c r="BA20" s="116">
        <f t="shared" si="32"/>
        <v>0</v>
      </c>
      <c r="BB20" s="113">
        <f t="shared" si="33"/>
        <v>0</v>
      </c>
      <c r="BC20" s="112">
        <v>0.31842666330605995</v>
      </c>
      <c r="BD20" s="113" t="str">
        <f>ifs(BC20&lt;='Range Tables'!$G$81,'Range Tables'!$B$81,BC20&lt;='Range Tables'!$G$82,'Range Tables'!$B$82)</f>
        <v>Online*</v>
      </c>
      <c r="BE20" s="112">
        <v>0.988210960217066</v>
      </c>
      <c r="BF20" s="112" t="str">
        <f>ifs(BE20&lt;='Range Tables'!$G$95,'Range Tables'!$B$95,BE20&lt;='Range Tables'!$G$96,'Range Tables'!$B$96,BE20&lt;='Range Tables'!$G$97,'Range Tables'!$B$97,BE20&lt;='Range Tables'!$G$98,'Range Tables'!$B$98,BE20&lt;='Range Tables'!$G$99,'Range Tables'!$B$99,BE20&lt;='Range Tables'!$G$100,'Range Tables'!$B$100,BE20&lt;='Range Tables'!$G$101,'Range Tables'!$B$101,BE20&lt;='Range Tables'!$G$102,'Range Tables'!$B$102,BE20&lt;='Range Tables'!$G$103,'Range Tables'!$B$103)</f>
        <v>Samba</v>
      </c>
      <c r="BG20" s="112">
        <v>0.007095027280647481</v>
      </c>
      <c r="BH20" s="113" t="str">
        <f>ifs(BG20&lt;='Range Tables'!$G$112,'Range Tables'!$B$112,BG20&lt;='Range Tables'!$G$113,'Range Tables'!$B$113,BG20&lt;='Range Tables'!$G$114,'Range Tables'!$B$114)</f>
        <v>0</v>
      </c>
      <c r="BI20" s="117">
        <v>0.12136766846822944</v>
      </c>
      <c r="BJ20" s="113" t="str">
        <f>ifs(BI20&lt;='Range Tables'!$G$118,'Range Tables'!$B$118,BI20&lt;='Range Tables'!$G$119,'Range Tables'!$B$119)</f>
        <v>Valid</v>
      </c>
    </row>
    <row r="21">
      <c r="A21" s="85">
        <v>18.0</v>
      </c>
      <c r="B21" s="112">
        <v>0.6907299351541745</v>
      </c>
      <c r="C21" s="113" t="str">
        <f>ifs(B21&lt;='Range Tables'!$G$54,'Range Tables'!$B$54,B21&lt;='Range Tables'!$G$55,'Range Tables'!$B$55,B21&lt;='Range Tables'!$G$56,'Range Tables'!$B$56,B21&lt;='Range Tables'!$G$57,'Range Tables'!$B$57,B21&lt;='Range Tables'!$G$58,'Range Tables'!$B$58,B21&lt;='Range Tables'!$G$59,'Range Tables'!$B$59,B21&lt;='Range Tables'!$G$60,'Range Tables'!$B$60,B21&lt;='Range Tables'!$G$61,'Range Tables'!$B$61,B21&lt;='Range Tables'!$G$63,'Range Tables'!$B$63,B21&lt;='Range Tables'!$G$64,'Range Tables'!$B$64,B21&lt;='Range Tables'!$G$66,'Range Tables'!$B$66)</f>
        <v>60 - 90</v>
      </c>
      <c r="D21" s="113">
        <f>IFERROR(__xludf.DUMMYFUNCTION("SPLIT(C21,""-"")"),60.0)</f>
        <v>60</v>
      </c>
      <c r="E21" s="113">
        <f>IFERROR(__xludf.DUMMYFUNCTION("""COMPUTED_VALUE"""),90.0)</f>
        <v>90</v>
      </c>
      <c r="F21" s="114">
        <f t="shared" si="1"/>
        <v>80.72189805</v>
      </c>
      <c r="G21" s="112">
        <v>0.7641551369242231</v>
      </c>
      <c r="H21" s="113" t="str">
        <f>ifs(G21&lt;='Range Tables'!$G$86,'Range Tables'!$B$86,G21&lt;='Range Tables'!$G$87,'Range Tables'!$B$87,G21&lt;='Range Tables'!$G$88,'Range Tables'!$B$88,G21&lt;='Range Tables'!$G$89,'Range Tables'!$B$89,G21&lt;='Range Tables'!$G$90,'Range Tables'!$B$90,G21&lt;='Range Tables'!$G$91,'Range Tables'!$B$91)</f>
        <v>Scooter</v>
      </c>
      <c r="I21" s="112">
        <v>0.7785060691591266</v>
      </c>
      <c r="J21" s="113" t="str">
        <f>IFS(
  H21="Car", IF(I21&lt;='Range Tables'!$G$19, 'Range Tables'!$B$19, 'Range Tables'!$B$20), 
  H21="Bike", IF(I21&lt;='Range Tables'!$G$25, 'Range Tables'!$B$25, 'Range Tables'!$B$26), 
  H21="Scooter", IF(I21&lt;='Range Tables'!$G$31, 'Range Tables'!$B$31, 'Range Tables'!$B$32), 
  H21="Auto", IF(I21&lt;='Range Tables'!$G$37, 'Range Tables'!$B$37, 'Range Tables'!$B$38), 
  H21="Carriers*", IF(I21&lt;='Range Tables'!$G$43, 'Range Tables'!$B$43, 'Range Tables'!$B$44), 
  H21="Van*", IF(I21&lt;='Range Tables'!$G$50, 'Range Tables'!$B$50, 'Range Tables'!$B$49)
)</f>
        <v>Petrol</v>
      </c>
      <c r="K21" s="112">
        <v>0.3294049169416572</v>
      </c>
      <c r="L21" s="113">
        <f>if(J21="Petrol",ifs(K21&lt;='Range Tables'!$G$5,'Range Tables'!$B$5,K21&lt;='Range Tables'!$G$6,'Range Tables'!$B$6,K21&lt;='Range Tables'!$G$7,'Range Tables'!$B$7),ifs(K21&lt;='Range Tables'!$G$13,'Range Tables'!$B$13,K21&lt;='Range Tables'!$G$14,'Range Tables'!$B$14))</f>
        <v>2</v>
      </c>
      <c r="M21" s="112">
        <v>0.5050551403800129</v>
      </c>
      <c r="N21" s="113" t="str">
        <f>ifs(H21="Car",ifs(M21&lt;='Range Tables'!$G$125,'Range Tables'!$B$125,M21&lt;='Range Tables'!$G$126,'Range Tables'!$B$126,M21&lt;='Range Tables'!$G$127,'Range Tables'!$B$127,M21&lt;='Range Tables'!$G$128,'Range Tables'!$B$128,M21&lt;='Range Tables'!$G$129,'Range Tables'!$B$129,'Range Tables'!$G$131,'Range Tables'!$B$131),H21="Bike",ifs(M21&lt;='Range Tables'!$G$136,'Range Tables'!$B$136,M21&lt;='Range Tables'!$G$137,'Range Tables'!$B$137,M21&lt;='Range Tables'!$G$138,'Range Tables'!$B$138,M21&lt;='Range Tables'!$G$142,'Range Tables'!$B$142),H21="Scooter",ifs(M21&lt;='Range Tables'!$G$148,'Range Tables'!$B$148,M21&lt;='Range Tables'!$G$149,'Range Tables'!$B$149,M21&lt;='Range Tables'!$G$150,'Range Tables'!$B$150,M21&lt;='Range Tables'!$G$151,'Range Tables'!$B$151),H21="Auto",ifs(M21&lt;='Range Tables'!$G$161,'Range Tables'!$B$161,M21&lt;='Range Tables'!$G$162,'Range Tables'!$B$162,M21&lt;='Range Tables'!$G$163,'Range Tables'!$B$163,M21&lt;='Range Tables'!$G$164,'Range Tables'!$B$164),H21="Carriers*",ifs(M21&lt;='Range Tables'!$G$173,'Range Tables'!$B$173,M21&lt;='Range Tables'!$G$174,'Range Tables'!$B$174,M21&lt;='Range Tables'!$G$175,'Range Tables'!$B$175,M21&lt;='Range Tables'!$G$176,'Range Tables'!$B$176,M21&lt;='Range Tables'!$G$177,'Range Tables'!$B$177,M21&lt;='Range Tables'!$G$179,'Range Tables'!$B$179),H21="Van*",ifs(M21&lt;='Range Tables'!$G$186,'Range Tables'!$B$186))</f>
        <v>120 - 180</v>
      </c>
      <c r="O21" s="113">
        <f>IFERROR(__xludf.DUMMYFUNCTION("SPLIT(N21,""-"")"),120.0)</f>
        <v>120</v>
      </c>
      <c r="P21" s="113">
        <f>IFERROR(__xludf.DUMMYFUNCTION("""COMPUTED_VALUE"""),180.0)</f>
        <v>180</v>
      </c>
      <c r="Q21" s="114">
        <f t="shared" si="2"/>
        <v>150.3033084</v>
      </c>
      <c r="R21" s="115">
        <f t="shared" si="3"/>
        <v>0.0097183821</v>
      </c>
      <c r="S21" s="114">
        <f t="shared" si="39"/>
        <v>839.6682135</v>
      </c>
      <c r="T21" s="113" t="str">
        <f t="shared" si="4"/>
        <v>no</v>
      </c>
      <c r="U21" s="115">
        <f t="shared" si="5"/>
        <v>0</v>
      </c>
      <c r="V21" s="113">
        <f t="shared" si="34"/>
        <v>0</v>
      </c>
      <c r="W21" s="115">
        <f t="shared" si="6"/>
        <v>0</v>
      </c>
      <c r="X21" s="85">
        <f t="shared" si="7"/>
        <v>0</v>
      </c>
      <c r="Y21" s="116">
        <f t="shared" si="8"/>
        <v>0</v>
      </c>
      <c r="Z21" s="113">
        <f t="shared" si="9"/>
        <v>0</v>
      </c>
      <c r="AA21" s="113" t="str">
        <f t="shared" si="10"/>
        <v>yes</v>
      </c>
      <c r="AB21" s="115">
        <f t="shared" si="11"/>
        <v>0.0009206495757</v>
      </c>
      <c r="AC21" s="114">
        <f t="shared" si="35"/>
        <v>79.54412334</v>
      </c>
      <c r="AD21" s="116">
        <f t="shared" si="12"/>
        <v>0.01063903168</v>
      </c>
      <c r="AE21" s="114">
        <f t="shared" si="13"/>
        <v>919.2123368</v>
      </c>
      <c r="AF21" s="116">
        <f t="shared" si="14"/>
        <v>0.0123786533</v>
      </c>
      <c r="AG21" s="114">
        <f t="shared" si="15"/>
        <v>1069.515645</v>
      </c>
      <c r="AH21" s="113" t="str">
        <f t="shared" si="16"/>
        <v>no</v>
      </c>
      <c r="AI21" s="115">
        <f t="shared" si="17"/>
        <v>0</v>
      </c>
      <c r="AJ21" s="113">
        <f t="shared" si="36"/>
        <v>0</v>
      </c>
      <c r="AK21" s="116">
        <f t="shared" si="18"/>
        <v>0</v>
      </c>
      <c r="AL21" s="113">
        <f t="shared" si="19"/>
        <v>0</v>
      </c>
      <c r="AM21" s="115">
        <f t="shared" si="20"/>
        <v>0</v>
      </c>
      <c r="AN21" s="85">
        <f t="shared" si="21"/>
        <v>0</v>
      </c>
      <c r="AO21" s="113" t="str">
        <f t="shared" si="22"/>
        <v>no</v>
      </c>
      <c r="AP21" s="115">
        <f t="shared" si="23"/>
        <v>0</v>
      </c>
      <c r="AQ21" s="113">
        <f t="shared" si="37"/>
        <v>0</v>
      </c>
      <c r="AR21" s="116">
        <f t="shared" si="24"/>
        <v>0</v>
      </c>
      <c r="AS21" s="113">
        <f t="shared" si="25"/>
        <v>0</v>
      </c>
      <c r="AT21" s="116">
        <f t="shared" si="26"/>
        <v>0</v>
      </c>
      <c r="AU21" s="113">
        <f t="shared" si="27"/>
        <v>0</v>
      </c>
      <c r="AV21" s="113" t="str">
        <f t="shared" si="28"/>
        <v>no</v>
      </c>
      <c r="AW21" s="115">
        <f t="shared" si="29"/>
        <v>0</v>
      </c>
      <c r="AX21" s="85">
        <f t="shared" si="38"/>
        <v>0</v>
      </c>
      <c r="AY21" s="116">
        <f t="shared" si="30"/>
        <v>0</v>
      </c>
      <c r="AZ21" s="113">
        <f t="shared" si="31"/>
        <v>0</v>
      </c>
      <c r="BA21" s="116">
        <f t="shared" si="32"/>
        <v>0</v>
      </c>
      <c r="BB21" s="113">
        <f t="shared" si="33"/>
        <v>0</v>
      </c>
      <c r="BC21" s="112">
        <v>0.49650818855378387</v>
      </c>
      <c r="BD21" s="113" t="str">
        <f>ifs(BC21&lt;='Range Tables'!$G$81,'Range Tables'!$B$81,BC21&lt;='Range Tables'!$G$82,'Range Tables'!$B$82)</f>
        <v>Offline*</v>
      </c>
      <c r="BE21" s="112">
        <v>0.29813874014776853</v>
      </c>
      <c r="BF21" s="112" t="str">
        <f>ifs(BE21&lt;='Range Tables'!$G$95,'Range Tables'!$B$95,BE21&lt;='Range Tables'!$G$96,'Range Tables'!$B$96,BE21&lt;='Range Tables'!$G$97,'Range Tables'!$B$97,BE21&lt;='Range Tables'!$G$98,'Range Tables'!$B$98,BE21&lt;='Range Tables'!$G$99,'Range Tables'!$B$99,BE21&lt;='Range Tables'!$G$100,'Range Tables'!$B$100,BE21&lt;='Range Tables'!$G$101,'Range Tables'!$B$101,BE21&lt;='Range Tables'!$G$102,'Range Tables'!$B$102,BE21&lt;='Range Tables'!$G$103,'Range Tables'!$B$103)</f>
        <v>Jammu</v>
      </c>
      <c r="BG21" s="112">
        <v>0.38239114786912753</v>
      </c>
      <c r="BH21" s="113" t="str">
        <f>ifs(BG21&lt;='Range Tables'!$G$112,'Range Tables'!$B$112,BG21&lt;='Range Tables'!$G$113,'Range Tables'!$B$113,BG21&lt;='Range Tables'!$G$114,'Range Tables'!$B$114)</f>
        <v>0</v>
      </c>
      <c r="BI21" s="117">
        <v>0.1857531555554217</v>
      </c>
      <c r="BJ21" s="113" t="str">
        <f>ifs(BI21&lt;='Range Tables'!$G$118,'Range Tables'!$B$118,BI21&lt;='Range Tables'!$G$119,'Range Tables'!$B$119)</f>
        <v>Valid</v>
      </c>
    </row>
    <row r="22">
      <c r="A22" s="85">
        <v>19.0</v>
      </c>
      <c r="B22" s="112">
        <v>0.8029808978256641</v>
      </c>
      <c r="C22" s="113" t="str">
        <f>ifs(B22&lt;='Range Tables'!$G$54,'Range Tables'!$B$54,B22&lt;='Range Tables'!$G$55,'Range Tables'!$B$55,B22&lt;='Range Tables'!$G$56,'Range Tables'!$B$56,B22&lt;='Range Tables'!$G$57,'Range Tables'!$B$57,B22&lt;='Range Tables'!$G$58,'Range Tables'!$B$58,B22&lt;='Range Tables'!$G$59,'Range Tables'!$B$59,B22&lt;='Range Tables'!$G$60,'Range Tables'!$B$60,B22&lt;='Range Tables'!$G$61,'Range Tables'!$B$61,B22&lt;='Range Tables'!$G$63,'Range Tables'!$B$63,B22&lt;='Range Tables'!$G$64,'Range Tables'!$B$64,B22&lt;='Range Tables'!$G$66,'Range Tables'!$B$66)</f>
        <v>120 - 150</v>
      </c>
      <c r="D22" s="113">
        <f>IFERROR(__xludf.DUMMYFUNCTION("SPLIT(C22,""-"")"),120.0)</f>
        <v>120</v>
      </c>
      <c r="E22" s="113">
        <f>IFERROR(__xludf.DUMMYFUNCTION("""COMPUTED_VALUE"""),150.0)</f>
        <v>150</v>
      </c>
      <c r="F22" s="114">
        <f t="shared" si="1"/>
        <v>144.0894269</v>
      </c>
      <c r="G22" s="112">
        <v>0.7374479483039159</v>
      </c>
      <c r="H22" s="113" t="str">
        <f>ifs(G22&lt;='Range Tables'!$G$86,'Range Tables'!$B$86,G22&lt;='Range Tables'!$G$87,'Range Tables'!$B$87,G22&lt;='Range Tables'!$G$88,'Range Tables'!$B$88,G22&lt;='Range Tables'!$G$89,'Range Tables'!$B$89,G22&lt;='Range Tables'!$G$90,'Range Tables'!$B$90,G22&lt;='Range Tables'!$G$91,'Range Tables'!$B$91)</f>
        <v>Bike</v>
      </c>
      <c r="I22" s="112">
        <v>0.41881090096811924</v>
      </c>
      <c r="J22" s="113" t="str">
        <f>IFS(
  H22="Car", IF(I22&lt;='Range Tables'!$G$19, 'Range Tables'!$B$19, 'Range Tables'!$B$20), 
  H22="Bike", IF(I22&lt;='Range Tables'!$G$25, 'Range Tables'!$B$25, 'Range Tables'!$B$26), 
  H22="Scooter", IF(I22&lt;='Range Tables'!$G$31, 'Range Tables'!$B$31, 'Range Tables'!$B$32), 
  H22="Auto", IF(I22&lt;='Range Tables'!$G$37, 'Range Tables'!$B$37, 'Range Tables'!$B$38), 
  H22="Carriers*", IF(I22&lt;='Range Tables'!$G$43, 'Range Tables'!$B$43, 'Range Tables'!$B$44), 
  H22="Van*", IF(I22&lt;='Range Tables'!$G$50, 'Range Tables'!$B$50, 'Range Tables'!$B$49)
)</f>
        <v>Petrol</v>
      </c>
      <c r="K22" s="112">
        <v>0.3989511406427808</v>
      </c>
      <c r="L22" s="113">
        <f>if(J22="Petrol",ifs(K22&lt;='Range Tables'!$G$5,'Range Tables'!$B$5,K22&lt;='Range Tables'!$G$6,'Range Tables'!$B$6,K22&lt;='Range Tables'!$G$7,'Range Tables'!$B$7),ifs(K22&lt;='Range Tables'!$G$13,'Range Tables'!$B$13,K22&lt;='Range Tables'!$G$14,'Range Tables'!$B$14))</f>
        <v>2</v>
      </c>
      <c r="M22" s="112">
        <v>0.3003557607242687</v>
      </c>
      <c r="N22" s="113" t="str">
        <f>ifs(H22="Car",ifs(M22&lt;='Range Tables'!$G$125,'Range Tables'!$B$125,M22&lt;='Range Tables'!$G$126,'Range Tables'!$B$126,M22&lt;='Range Tables'!$G$127,'Range Tables'!$B$127,M22&lt;='Range Tables'!$G$128,'Range Tables'!$B$128,M22&lt;='Range Tables'!$G$129,'Range Tables'!$B$129,'Range Tables'!$G$131,'Range Tables'!$B$131),H22="Bike",ifs(M22&lt;='Range Tables'!$G$136,'Range Tables'!$B$136,M22&lt;='Range Tables'!$G$137,'Range Tables'!$B$137,M22&lt;='Range Tables'!$G$138,'Range Tables'!$B$138,M22&lt;='Range Tables'!$G$142,'Range Tables'!$B$142),H22="Scooter",ifs(M22&lt;='Range Tables'!$G$148,'Range Tables'!$B$148,M22&lt;='Range Tables'!$G$149,'Range Tables'!$B$149,M22&lt;='Range Tables'!$G$150,'Range Tables'!$B$150,M22&lt;='Range Tables'!$G$151,'Range Tables'!$B$151),H22="Auto",ifs(M22&lt;='Range Tables'!$G$161,'Range Tables'!$B$161,M22&lt;='Range Tables'!$G$162,'Range Tables'!$B$162,M22&lt;='Range Tables'!$G$163,'Range Tables'!$B$163,M22&lt;='Range Tables'!$G$164,'Range Tables'!$B$164),H22="Carriers*",ifs(M22&lt;='Range Tables'!$G$173,'Range Tables'!$B$173,M22&lt;='Range Tables'!$G$174,'Range Tables'!$B$174,M22&lt;='Range Tables'!$G$175,'Range Tables'!$B$175,M22&lt;='Range Tables'!$G$176,'Range Tables'!$B$176,M22&lt;='Range Tables'!$G$177,'Range Tables'!$B$177,M22&lt;='Range Tables'!$G$179,'Range Tables'!$B$179),H22="Van*",ifs(M22&lt;='Range Tables'!$G$186,'Range Tables'!$B$186))</f>
        <v>60 - 120</v>
      </c>
      <c r="O22" s="113">
        <f>IFERROR(__xludf.DUMMYFUNCTION("SPLIT(N22,""-"")"),60.0)</f>
        <v>60</v>
      </c>
      <c r="P22" s="113">
        <f>IFERROR(__xludf.DUMMYFUNCTION("""COMPUTED_VALUE"""),120.0)</f>
        <v>120</v>
      </c>
      <c r="Q22" s="114">
        <f t="shared" si="2"/>
        <v>78.02134564</v>
      </c>
      <c r="R22" s="115">
        <f t="shared" si="3"/>
        <v>0.01065266333</v>
      </c>
      <c r="S22" s="114">
        <f t="shared" si="39"/>
        <v>920.3901115</v>
      </c>
      <c r="T22" s="113" t="str">
        <f t="shared" si="4"/>
        <v>no</v>
      </c>
      <c r="U22" s="115">
        <f t="shared" si="5"/>
        <v>0</v>
      </c>
      <c r="V22" s="113">
        <f t="shared" si="34"/>
        <v>0</v>
      </c>
      <c r="W22" s="115">
        <f t="shared" si="6"/>
        <v>0</v>
      </c>
      <c r="X22" s="85">
        <f t="shared" si="7"/>
        <v>0</v>
      </c>
      <c r="Y22" s="116">
        <f t="shared" si="8"/>
        <v>0</v>
      </c>
      <c r="Z22" s="113">
        <f t="shared" si="9"/>
        <v>0</v>
      </c>
      <c r="AA22" s="113" t="str">
        <f t="shared" si="10"/>
        <v>yes</v>
      </c>
      <c r="AB22" s="115">
        <f t="shared" si="11"/>
        <v>0.001725989973</v>
      </c>
      <c r="AC22" s="114">
        <f t="shared" si="35"/>
        <v>149.1255337</v>
      </c>
      <c r="AD22" s="116">
        <f t="shared" si="12"/>
        <v>0.0123786533</v>
      </c>
      <c r="AE22" s="114">
        <f t="shared" si="13"/>
        <v>1069.515645</v>
      </c>
      <c r="AF22" s="116">
        <f t="shared" si="14"/>
        <v>0.01328167814</v>
      </c>
      <c r="AG22" s="114">
        <f t="shared" si="15"/>
        <v>1147.536991</v>
      </c>
      <c r="AH22" s="113" t="str">
        <f t="shared" si="16"/>
        <v>no</v>
      </c>
      <c r="AI22" s="115">
        <f t="shared" si="17"/>
        <v>0</v>
      </c>
      <c r="AJ22" s="113">
        <f t="shared" si="36"/>
        <v>0</v>
      </c>
      <c r="AK22" s="116">
        <f t="shared" si="18"/>
        <v>0</v>
      </c>
      <c r="AL22" s="113">
        <f t="shared" si="19"/>
        <v>0</v>
      </c>
      <c r="AM22" s="115">
        <f t="shared" si="20"/>
        <v>0</v>
      </c>
      <c r="AN22" s="85">
        <f t="shared" si="21"/>
        <v>0</v>
      </c>
      <c r="AO22" s="113" t="str">
        <f t="shared" si="22"/>
        <v>no</v>
      </c>
      <c r="AP22" s="115">
        <f t="shared" si="23"/>
        <v>0</v>
      </c>
      <c r="AQ22" s="113">
        <f t="shared" si="37"/>
        <v>0</v>
      </c>
      <c r="AR22" s="116">
        <f t="shared" si="24"/>
        <v>0</v>
      </c>
      <c r="AS22" s="113">
        <f t="shared" si="25"/>
        <v>0</v>
      </c>
      <c r="AT22" s="116">
        <f t="shared" si="26"/>
        <v>0</v>
      </c>
      <c r="AU22" s="113">
        <f t="shared" si="27"/>
        <v>0</v>
      </c>
      <c r="AV22" s="113" t="str">
        <f t="shared" si="28"/>
        <v>no</v>
      </c>
      <c r="AW22" s="115">
        <f t="shared" si="29"/>
        <v>0</v>
      </c>
      <c r="AX22" s="85">
        <f t="shared" si="38"/>
        <v>0</v>
      </c>
      <c r="AY22" s="116">
        <f t="shared" si="30"/>
        <v>0</v>
      </c>
      <c r="AZ22" s="113">
        <f t="shared" si="31"/>
        <v>0</v>
      </c>
      <c r="BA22" s="116">
        <f t="shared" si="32"/>
        <v>0</v>
      </c>
      <c r="BB22" s="113">
        <f t="shared" si="33"/>
        <v>0</v>
      </c>
      <c r="BC22" s="112">
        <v>0.8783987129728767</v>
      </c>
      <c r="BD22" s="113" t="str">
        <f>ifs(BC22&lt;='Range Tables'!$G$81,'Range Tables'!$B$81,BC22&lt;='Range Tables'!$G$82,'Range Tables'!$B$82)</f>
        <v>Offline*</v>
      </c>
      <c r="BE22" s="112">
        <v>0.8791294201145418</v>
      </c>
      <c r="BF22" s="112" t="str">
        <f>ifs(BE22&lt;='Range Tables'!$G$95,'Range Tables'!$B$95,BE22&lt;='Range Tables'!$G$96,'Range Tables'!$B$96,BE22&lt;='Range Tables'!$G$97,'Range Tables'!$B$97,BE22&lt;='Range Tables'!$G$98,'Range Tables'!$B$98,BE22&lt;='Range Tables'!$G$99,'Range Tables'!$B$99,BE22&lt;='Range Tables'!$G$100,'Range Tables'!$B$100,BE22&lt;='Range Tables'!$G$101,'Range Tables'!$B$101,BE22&lt;='Range Tables'!$G$102,'Range Tables'!$B$102,BE22&lt;='Range Tables'!$G$103,'Range Tables'!$B$103)</f>
        <v>Udhampur</v>
      </c>
      <c r="BG22" s="112">
        <v>0.8973074956023396</v>
      </c>
      <c r="BH22" s="113" t="str">
        <f>ifs(BG22&lt;='Range Tables'!$G$112,'Range Tables'!$B$112,BG22&lt;='Range Tables'!$G$113,'Range Tables'!$B$113,BG22&lt;='Range Tables'!$G$114,'Range Tables'!$B$114)</f>
        <v>1-5</v>
      </c>
      <c r="BI22" s="117">
        <v>0.8615710477801958</v>
      </c>
      <c r="BJ22" s="113" t="str">
        <f>ifs(BI22&lt;='Range Tables'!$G$118,'Range Tables'!$B$118,BI22&lt;='Range Tables'!$G$119,'Range Tables'!$B$119)</f>
        <v>Expired</v>
      </c>
    </row>
    <row r="23">
      <c r="A23" s="85">
        <v>20.0</v>
      </c>
      <c r="B23" s="112">
        <v>0.132427957104572</v>
      </c>
      <c r="C23" s="113" t="str">
        <f>ifs(B23&lt;='Range Tables'!$G$54,'Range Tables'!$B$54,B23&lt;='Range Tables'!$G$55,'Range Tables'!$B$55,B23&lt;='Range Tables'!$G$56,'Range Tables'!$B$56,B23&lt;='Range Tables'!$G$57,'Range Tables'!$B$57,B23&lt;='Range Tables'!$G$58,'Range Tables'!$B$58,B23&lt;='Range Tables'!$G$59,'Range Tables'!$B$59,B23&lt;='Range Tables'!$G$60,'Range Tables'!$B$60,B23&lt;='Range Tables'!$G$61,'Range Tables'!$B$61,B23&lt;='Range Tables'!$G$63,'Range Tables'!$B$63,B23&lt;='Range Tables'!$G$64,'Range Tables'!$B$64,B23&lt;='Range Tables'!$G$66,'Range Tables'!$B$66)</f>
        <v>0 - 30</v>
      </c>
      <c r="D23" s="113">
        <f>IFERROR(__xludf.DUMMYFUNCTION("SPLIT(C23,""-"")"),0.0)</f>
        <v>0</v>
      </c>
      <c r="E23" s="113">
        <f>IFERROR(__xludf.DUMMYFUNCTION("""COMPUTED_VALUE"""),30.0)</f>
        <v>30</v>
      </c>
      <c r="F23" s="118">
        <v>5.0</v>
      </c>
      <c r="G23" s="112">
        <v>0.7293142540389765</v>
      </c>
      <c r="H23" s="113" t="str">
        <f>ifs(G23&lt;='Range Tables'!$G$86,'Range Tables'!$B$86,G23&lt;='Range Tables'!$G$87,'Range Tables'!$B$87,G23&lt;='Range Tables'!$G$88,'Range Tables'!$B$88,G23&lt;='Range Tables'!$G$89,'Range Tables'!$B$89,G23&lt;='Range Tables'!$G$90,'Range Tables'!$B$90,G23&lt;='Range Tables'!$G$91,'Range Tables'!$B$91)</f>
        <v>Bike</v>
      </c>
      <c r="I23" s="112">
        <v>0.9926670748386212</v>
      </c>
      <c r="J23" s="113" t="str">
        <f>IFS(
  H23="Car", IF(I23&lt;='Range Tables'!$G$19, 'Range Tables'!$B$19, 'Range Tables'!$B$20), 
  H23="Bike", IF(I23&lt;='Range Tables'!$G$25, 'Range Tables'!$B$25, 'Range Tables'!$B$26), 
  H23="Scooter", IF(I23&lt;='Range Tables'!$G$31, 'Range Tables'!$B$31, 'Range Tables'!$B$32), 
  H23="Auto", IF(I23&lt;='Range Tables'!$G$37, 'Range Tables'!$B$37, 'Range Tables'!$B$38), 
  H23="Carriers*", IF(I23&lt;='Range Tables'!$G$43, 'Range Tables'!$B$43, 'Range Tables'!$B$44), 
  H23="Van*", IF(I23&lt;='Range Tables'!$G$50, 'Range Tables'!$B$50, 'Range Tables'!$B$49)
)</f>
        <v>Petrol</v>
      </c>
      <c r="K23" s="112">
        <v>0.43399476436497886</v>
      </c>
      <c r="L23" s="113">
        <f>if(J23="Petrol",ifs(K23&lt;='Range Tables'!$G$5,'Range Tables'!$B$5,K23&lt;='Range Tables'!$G$6,'Range Tables'!$B$6,K23&lt;='Range Tables'!$G$7,'Range Tables'!$B$7),ifs(K23&lt;='Range Tables'!$G$13,'Range Tables'!$B$13,K23&lt;='Range Tables'!$G$14,'Range Tables'!$B$14))</f>
        <v>2</v>
      </c>
      <c r="M23" s="112">
        <v>0.11800337257963178</v>
      </c>
      <c r="N23" s="113" t="str">
        <f>ifs(H23="Car",ifs(M23&lt;='Range Tables'!$G$125,'Range Tables'!$B$125,M23&lt;='Range Tables'!$G$126,'Range Tables'!$B$126,M23&lt;='Range Tables'!$G$127,'Range Tables'!$B$127,M23&lt;='Range Tables'!$G$128,'Range Tables'!$B$128,M23&lt;='Range Tables'!$G$129,'Range Tables'!$B$129,'Range Tables'!$G$131,'Range Tables'!$B$131),H23="Bike",ifs(M23&lt;='Range Tables'!$G$136,'Range Tables'!$B$136,M23&lt;='Range Tables'!$G$137,'Range Tables'!$B$137,M23&lt;='Range Tables'!$G$138,'Range Tables'!$B$138,M23&lt;='Range Tables'!$G$142,'Range Tables'!$B$142),H23="Scooter",ifs(M23&lt;='Range Tables'!$G$148,'Range Tables'!$B$148,M23&lt;='Range Tables'!$G$149,'Range Tables'!$B$149,M23&lt;='Range Tables'!$G$150,'Range Tables'!$B$150,M23&lt;='Range Tables'!$G$151,'Range Tables'!$B$151),H23="Auto",ifs(M23&lt;='Range Tables'!$G$161,'Range Tables'!$B$161,M23&lt;='Range Tables'!$G$162,'Range Tables'!$B$162,M23&lt;='Range Tables'!$G$163,'Range Tables'!$B$163,M23&lt;='Range Tables'!$G$164,'Range Tables'!$B$164),H23="Carriers*",ifs(M23&lt;='Range Tables'!$G$173,'Range Tables'!$B$173,M23&lt;='Range Tables'!$G$174,'Range Tables'!$B$174,M23&lt;='Range Tables'!$G$175,'Range Tables'!$B$175,M23&lt;='Range Tables'!$G$176,'Range Tables'!$B$176,M23&lt;='Range Tables'!$G$177,'Range Tables'!$B$177,M23&lt;='Range Tables'!$G$179,'Range Tables'!$B$179),H23="Van*",ifs(M23&lt;='Range Tables'!$G$186,'Range Tables'!$B$186))</f>
        <v>30 - 60</v>
      </c>
      <c r="O23" s="113">
        <f>IFERROR(__xludf.DUMMYFUNCTION("SPLIT(N23,""-"")"),30.0)</f>
        <v>30</v>
      </c>
      <c r="P23" s="113">
        <f>IFERROR(__xludf.DUMMYFUNCTION("""COMPUTED_VALUE"""),60.0)</f>
        <v>60</v>
      </c>
      <c r="Q23" s="114">
        <f t="shared" si="2"/>
        <v>33.54010118</v>
      </c>
      <c r="R23" s="115">
        <f t="shared" si="3"/>
        <v>0.01232036503</v>
      </c>
      <c r="S23" s="114">
        <f t="shared" si="39"/>
        <v>1064.479538</v>
      </c>
      <c r="T23" s="113" t="str">
        <f t="shared" si="4"/>
        <v>no</v>
      </c>
      <c r="U23" s="115">
        <f t="shared" si="5"/>
        <v>0</v>
      </c>
      <c r="V23" s="113">
        <f t="shared" si="34"/>
        <v>0</v>
      </c>
      <c r="W23" s="115">
        <f t="shared" si="6"/>
        <v>0</v>
      </c>
      <c r="X23" s="85">
        <f t="shared" si="7"/>
        <v>0</v>
      </c>
      <c r="Y23" s="116">
        <f t="shared" si="8"/>
        <v>0</v>
      </c>
      <c r="Z23" s="113">
        <f t="shared" si="9"/>
        <v>0</v>
      </c>
      <c r="AA23" s="113" t="str">
        <f t="shared" si="10"/>
        <v>yes</v>
      </c>
      <c r="AB23" s="115">
        <f t="shared" si="11"/>
        <v>0.0009613131067</v>
      </c>
      <c r="AC23" s="114">
        <f t="shared" si="35"/>
        <v>83.05745242</v>
      </c>
      <c r="AD23" s="116">
        <f t="shared" si="12"/>
        <v>0.01328167814</v>
      </c>
      <c r="AE23" s="114">
        <f t="shared" si="13"/>
        <v>1147.536991</v>
      </c>
      <c r="AF23" s="116">
        <f t="shared" si="14"/>
        <v>0.01366987375</v>
      </c>
      <c r="AG23" s="114">
        <f t="shared" si="15"/>
        <v>1181.077092</v>
      </c>
      <c r="AH23" s="113" t="str">
        <f t="shared" si="16"/>
        <v>no</v>
      </c>
      <c r="AI23" s="115">
        <f t="shared" si="17"/>
        <v>0</v>
      </c>
      <c r="AJ23" s="113">
        <f t="shared" si="36"/>
        <v>0</v>
      </c>
      <c r="AK23" s="116">
        <f t="shared" si="18"/>
        <v>0</v>
      </c>
      <c r="AL23" s="113">
        <f t="shared" si="19"/>
        <v>0</v>
      </c>
      <c r="AM23" s="115">
        <f t="shared" si="20"/>
        <v>0</v>
      </c>
      <c r="AN23" s="85">
        <f t="shared" si="21"/>
        <v>0</v>
      </c>
      <c r="AO23" s="113" t="str">
        <f t="shared" si="22"/>
        <v>no</v>
      </c>
      <c r="AP23" s="115">
        <f t="shared" si="23"/>
        <v>0</v>
      </c>
      <c r="AQ23" s="113">
        <f t="shared" si="37"/>
        <v>0</v>
      </c>
      <c r="AR23" s="116">
        <f t="shared" si="24"/>
        <v>0</v>
      </c>
      <c r="AS23" s="113">
        <f t="shared" si="25"/>
        <v>0</v>
      </c>
      <c r="AT23" s="116">
        <f t="shared" si="26"/>
        <v>0</v>
      </c>
      <c r="AU23" s="113">
        <f t="shared" si="27"/>
        <v>0</v>
      </c>
      <c r="AV23" s="113" t="str">
        <f t="shared" si="28"/>
        <v>no</v>
      </c>
      <c r="AW23" s="115">
        <f t="shared" si="29"/>
        <v>0</v>
      </c>
      <c r="AX23" s="85">
        <f t="shared" si="38"/>
        <v>0</v>
      </c>
      <c r="AY23" s="116">
        <f t="shared" si="30"/>
        <v>0</v>
      </c>
      <c r="AZ23" s="113">
        <f t="shared" si="31"/>
        <v>0</v>
      </c>
      <c r="BA23" s="116">
        <f t="shared" si="32"/>
        <v>0</v>
      </c>
      <c r="BB23" s="113">
        <f t="shared" si="33"/>
        <v>0</v>
      </c>
      <c r="BC23" s="112">
        <v>0.10297241695842552</v>
      </c>
      <c r="BD23" s="113" t="str">
        <f>ifs(BC23&lt;='Range Tables'!$G$81,'Range Tables'!$B$81,BC23&lt;='Range Tables'!$G$82,'Range Tables'!$B$82)</f>
        <v>Online*</v>
      </c>
      <c r="BE23" s="112">
        <v>0.6925970280326964</v>
      </c>
      <c r="BF23" s="112" t="str">
        <f>ifs(BE23&lt;='Range Tables'!$G$95,'Range Tables'!$B$95,BE23&lt;='Range Tables'!$G$96,'Range Tables'!$B$96,BE23&lt;='Range Tables'!$G$97,'Range Tables'!$B$97,BE23&lt;='Range Tables'!$G$98,'Range Tables'!$B$98,BE23&lt;='Range Tables'!$G$99,'Range Tables'!$B$99,BE23&lt;='Range Tables'!$G$100,'Range Tables'!$B$100,BE23&lt;='Range Tables'!$G$101,'Range Tables'!$B$101,BE23&lt;='Range Tables'!$G$102,'Range Tables'!$B$102,BE23&lt;='Range Tables'!$G$103,'Range Tables'!$B$103)</f>
        <v>Jammu</v>
      </c>
      <c r="BG23" s="112">
        <v>0.1908153028609686</v>
      </c>
      <c r="BH23" s="113" t="str">
        <f>ifs(BG23&lt;='Range Tables'!$G$112,'Range Tables'!$B$112,BG23&lt;='Range Tables'!$G$113,'Range Tables'!$B$113,BG23&lt;='Range Tables'!$G$114,'Range Tables'!$B$114)</f>
        <v>0</v>
      </c>
      <c r="BI23" s="117">
        <v>0.9361583308431927</v>
      </c>
      <c r="BJ23" s="113" t="str">
        <f>ifs(BI23&lt;='Range Tables'!$G$118,'Range Tables'!$B$118,BI23&lt;='Range Tables'!$G$119,'Range Tables'!$B$119)</f>
        <v>Expired</v>
      </c>
    </row>
    <row r="24">
      <c r="A24" s="85">
        <v>21.0</v>
      </c>
      <c r="B24" s="112">
        <v>0.3932748100433886</v>
      </c>
      <c r="C24" s="113" t="str">
        <f>ifs(B24&lt;='Range Tables'!$G$54,'Range Tables'!$B$54,B24&lt;='Range Tables'!$G$55,'Range Tables'!$B$55,B24&lt;='Range Tables'!$G$56,'Range Tables'!$B$56,B24&lt;='Range Tables'!$G$57,'Range Tables'!$B$57,B24&lt;='Range Tables'!$G$58,'Range Tables'!$B$58,B24&lt;='Range Tables'!$G$59,'Range Tables'!$B$59,B24&lt;='Range Tables'!$G$60,'Range Tables'!$B$60,B24&lt;='Range Tables'!$G$61,'Range Tables'!$B$61,B24&lt;='Range Tables'!$G$63,'Range Tables'!$B$63,B24&lt;='Range Tables'!$G$64,'Range Tables'!$B$64,B24&lt;='Range Tables'!$G$66,'Range Tables'!$B$66)</f>
        <v>30 - 60 </v>
      </c>
      <c r="D24" s="113">
        <f>IFERROR(__xludf.DUMMYFUNCTION("SPLIT(C24,""-"")"),30.0)</f>
        <v>30</v>
      </c>
      <c r="E24" s="113">
        <f>IFERROR(__xludf.DUMMYFUNCTION("""COMPUTED_VALUE"""),60.0)</f>
        <v>60</v>
      </c>
      <c r="F24" s="114">
        <f t="shared" ref="F24:F203" si="40">D24+B24*(E24-D24)</f>
        <v>41.7982443</v>
      </c>
      <c r="G24" s="112">
        <v>0.4551793073841176</v>
      </c>
      <c r="H24" s="113" t="str">
        <f>ifs(G24&lt;='Range Tables'!$G$86,'Range Tables'!$B$86,G24&lt;='Range Tables'!$G$87,'Range Tables'!$B$87,G24&lt;='Range Tables'!$G$88,'Range Tables'!$B$88,G24&lt;='Range Tables'!$G$89,'Range Tables'!$B$89,G24&lt;='Range Tables'!$G$90,'Range Tables'!$B$90,G24&lt;='Range Tables'!$G$91,'Range Tables'!$B$91)</f>
        <v>Car</v>
      </c>
      <c r="I24" s="112">
        <v>0.33139886562936416</v>
      </c>
      <c r="J24" s="113" t="str">
        <f>IFS(
  H24="Car", IF(I24&lt;='Range Tables'!$G$19, 'Range Tables'!$B$19, 'Range Tables'!$B$20), 
  H24="Bike", IF(I24&lt;='Range Tables'!$G$25, 'Range Tables'!$B$25, 'Range Tables'!$B$26), 
  H24="Scooter", IF(I24&lt;='Range Tables'!$G$31, 'Range Tables'!$B$31, 'Range Tables'!$B$32), 
  H24="Auto", IF(I24&lt;='Range Tables'!$G$37, 'Range Tables'!$B$37, 'Range Tables'!$B$38), 
  H24="Carriers*", IF(I24&lt;='Range Tables'!$G$43, 'Range Tables'!$B$43, 'Range Tables'!$B$44), 
  H24="Van*", IF(I24&lt;='Range Tables'!$G$50, 'Range Tables'!$B$50, 'Range Tables'!$B$49)
)</f>
        <v>Petrol</v>
      </c>
      <c r="K24" s="112">
        <v>0.04811720860672408</v>
      </c>
      <c r="L24" s="113">
        <f>if(J24="Petrol",ifs(K24&lt;='Range Tables'!$G$5,'Range Tables'!$B$5,K24&lt;='Range Tables'!$G$6,'Range Tables'!$B$6,K24&lt;='Range Tables'!$G$7,'Range Tables'!$B$7),ifs(K24&lt;='Range Tables'!$G$13,'Range Tables'!$B$13,K24&lt;='Range Tables'!$G$14,'Range Tables'!$B$14))</f>
        <v>2</v>
      </c>
      <c r="M24" s="112">
        <v>0.05588530029324179</v>
      </c>
      <c r="N24" s="113" t="str">
        <f>ifs(H24="Car",ifs(M24&lt;='Range Tables'!$G$125,'Range Tables'!$B$125,M24&lt;='Range Tables'!$G$126,'Range Tables'!$B$126,M24&lt;='Range Tables'!$G$127,'Range Tables'!$B$127,M24&lt;='Range Tables'!$G$128,'Range Tables'!$B$128,M24&lt;='Range Tables'!$G$129,'Range Tables'!$B$129,'Range Tables'!$G$131,'Range Tables'!$B$131),H24="Bike",ifs(M24&lt;='Range Tables'!$G$136,'Range Tables'!$B$136,M24&lt;='Range Tables'!$G$137,'Range Tables'!$B$137,M24&lt;='Range Tables'!$G$138,'Range Tables'!$B$138,M24&lt;='Range Tables'!$G$142,'Range Tables'!$B$142),H24="Scooter",ifs(M24&lt;='Range Tables'!$G$148,'Range Tables'!$B$148,M24&lt;='Range Tables'!$G$149,'Range Tables'!$B$149,M24&lt;='Range Tables'!$G$150,'Range Tables'!$B$150,M24&lt;='Range Tables'!$G$151,'Range Tables'!$B$151),H24="Auto",ifs(M24&lt;='Range Tables'!$G$161,'Range Tables'!$B$161,M24&lt;='Range Tables'!$G$162,'Range Tables'!$B$162,M24&lt;='Range Tables'!$G$163,'Range Tables'!$B$163,M24&lt;='Range Tables'!$G$164,'Range Tables'!$B$164),H24="Carriers*",ifs(M24&lt;='Range Tables'!$G$173,'Range Tables'!$B$173,M24&lt;='Range Tables'!$G$174,'Range Tables'!$B$174,M24&lt;='Range Tables'!$G$175,'Range Tables'!$B$175,M24&lt;='Range Tables'!$G$176,'Range Tables'!$B$176,M24&lt;='Range Tables'!$G$177,'Range Tables'!$B$177,M24&lt;='Range Tables'!$G$179,'Range Tables'!$B$179),H24="Van*",ifs(M24&lt;='Range Tables'!$G$186,'Range Tables'!$B$186))</f>
        <v>60 - 120</v>
      </c>
      <c r="O24" s="113">
        <f>IFERROR(__xludf.DUMMYFUNCTION("SPLIT(N24,""-"")"),60.0)</f>
        <v>60</v>
      </c>
      <c r="P24" s="113">
        <f>IFERROR(__xludf.DUMMYFUNCTION("""COMPUTED_VALUE"""),120.0)</f>
        <v>120</v>
      </c>
      <c r="Q24" s="114">
        <f t="shared" si="2"/>
        <v>63.35311802</v>
      </c>
      <c r="R24" s="115">
        <f t="shared" si="3"/>
        <v>0.0123782354</v>
      </c>
      <c r="S24" s="114">
        <f t="shared" si="39"/>
        <v>1069.479538</v>
      </c>
      <c r="T24" s="113" t="str">
        <f t="shared" si="4"/>
        <v>no</v>
      </c>
      <c r="U24" s="115">
        <f t="shared" si="5"/>
        <v>0</v>
      </c>
      <c r="V24" s="113">
        <f t="shared" si="34"/>
        <v>0</v>
      </c>
      <c r="W24" s="115">
        <f t="shared" si="6"/>
        <v>0</v>
      </c>
      <c r="X24" s="85">
        <f t="shared" si="7"/>
        <v>0</v>
      </c>
      <c r="Y24" s="116">
        <f t="shared" si="8"/>
        <v>0</v>
      </c>
      <c r="Z24" s="113">
        <f t="shared" si="9"/>
        <v>0</v>
      </c>
      <c r="AA24" s="113" t="str">
        <f t="shared" si="10"/>
        <v>yes</v>
      </c>
      <c r="AB24" s="115">
        <f t="shared" si="11"/>
        <v>0.001291638352</v>
      </c>
      <c r="AC24" s="114">
        <f t="shared" si="35"/>
        <v>111.5975536</v>
      </c>
      <c r="AD24" s="116">
        <f t="shared" si="12"/>
        <v>0.01366987375</v>
      </c>
      <c r="AE24" s="114">
        <f t="shared" si="13"/>
        <v>1181.077092</v>
      </c>
      <c r="AF24" s="116">
        <f t="shared" si="14"/>
        <v>0.01440312743</v>
      </c>
      <c r="AG24" s="114">
        <f t="shared" si="15"/>
        <v>1244.43021</v>
      </c>
      <c r="AH24" s="113" t="str">
        <f t="shared" si="16"/>
        <v>no</v>
      </c>
      <c r="AI24" s="115">
        <f t="shared" si="17"/>
        <v>0</v>
      </c>
      <c r="AJ24" s="113">
        <f t="shared" si="36"/>
        <v>0</v>
      </c>
      <c r="AK24" s="116">
        <f t="shared" si="18"/>
        <v>0</v>
      </c>
      <c r="AL24" s="113">
        <f t="shared" si="19"/>
        <v>0</v>
      </c>
      <c r="AM24" s="115">
        <f t="shared" si="20"/>
        <v>0</v>
      </c>
      <c r="AN24" s="85">
        <f t="shared" si="21"/>
        <v>0</v>
      </c>
      <c r="AO24" s="113" t="str">
        <f t="shared" si="22"/>
        <v>no</v>
      </c>
      <c r="AP24" s="115">
        <f t="shared" si="23"/>
        <v>0</v>
      </c>
      <c r="AQ24" s="113">
        <f t="shared" si="37"/>
        <v>0</v>
      </c>
      <c r="AR24" s="116">
        <f t="shared" si="24"/>
        <v>0</v>
      </c>
      <c r="AS24" s="113">
        <f t="shared" si="25"/>
        <v>0</v>
      </c>
      <c r="AT24" s="116">
        <f t="shared" si="26"/>
        <v>0</v>
      </c>
      <c r="AU24" s="113">
        <f t="shared" si="27"/>
        <v>0</v>
      </c>
      <c r="AV24" s="113" t="str">
        <f t="shared" si="28"/>
        <v>no</v>
      </c>
      <c r="AW24" s="115">
        <f t="shared" si="29"/>
        <v>0</v>
      </c>
      <c r="AX24" s="85">
        <f t="shared" si="38"/>
        <v>0</v>
      </c>
      <c r="AY24" s="116">
        <f t="shared" si="30"/>
        <v>0</v>
      </c>
      <c r="AZ24" s="113">
        <f t="shared" si="31"/>
        <v>0</v>
      </c>
      <c r="BA24" s="116">
        <f t="shared" si="32"/>
        <v>0</v>
      </c>
      <c r="BB24" s="113">
        <f t="shared" si="33"/>
        <v>0</v>
      </c>
      <c r="BC24" s="112">
        <v>0.7159721444306514</v>
      </c>
      <c r="BD24" s="113" t="str">
        <f>ifs(BC24&lt;='Range Tables'!$G$81,'Range Tables'!$B$81,BC24&lt;='Range Tables'!$G$82,'Range Tables'!$B$82)</f>
        <v>Offline*</v>
      </c>
      <c r="BE24" s="112">
        <v>0.23244302204695688</v>
      </c>
      <c r="BF24" s="112" t="str">
        <f>ifs(BE24&lt;='Range Tables'!$G$95,'Range Tables'!$B$95,BE24&lt;='Range Tables'!$G$96,'Range Tables'!$B$96,BE24&lt;='Range Tables'!$G$97,'Range Tables'!$B$97,BE24&lt;='Range Tables'!$G$98,'Range Tables'!$B$98,BE24&lt;='Range Tables'!$G$99,'Range Tables'!$B$99,BE24&lt;='Range Tables'!$G$100,'Range Tables'!$B$100,BE24&lt;='Range Tables'!$G$101,'Range Tables'!$B$101,BE24&lt;='Range Tables'!$G$102,'Range Tables'!$B$102,BE24&lt;='Range Tables'!$G$103,'Range Tables'!$B$103)</f>
        <v>Jammu</v>
      </c>
      <c r="BG24" s="112">
        <v>0.45059767183026345</v>
      </c>
      <c r="BH24" s="113" t="str">
        <f>ifs(BG24&lt;='Range Tables'!$G$112,'Range Tables'!$B$112,BG24&lt;='Range Tables'!$G$113,'Range Tables'!$B$113,BG24&lt;='Range Tables'!$G$114,'Range Tables'!$B$114)</f>
        <v>0</v>
      </c>
      <c r="BI24" s="117">
        <v>0.12578054908824143</v>
      </c>
      <c r="BJ24" s="113" t="str">
        <f>ifs(BI24&lt;='Range Tables'!$G$118,'Range Tables'!$B$118,BI24&lt;='Range Tables'!$G$119,'Range Tables'!$B$119)</f>
        <v>Valid</v>
      </c>
    </row>
    <row r="25">
      <c r="A25" s="85">
        <v>22.0</v>
      </c>
      <c r="B25" s="112">
        <v>0.7425637664167065</v>
      </c>
      <c r="C25" s="113" t="str">
        <f>ifs(B25&lt;='Range Tables'!$G$54,'Range Tables'!$B$54,B25&lt;='Range Tables'!$G$55,'Range Tables'!$B$55,B25&lt;='Range Tables'!$G$56,'Range Tables'!$B$56,B25&lt;='Range Tables'!$G$57,'Range Tables'!$B$57,B25&lt;='Range Tables'!$G$58,'Range Tables'!$B$58,B25&lt;='Range Tables'!$G$59,'Range Tables'!$B$59,B25&lt;='Range Tables'!$G$60,'Range Tables'!$B$60,B25&lt;='Range Tables'!$G$61,'Range Tables'!$B$61,B25&lt;='Range Tables'!$G$63,'Range Tables'!$B$63,B25&lt;='Range Tables'!$G$64,'Range Tables'!$B$64,B25&lt;='Range Tables'!$G$66,'Range Tables'!$B$66)</f>
        <v>90 - 120</v>
      </c>
      <c r="D25" s="113">
        <f>IFERROR(__xludf.DUMMYFUNCTION("SPLIT(C25,""-"")"),90.0)</f>
        <v>90</v>
      </c>
      <c r="E25" s="113">
        <f>IFERROR(__xludf.DUMMYFUNCTION("""COMPUTED_VALUE"""),120.0)</f>
        <v>120</v>
      </c>
      <c r="F25" s="114">
        <f t="shared" si="40"/>
        <v>112.276913</v>
      </c>
      <c r="G25" s="112">
        <v>0.5104656767655649</v>
      </c>
      <c r="H25" s="113" t="str">
        <f>ifs(G25&lt;='Range Tables'!$G$86,'Range Tables'!$B$86,G25&lt;='Range Tables'!$G$87,'Range Tables'!$B$87,G25&lt;='Range Tables'!$G$88,'Range Tables'!$B$88,G25&lt;='Range Tables'!$G$89,'Range Tables'!$B$89,G25&lt;='Range Tables'!$G$90,'Range Tables'!$B$90,G25&lt;='Range Tables'!$G$91,'Range Tables'!$B$91)</f>
        <v>Bike</v>
      </c>
      <c r="I25" s="112">
        <v>0.02194659344104155</v>
      </c>
      <c r="J25" s="113" t="str">
        <f>IFS(
  H25="Car", IF(I25&lt;='Range Tables'!$G$19, 'Range Tables'!$B$19, 'Range Tables'!$B$20), 
  H25="Bike", IF(I25&lt;='Range Tables'!$G$25, 'Range Tables'!$B$25, 'Range Tables'!$B$26), 
  H25="Scooter", IF(I25&lt;='Range Tables'!$G$31, 'Range Tables'!$B$31, 'Range Tables'!$B$32), 
  H25="Auto", IF(I25&lt;='Range Tables'!$G$37, 'Range Tables'!$B$37, 'Range Tables'!$B$38), 
  H25="Carriers*", IF(I25&lt;='Range Tables'!$G$43, 'Range Tables'!$B$43, 'Range Tables'!$B$44), 
  H25="Van*", IF(I25&lt;='Range Tables'!$G$50, 'Range Tables'!$B$50, 'Range Tables'!$B$49)
)</f>
        <v>Petrol</v>
      </c>
      <c r="K25" s="112">
        <v>0.6363717763239783</v>
      </c>
      <c r="L25" s="113">
        <f>if(J25="Petrol",ifs(K25&lt;='Range Tables'!$G$5,'Range Tables'!$B$5,K25&lt;='Range Tables'!$G$6,'Range Tables'!$B$6,K25&lt;='Range Tables'!$G$7,'Range Tables'!$B$7),ifs(K25&lt;='Range Tables'!$G$13,'Range Tables'!$B$13,K25&lt;='Range Tables'!$G$14,'Range Tables'!$B$14))</f>
        <v>3</v>
      </c>
      <c r="M25" s="112">
        <v>0.5455765815915199</v>
      </c>
      <c r="N25" s="113" t="str">
        <f>ifs(H25="Car",ifs(M25&lt;='Range Tables'!$G$125,'Range Tables'!$B$125,M25&lt;='Range Tables'!$G$126,'Range Tables'!$B$126,M25&lt;='Range Tables'!$G$127,'Range Tables'!$B$127,M25&lt;='Range Tables'!$G$128,'Range Tables'!$B$128,M25&lt;='Range Tables'!$G$129,'Range Tables'!$B$129,'Range Tables'!$G$131,'Range Tables'!$B$131),H25="Bike",ifs(M25&lt;='Range Tables'!$G$136,'Range Tables'!$B$136,M25&lt;='Range Tables'!$G$137,'Range Tables'!$B$137,M25&lt;='Range Tables'!$G$138,'Range Tables'!$B$138,M25&lt;='Range Tables'!$G$142,'Range Tables'!$B$142),H25="Scooter",ifs(M25&lt;='Range Tables'!$G$148,'Range Tables'!$B$148,M25&lt;='Range Tables'!$G$149,'Range Tables'!$B$149,M25&lt;='Range Tables'!$G$150,'Range Tables'!$B$150,M25&lt;='Range Tables'!$G$151,'Range Tables'!$B$151),H25="Auto",ifs(M25&lt;='Range Tables'!$G$161,'Range Tables'!$B$161,M25&lt;='Range Tables'!$G$162,'Range Tables'!$B$162,M25&lt;='Range Tables'!$G$163,'Range Tables'!$B$163,M25&lt;='Range Tables'!$G$164,'Range Tables'!$B$164),H25="Carriers*",ifs(M25&lt;='Range Tables'!$G$173,'Range Tables'!$B$173,M25&lt;='Range Tables'!$G$174,'Range Tables'!$B$174,M25&lt;='Range Tables'!$G$175,'Range Tables'!$B$175,M25&lt;='Range Tables'!$G$176,'Range Tables'!$B$176,M25&lt;='Range Tables'!$G$177,'Range Tables'!$B$177,M25&lt;='Range Tables'!$G$179,'Range Tables'!$B$179),H25="Van*",ifs(M25&lt;='Range Tables'!$G$186,'Range Tables'!$B$186))</f>
        <v>60 - 120</v>
      </c>
      <c r="O25" s="113">
        <f>IFERROR(__xludf.DUMMYFUNCTION("SPLIT(N25,""-"")"),60.0)</f>
        <v>60</v>
      </c>
      <c r="P25" s="113">
        <f>IFERROR(__xludf.DUMMYFUNCTION("""COMPUTED_VALUE"""),120.0)</f>
        <v>120</v>
      </c>
      <c r="Q25" s="114">
        <f t="shared" si="2"/>
        <v>92.7345949</v>
      </c>
      <c r="R25" s="115">
        <f t="shared" si="3"/>
        <v>0.01286201137</v>
      </c>
      <c r="S25" s="114">
        <f t="shared" si="39"/>
        <v>1111.277783</v>
      </c>
      <c r="T25" s="113" t="str">
        <f t="shared" si="4"/>
        <v>no</v>
      </c>
      <c r="U25" s="115">
        <f t="shared" si="5"/>
        <v>0</v>
      </c>
      <c r="V25" s="113">
        <f t="shared" si="34"/>
        <v>0</v>
      </c>
      <c r="W25" s="115">
        <f t="shared" si="6"/>
        <v>0</v>
      </c>
      <c r="X25" s="85">
        <f t="shared" si="7"/>
        <v>0</v>
      </c>
      <c r="Y25" s="116">
        <f t="shared" si="8"/>
        <v>0</v>
      </c>
      <c r="Z25" s="113">
        <f t="shared" si="9"/>
        <v>0</v>
      </c>
      <c r="AA25" s="113" t="str">
        <f t="shared" si="10"/>
        <v>no</v>
      </c>
      <c r="AB25" s="115">
        <f t="shared" si="11"/>
        <v>0</v>
      </c>
      <c r="AC25" s="113">
        <f t="shared" si="35"/>
        <v>0</v>
      </c>
      <c r="AD25" s="116">
        <f t="shared" si="12"/>
        <v>0</v>
      </c>
      <c r="AE25" s="113">
        <f t="shared" si="13"/>
        <v>0</v>
      </c>
      <c r="AF25" s="116">
        <f t="shared" si="14"/>
        <v>0</v>
      </c>
      <c r="AG25" s="113">
        <f t="shared" si="15"/>
        <v>0</v>
      </c>
      <c r="AH25" s="113" t="str">
        <f t="shared" si="16"/>
        <v>yes</v>
      </c>
      <c r="AI25" s="115">
        <f t="shared" si="17"/>
        <v>0</v>
      </c>
      <c r="AJ25" s="113">
        <f t="shared" si="36"/>
        <v>0</v>
      </c>
      <c r="AK25" s="116">
        <f t="shared" si="18"/>
        <v>0.01286201137</v>
      </c>
      <c r="AL25" s="114">
        <f t="shared" si="19"/>
        <v>1111.277783</v>
      </c>
      <c r="AM25" s="115">
        <f t="shared" si="20"/>
        <v>0.01393532845</v>
      </c>
      <c r="AN25" s="118">
        <f t="shared" si="21"/>
        <v>1204.012378</v>
      </c>
      <c r="AO25" s="113" t="str">
        <f t="shared" si="22"/>
        <v>no</v>
      </c>
      <c r="AP25" s="115">
        <f t="shared" si="23"/>
        <v>0</v>
      </c>
      <c r="AQ25" s="113">
        <f t="shared" si="37"/>
        <v>0</v>
      </c>
      <c r="AR25" s="116">
        <f t="shared" si="24"/>
        <v>0</v>
      </c>
      <c r="AS25" s="113">
        <f t="shared" si="25"/>
        <v>0</v>
      </c>
      <c r="AT25" s="116">
        <f t="shared" si="26"/>
        <v>0</v>
      </c>
      <c r="AU25" s="113">
        <f t="shared" si="27"/>
        <v>0</v>
      </c>
      <c r="AV25" s="113" t="str">
        <f t="shared" si="28"/>
        <v>no</v>
      </c>
      <c r="AW25" s="115">
        <f t="shared" si="29"/>
        <v>0</v>
      </c>
      <c r="AX25" s="85">
        <f t="shared" si="38"/>
        <v>0</v>
      </c>
      <c r="AY25" s="116">
        <f t="shared" si="30"/>
        <v>0</v>
      </c>
      <c r="AZ25" s="113">
        <f t="shared" si="31"/>
        <v>0</v>
      </c>
      <c r="BA25" s="116">
        <f t="shared" si="32"/>
        <v>0</v>
      </c>
      <c r="BB25" s="113">
        <f t="shared" si="33"/>
        <v>0</v>
      </c>
      <c r="BC25" s="112">
        <v>0.3598057379999271</v>
      </c>
      <c r="BD25" s="113" t="str">
        <f>ifs(BC25&lt;='Range Tables'!$G$81,'Range Tables'!$B$81,BC25&lt;='Range Tables'!$G$82,'Range Tables'!$B$82)</f>
        <v>Offline*</v>
      </c>
      <c r="BE25" s="112">
        <v>0.21252050363676167</v>
      </c>
      <c r="BF25" s="112" t="str">
        <f>ifs(BE25&lt;='Range Tables'!$G$95,'Range Tables'!$B$95,BE25&lt;='Range Tables'!$G$96,'Range Tables'!$B$96,BE25&lt;='Range Tables'!$G$97,'Range Tables'!$B$97,BE25&lt;='Range Tables'!$G$98,'Range Tables'!$B$98,BE25&lt;='Range Tables'!$G$99,'Range Tables'!$B$99,BE25&lt;='Range Tables'!$G$100,'Range Tables'!$B$100,BE25&lt;='Range Tables'!$G$101,'Range Tables'!$B$101,BE25&lt;='Range Tables'!$G$102,'Range Tables'!$B$102,BE25&lt;='Range Tables'!$G$103,'Range Tables'!$B$103)</f>
        <v>Jammu</v>
      </c>
      <c r="BG25" s="112">
        <v>0.30161563072792463</v>
      </c>
      <c r="BH25" s="113" t="str">
        <f>ifs(BG25&lt;='Range Tables'!$G$112,'Range Tables'!$B$112,BG25&lt;='Range Tables'!$G$113,'Range Tables'!$B$113,BG25&lt;='Range Tables'!$G$114,'Range Tables'!$B$114)</f>
        <v>0</v>
      </c>
      <c r="BI25" s="117">
        <v>0.8143933668566314</v>
      </c>
      <c r="BJ25" s="113" t="str">
        <f>ifs(BI25&lt;='Range Tables'!$G$118,'Range Tables'!$B$118,BI25&lt;='Range Tables'!$G$119,'Range Tables'!$B$119)</f>
        <v>Expired</v>
      </c>
    </row>
    <row r="26">
      <c r="A26" s="85">
        <v>23.0</v>
      </c>
      <c r="B26" s="112">
        <v>0.7847290811181868</v>
      </c>
      <c r="C26" s="113" t="str">
        <f>ifs(B26&lt;='Range Tables'!$G$54,'Range Tables'!$B$54,B26&lt;='Range Tables'!$G$55,'Range Tables'!$B$55,B26&lt;='Range Tables'!$G$56,'Range Tables'!$B$56,B26&lt;='Range Tables'!$G$57,'Range Tables'!$B$57,B26&lt;='Range Tables'!$G$58,'Range Tables'!$B$58,B26&lt;='Range Tables'!$G$59,'Range Tables'!$B$59,B26&lt;='Range Tables'!$G$60,'Range Tables'!$B$60,B26&lt;='Range Tables'!$G$61,'Range Tables'!$B$61,B26&lt;='Range Tables'!$G$63,'Range Tables'!$B$63,B26&lt;='Range Tables'!$G$64,'Range Tables'!$B$64,B26&lt;='Range Tables'!$G$66,'Range Tables'!$B$66)</f>
        <v>120 - 150</v>
      </c>
      <c r="D26" s="113">
        <f>IFERROR(__xludf.DUMMYFUNCTION("SPLIT(C26,""-"")"),120.0)</f>
        <v>120</v>
      </c>
      <c r="E26" s="113">
        <f>IFERROR(__xludf.DUMMYFUNCTION("""COMPUTED_VALUE"""),150.0)</f>
        <v>150</v>
      </c>
      <c r="F26" s="114">
        <f t="shared" si="40"/>
        <v>143.5418724</v>
      </c>
      <c r="G26" s="112">
        <v>0.4541432997999846</v>
      </c>
      <c r="H26" s="113" t="str">
        <f>ifs(G26&lt;='Range Tables'!$G$86,'Range Tables'!$B$86,G26&lt;='Range Tables'!$G$87,'Range Tables'!$B$87,G26&lt;='Range Tables'!$G$88,'Range Tables'!$B$88,G26&lt;='Range Tables'!$G$89,'Range Tables'!$B$89,G26&lt;='Range Tables'!$G$90,'Range Tables'!$B$90,G26&lt;='Range Tables'!$G$91,'Range Tables'!$B$91)</f>
        <v>Car</v>
      </c>
      <c r="I26" s="112">
        <v>0.3502339471651372</v>
      </c>
      <c r="J26" s="113" t="str">
        <f>IFS(
  H26="Car", IF(I26&lt;='Range Tables'!$G$19, 'Range Tables'!$B$19, 'Range Tables'!$B$20), 
  H26="Bike", IF(I26&lt;='Range Tables'!$G$25, 'Range Tables'!$B$25, 'Range Tables'!$B$26), 
  H26="Scooter", IF(I26&lt;='Range Tables'!$G$31, 'Range Tables'!$B$31, 'Range Tables'!$B$32), 
  H26="Auto", IF(I26&lt;='Range Tables'!$G$37, 'Range Tables'!$B$37, 'Range Tables'!$B$38), 
  H26="Carriers*", IF(I26&lt;='Range Tables'!$G$43, 'Range Tables'!$B$43, 'Range Tables'!$B$44), 
  H26="Van*", IF(I26&lt;='Range Tables'!$G$50, 'Range Tables'!$B$50, 'Range Tables'!$B$49)
)</f>
        <v>Petrol</v>
      </c>
      <c r="K26" s="112">
        <v>0.5402368893783378</v>
      </c>
      <c r="L26" s="113">
        <f>if(J26="Petrol",ifs(K26&lt;='Range Tables'!$G$5,'Range Tables'!$B$5,K26&lt;='Range Tables'!$G$6,'Range Tables'!$B$6,K26&lt;='Range Tables'!$G$7,'Range Tables'!$B$7),ifs(K26&lt;='Range Tables'!$G$13,'Range Tables'!$B$13,K26&lt;='Range Tables'!$G$14,'Range Tables'!$B$14))</f>
        <v>3</v>
      </c>
      <c r="M26" s="112">
        <v>0.44245723168422824</v>
      </c>
      <c r="N26" s="113" t="str">
        <f>ifs(H26="Car",ifs(M26&lt;='Range Tables'!$G$125,'Range Tables'!$B$125,M26&lt;='Range Tables'!$G$126,'Range Tables'!$B$126,M26&lt;='Range Tables'!$G$127,'Range Tables'!$B$127,M26&lt;='Range Tables'!$G$128,'Range Tables'!$B$128,M26&lt;='Range Tables'!$G$129,'Range Tables'!$B$129,'Range Tables'!$G$131,'Range Tables'!$B$131),H26="Bike",ifs(M26&lt;='Range Tables'!$G$136,'Range Tables'!$B$136,M26&lt;='Range Tables'!$G$137,'Range Tables'!$B$137,M26&lt;='Range Tables'!$G$138,'Range Tables'!$B$138,M26&lt;='Range Tables'!$G$142,'Range Tables'!$B$142),H26="Scooter",ifs(M26&lt;='Range Tables'!$G$148,'Range Tables'!$B$148,M26&lt;='Range Tables'!$G$149,'Range Tables'!$B$149,M26&lt;='Range Tables'!$G$150,'Range Tables'!$B$150,M26&lt;='Range Tables'!$G$151,'Range Tables'!$B$151),H26="Auto",ifs(M26&lt;='Range Tables'!$G$161,'Range Tables'!$B$161,M26&lt;='Range Tables'!$G$162,'Range Tables'!$B$162,M26&lt;='Range Tables'!$G$163,'Range Tables'!$B$163,M26&lt;='Range Tables'!$G$164,'Range Tables'!$B$164),H26="Carriers*",ifs(M26&lt;='Range Tables'!$G$173,'Range Tables'!$B$173,M26&lt;='Range Tables'!$G$174,'Range Tables'!$B$174,M26&lt;='Range Tables'!$G$175,'Range Tables'!$B$175,M26&lt;='Range Tables'!$G$176,'Range Tables'!$B$176,M26&lt;='Range Tables'!$G$177,'Range Tables'!$B$177,M26&lt;='Range Tables'!$G$179,'Range Tables'!$B$179),H26="Van*",ifs(M26&lt;='Range Tables'!$G$186,'Range Tables'!$B$186))</f>
        <v>60 - 120</v>
      </c>
      <c r="O26" s="113">
        <f>IFERROR(__xludf.DUMMYFUNCTION("SPLIT(N26,""-"")"),60.0)</f>
        <v>60</v>
      </c>
      <c r="P26" s="113">
        <f>IFERROR(__xludf.DUMMYFUNCTION("""COMPUTED_VALUE"""),120.0)</f>
        <v>120</v>
      </c>
      <c r="Q26" s="114">
        <f t="shared" si="2"/>
        <v>86.5474339</v>
      </c>
      <c r="R26" s="115">
        <f t="shared" si="3"/>
        <v>0.01416151268</v>
      </c>
      <c r="S26" s="114">
        <f t="shared" si="39"/>
        <v>1223.554696</v>
      </c>
      <c r="T26" s="113" t="str">
        <f t="shared" si="4"/>
        <v>no</v>
      </c>
      <c r="U26" s="115">
        <f t="shared" si="5"/>
        <v>0</v>
      </c>
      <c r="V26" s="113">
        <f t="shared" si="34"/>
        <v>0</v>
      </c>
      <c r="W26" s="115">
        <f t="shared" si="6"/>
        <v>0</v>
      </c>
      <c r="X26" s="85">
        <f t="shared" si="7"/>
        <v>0</v>
      </c>
      <c r="Y26" s="116">
        <f t="shared" si="8"/>
        <v>0</v>
      </c>
      <c r="Z26" s="113">
        <f t="shared" si="9"/>
        <v>0</v>
      </c>
      <c r="AA26" s="113" t="str">
        <f t="shared" si="10"/>
        <v>no</v>
      </c>
      <c r="AB26" s="115">
        <f t="shared" si="11"/>
        <v>0</v>
      </c>
      <c r="AC26" s="113">
        <f t="shared" si="35"/>
        <v>0</v>
      </c>
      <c r="AD26" s="116">
        <f t="shared" si="12"/>
        <v>0</v>
      </c>
      <c r="AE26" s="113">
        <f t="shared" si="13"/>
        <v>0</v>
      </c>
      <c r="AF26" s="116">
        <f t="shared" si="14"/>
        <v>0</v>
      </c>
      <c r="AG26" s="113">
        <f t="shared" si="15"/>
        <v>0</v>
      </c>
      <c r="AH26" s="113" t="str">
        <f t="shared" si="16"/>
        <v>yes</v>
      </c>
      <c r="AI26" s="115">
        <f t="shared" si="17"/>
        <v>0</v>
      </c>
      <c r="AJ26" s="113">
        <f t="shared" si="36"/>
        <v>0</v>
      </c>
      <c r="AK26" s="116">
        <f t="shared" si="18"/>
        <v>0.01416151268</v>
      </c>
      <c r="AL26" s="114">
        <f t="shared" si="19"/>
        <v>1223.554696</v>
      </c>
      <c r="AM26" s="115">
        <f t="shared" si="20"/>
        <v>0.01516321909</v>
      </c>
      <c r="AN26" s="118">
        <f t="shared" si="21"/>
        <v>1310.10213</v>
      </c>
      <c r="AO26" s="113" t="str">
        <f t="shared" si="22"/>
        <v>no</v>
      </c>
      <c r="AP26" s="115">
        <f t="shared" si="23"/>
        <v>0</v>
      </c>
      <c r="AQ26" s="113">
        <f t="shared" si="37"/>
        <v>0</v>
      </c>
      <c r="AR26" s="116">
        <f t="shared" si="24"/>
        <v>0</v>
      </c>
      <c r="AS26" s="113">
        <f t="shared" si="25"/>
        <v>0</v>
      </c>
      <c r="AT26" s="116">
        <f t="shared" si="26"/>
        <v>0</v>
      </c>
      <c r="AU26" s="113">
        <f t="shared" si="27"/>
        <v>0</v>
      </c>
      <c r="AV26" s="113" t="str">
        <f t="shared" si="28"/>
        <v>no</v>
      </c>
      <c r="AW26" s="115">
        <f t="shared" si="29"/>
        <v>0</v>
      </c>
      <c r="AX26" s="85">
        <f t="shared" si="38"/>
        <v>0</v>
      </c>
      <c r="AY26" s="116">
        <f t="shared" si="30"/>
        <v>0</v>
      </c>
      <c r="AZ26" s="113">
        <f t="shared" si="31"/>
        <v>0</v>
      </c>
      <c r="BA26" s="116">
        <f t="shared" si="32"/>
        <v>0</v>
      </c>
      <c r="BB26" s="113">
        <f t="shared" si="33"/>
        <v>0</v>
      </c>
      <c r="BC26" s="112">
        <v>0.4518672034693084</v>
      </c>
      <c r="BD26" s="113" t="str">
        <f>ifs(BC26&lt;='Range Tables'!$G$81,'Range Tables'!$B$81,BC26&lt;='Range Tables'!$G$82,'Range Tables'!$B$82)</f>
        <v>Offline*</v>
      </c>
      <c r="BE26" s="112">
        <v>0.07633178883100655</v>
      </c>
      <c r="BF26" s="112" t="str">
        <f>ifs(BE26&lt;='Range Tables'!$G$95,'Range Tables'!$B$95,BE26&lt;='Range Tables'!$G$96,'Range Tables'!$B$96,BE26&lt;='Range Tables'!$G$97,'Range Tables'!$B$97,BE26&lt;='Range Tables'!$G$98,'Range Tables'!$B$98,BE26&lt;='Range Tables'!$G$99,'Range Tables'!$B$99,BE26&lt;='Range Tables'!$G$100,'Range Tables'!$B$100,BE26&lt;='Range Tables'!$G$101,'Range Tables'!$B$101,BE26&lt;='Range Tables'!$G$102,'Range Tables'!$B$102,BE26&lt;='Range Tables'!$G$103,'Range Tables'!$B$103)</f>
        <v>Jammu</v>
      </c>
      <c r="BG26" s="112">
        <v>0.45727521121603165</v>
      </c>
      <c r="BH26" s="113" t="str">
        <f>ifs(BG26&lt;='Range Tables'!$G$112,'Range Tables'!$B$112,BG26&lt;='Range Tables'!$G$113,'Range Tables'!$B$113,BG26&lt;='Range Tables'!$G$114,'Range Tables'!$B$114)</f>
        <v>0</v>
      </c>
      <c r="BI26" s="117">
        <v>0.3808802595473675</v>
      </c>
      <c r="BJ26" s="113" t="str">
        <f>ifs(BI26&lt;='Range Tables'!$G$118,'Range Tables'!$B$118,BI26&lt;='Range Tables'!$G$119,'Range Tables'!$B$119)</f>
        <v>Valid</v>
      </c>
    </row>
    <row r="27">
      <c r="A27" s="85">
        <v>24.0</v>
      </c>
      <c r="B27" s="112">
        <v>0.43188857793505386</v>
      </c>
      <c r="C27" s="113" t="str">
        <f>ifs(B27&lt;='Range Tables'!$G$54,'Range Tables'!$B$54,B27&lt;='Range Tables'!$G$55,'Range Tables'!$B$55,B27&lt;='Range Tables'!$G$56,'Range Tables'!$B$56,B27&lt;='Range Tables'!$G$57,'Range Tables'!$B$57,B27&lt;='Range Tables'!$G$58,'Range Tables'!$B$58,B27&lt;='Range Tables'!$G$59,'Range Tables'!$B$59,B27&lt;='Range Tables'!$G$60,'Range Tables'!$B$60,B27&lt;='Range Tables'!$G$61,'Range Tables'!$B$61,B27&lt;='Range Tables'!$G$63,'Range Tables'!$B$63,B27&lt;='Range Tables'!$G$64,'Range Tables'!$B$64,B27&lt;='Range Tables'!$G$66,'Range Tables'!$B$66)</f>
        <v>30 - 60 </v>
      </c>
      <c r="D27" s="113">
        <f>IFERROR(__xludf.DUMMYFUNCTION("SPLIT(C27,""-"")"),30.0)</f>
        <v>30</v>
      </c>
      <c r="E27" s="113">
        <f>IFERROR(__xludf.DUMMYFUNCTION("""COMPUTED_VALUE"""),60.0)</f>
        <v>60</v>
      </c>
      <c r="F27" s="114">
        <f t="shared" si="40"/>
        <v>42.95665734</v>
      </c>
      <c r="G27" s="112">
        <v>0.48854457649729277</v>
      </c>
      <c r="H27" s="113" t="str">
        <f>ifs(G27&lt;='Range Tables'!$G$86,'Range Tables'!$B$86,G27&lt;='Range Tables'!$G$87,'Range Tables'!$B$87,G27&lt;='Range Tables'!$G$88,'Range Tables'!$B$88,G27&lt;='Range Tables'!$G$89,'Range Tables'!$B$89,G27&lt;='Range Tables'!$G$90,'Range Tables'!$B$90,G27&lt;='Range Tables'!$G$91,'Range Tables'!$B$91)</f>
        <v>Bike</v>
      </c>
      <c r="I27" s="112">
        <v>0.2830201699125048</v>
      </c>
      <c r="J27" s="113" t="str">
        <f>IFS(
  H27="Car", IF(I27&lt;='Range Tables'!$G$19, 'Range Tables'!$B$19, 'Range Tables'!$B$20), 
  H27="Bike", IF(I27&lt;='Range Tables'!$G$25, 'Range Tables'!$B$25, 'Range Tables'!$B$26), 
  H27="Scooter", IF(I27&lt;='Range Tables'!$G$31, 'Range Tables'!$B$31, 'Range Tables'!$B$32), 
  H27="Auto", IF(I27&lt;='Range Tables'!$G$37, 'Range Tables'!$B$37, 'Range Tables'!$B$38), 
  H27="Carriers*", IF(I27&lt;='Range Tables'!$G$43, 'Range Tables'!$B$43, 'Range Tables'!$B$44), 
  H27="Van*", IF(I27&lt;='Range Tables'!$G$50, 'Range Tables'!$B$50, 'Range Tables'!$B$49)
)</f>
        <v>Petrol</v>
      </c>
      <c r="K27" s="112">
        <v>0.3707959416211182</v>
      </c>
      <c r="L27" s="113">
        <f>if(J27="Petrol",ifs(K27&lt;='Range Tables'!$G$5,'Range Tables'!$B$5,K27&lt;='Range Tables'!$G$6,'Range Tables'!$B$6,K27&lt;='Range Tables'!$G$7,'Range Tables'!$B$7),ifs(K27&lt;='Range Tables'!$G$13,'Range Tables'!$B$13,K27&lt;='Range Tables'!$G$14,'Range Tables'!$B$14))</f>
        <v>2</v>
      </c>
      <c r="M27" s="112">
        <v>0.7761671063315507</v>
      </c>
      <c r="N27" s="113" t="str">
        <f>ifs(H27="Car",ifs(M27&lt;='Range Tables'!$G$125,'Range Tables'!$B$125,M27&lt;='Range Tables'!$G$126,'Range Tables'!$B$126,M27&lt;='Range Tables'!$G$127,'Range Tables'!$B$127,M27&lt;='Range Tables'!$G$128,'Range Tables'!$B$128,M27&lt;='Range Tables'!$G$129,'Range Tables'!$B$129,'Range Tables'!$G$131,'Range Tables'!$B$131),H27="Bike",ifs(M27&lt;='Range Tables'!$G$136,'Range Tables'!$B$136,M27&lt;='Range Tables'!$G$137,'Range Tables'!$B$137,M27&lt;='Range Tables'!$G$138,'Range Tables'!$B$138,M27&lt;='Range Tables'!$G$142,'Range Tables'!$B$142),H27="Scooter",ifs(M27&lt;='Range Tables'!$G$148,'Range Tables'!$B$148,M27&lt;='Range Tables'!$G$149,'Range Tables'!$B$149,M27&lt;='Range Tables'!$G$150,'Range Tables'!$B$150,M27&lt;='Range Tables'!$G$151,'Range Tables'!$B$151),H27="Auto",ifs(M27&lt;='Range Tables'!$G$161,'Range Tables'!$B$161,M27&lt;='Range Tables'!$G$162,'Range Tables'!$B$162,M27&lt;='Range Tables'!$G$163,'Range Tables'!$B$163,M27&lt;='Range Tables'!$G$164,'Range Tables'!$B$164),H27="Carriers*",ifs(M27&lt;='Range Tables'!$G$173,'Range Tables'!$B$173,M27&lt;='Range Tables'!$G$174,'Range Tables'!$B$174,M27&lt;='Range Tables'!$G$175,'Range Tables'!$B$175,M27&lt;='Range Tables'!$G$176,'Range Tables'!$B$176,M27&lt;='Range Tables'!$G$177,'Range Tables'!$B$177,M27&lt;='Range Tables'!$G$179,'Range Tables'!$B$179),H27="Van*",ifs(M27&lt;='Range Tables'!$G$186,'Range Tables'!$B$186))</f>
        <v>120 - 180</v>
      </c>
      <c r="O27" s="113">
        <f>IFERROR(__xludf.DUMMYFUNCTION("SPLIT(N27,""-"")"),120.0)</f>
        <v>120</v>
      </c>
      <c r="P27" s="113">
        <f>IFERROR(__xludf.DUMMYFUNCTION("""COMPUTED_VALUE"""),180.0)</f>
        <v>180</v>
      </c>
      <c r="Q27" s="114">
        <f t="shared" si="2"/>
        <v>166.5700264</v>
      </c>
      <c r="R27" s="115">
        <f t="shared" si="3"/>
        <v>0.01582287695</v>
      </c>
      <c r="S27" s="114">
        <f t="shared" si="39"/>
        <v>1367.096568</v>
      </c>
      <c r="T27" s="113" t="str">
        <f t="shared" si="4"/>
        <v>no</v>
      </c>
      <c r="U27" s="115">
        <f t="shared" si="5"/>
        <v>0</v>
      </c>
      <c r="V27" s="113">
        <f t="shared" si="34"/>
        <v>0</v>
      </c>
      <c r="W27" s="115">
        <f t="shared" si="6"/>
        <v>0</v>
      </c>
      <c r="X27" s="85">
        <f t="shared" si="7"/>
        <v>0</v>
      </c>
      <c r="Y27" s="116">
        <f t="shared" si="8"/>
        <v>0</v>
      </c>
      <c r="Z27" s="113">
        <f t="shared" si="9"/>
        <v>0</v>
      </c>
      <c r="AA27" s="113" t="str">
        <f t="shared" si="10"/>
        <v>yes</v>
      </c>
      <c r="AB27" s="115">
        <f t="shared" si="11"/>
        <v>0</v>
      </c>
      <c r="AC27" s="113">
        <f t="shared" si="35"/>
        <v>0</v>
      </c>
      <c r="AD27" s="116">
        <f t="shared" si="12"/>
        <v>0.01582287695</v>
      </c>
      <c r="AE27" s="114">
        <f t="shared" si="13"/>
        <v>1367.096568</v>
      </c>
      <c r="AF27" s="116">
        <f t="shared" si="14"/>
        <v>0.01775077077</v>
      </c>
      <c r="AG27" s="114">
        <f t="shared" si="15"/>
        <v>1533.666595</v>
      </c>
      <c r="AH27" s="113" t="str">
        <f t="shared" si="16"/>
        <v>no</v>
      </c>
      <c r="AI27" s="115">
        <f t="shared" si="17"/>
        <v>0</v>
      </c>
      <c r="AJ27" s="113">
        <f t="shared" si="36"/>
        <v>0</v>
      </c>
      <c r="AK27" s="116">
        <f t="shared" si="18"/>
        <v>0</v>
      </c>
      <c r="AL27" s="113">
        <f t="shared" si="19"/>
        <v>0</v>
      </c>
      <c r="AM27" s="115">
        <f t="shared" si="20"/>
        <v>0</v>
      </c>
      <c r="AN27" s="85">
        <f t="shared" si="21"/>
        <v>0</v>
      </c>
      <c r="AO27" s="113" t="str">
        <f t="shared" si="22"/>
        <v>no</v>
      </c>
      <c r="AP27" s="115">
        <f t="shared" si="23"/>
        <v>0</v>
      </c>
      <c r="AQ27" s="113">
        <f t="shared" si="37"/>
        <v>0</v>
      </c>
      <c r="AR27" s="116">
        <f t="shared" si="24"/>
        <v>0</v>
      </c>
      <c r="AS27" s="113">
        <f t="shared" si="25"/>
        <v>0</v>
      </c>
      <c r="AT27" s="116">
        <f t="shared" si="26"/>
        <v>0</v>
      </c>
      <c r="AU27" s="113">
        <f t="shared" si="27"/>
        <v>0</v>
      </c>
      <c r="AV27" s="113" t="str">
        <f t="shared" si="28"/>
        <v>no</v>
      </c>
      <c r="AW27" s="115">
        <f t="shared" si="29"/>
        <v>0</v>
      </c>
      <c r="AX27" s="85">
        <f t="shared" si="38"/>
        <v>0</v>
      </c>
      <c r="AY27" s="116">
        <f t="shared" si="30"/>
        <v>0</v>
      </c>
      <c r="AZ27" s="113">
        <f t="shared" si="31"/>
        <v>0</v>
      </c>
      <c r="BA27" s="116">
        <f t="shared" si="32"/>
        <v>0</v>
      </c>
      <c r="BB27" s="113">
        <f t="shared" si="33"/>
        <v>0</v>
      </c>
      <c r="BC27" s="112">
        <v>0.8634829722182908</v>
      </c>
      <c r="BD27" s="113" t="str">
        <f>ifs(BC27&lt;='Range Tables'!$G$81,'Range Tables'!$B$81,BC27&lt;='Range Tables'!$G$82,'Range Tables'!$B$82)</f>
        <v>Offline*</v>
      </c>
      <c r="BE27" s="112">
        <v>0.41455475345918114</v>
      </c>
      <c r="BF27" s="112" t="str">
        <f>ifs(BE27&lt;='Range Tables'!$G$95,'Range Tables'!$B$95,BE27&lt;='Range Tables'!$G$96,'Range Tables'!$B$96,BE27&lt;='Range Tables'!$G$97,'Range Tables'!$B$97,BE27&lt;='Range Tables'!$G$98,'Range Tables'!$B$98,BE27&lt;='Range Tables'!$G$99,'Range Tables'!$B$99,BE27&lt;='Range Tables'!$G$100,'Range Tables'!$B$100,BE27&lt;='Range Tables'!$G$101,'Range Tables'!$B$101,BE27&lt;='Range Tables'!$G$102,'Range Tables'!$B$102,BE27&lt;='Range Tables'!$G$103,'Range Tables'!$B$103)</f>
        <v>Jammu</v>
      </c>
      <c r="BG27" s="112">
        <v>0.384795283990777</v>
      </c>
      <c r="BH27" s="113" t="str">
        <f>ifs(BG27&lt;='Range Tables'!$G$112,'Range Tables'!$B$112,BG27&lt;='Range Tables'!$G$113,'Range Tables'!$B$113,BG27&lt;='Range Tables'!$G$114,'Range Tables'!$B$114)</f>
        <v>0</v>
      </c>
      <c r="BI27" s="117">
        <v>0.7973115139016768</v>
      </c>
      <c r="BJ27" s="113" t="str">
        <f>ifs(BI27&lt;='Range Tables'!$G$118,'Range Tables'!$B$118,BI27&lt;='Range Tables'!$G$119,'Range Tables'!$B$119)</f>
        <v>Expired</v>
      </c>
    </row>
    <row r="28">
      <c r="A28" s="85">
        <v>25.0</v>
      </c>
      <c r="B28" s="112">
        <v>0.10471967016374895</v>
      </c>
      <c r="C28" s="113" t="str">
        <f>ifs(B28&lt;='Range Tables'!$G$54,'Range Tables'!$B$54,B28&lt;='Range Tables'!$G$55,'Range Tables'!$B$55,B28&lt;='Range Tables'!$G$56,'Range Tables'!$B$56,B28&lt;='Range Tables'!$G$57,'Range Tables'!$B$57,B28&lt;='Range Tables'!$G$58,'Range Tables'!$B$58,B28&lt;='Range Tables'!$G$59,'Range Tables'!$B$59,B28&lt;='Range Tables'!$G$60,'Range Tables'!$B$60,B28&lt;='Range Tables'!$G$61,'Range Tables'!$B$61,B28&lt;='Range Tables'!$G$63,'Range Tables'!$B$63,B28&lt;='Range Tables'!$G$64,'Range Tables'!$B$64,B28&lt;='Range Tables'!$G$66,'Range Tables'!$B$66)</f>
        <v>0 - 30</v>
      </c>
      <c r="D28" s="113">
        <f>IFERROR(__xludf.DUMMYFUNCTION("SPLIT(C28,""-"")"),0.0)</f>
        <v>0</v>
      </c>
      <c r="E28" s="113">
        <f>IFERROR(__xludf.DUMMYFUNCTION("""COMPUTED_VALUE"""),30.0)</f>
        <v>30</v>
      </c>
      <c r="F28" s="114">
        <f t="shared" si="40"/>
        <v>3.141590105</v>
      </c>
      <c r="G28" s="112">
        <v>0.7534780480071469</v>
      </c>
      <c r="H28" s="113" t="str">
        <f>ifs(G28&lt;='Range Tables'!$G$86,'Range Tables'!$B$86,G28&lt;='Range Tables'!$G$87,'Range Tables'!$B$87,G28&lt;='Range Tables'!$G$88,'Range Tables'!$B$88,G28&lt;='Range Tables'!$G$89,'Range Tables'!$B$89,G28&lt;='Range Tables'!$G$90,'Range Tables'!$B$90,G28&lt;='Range Tables'!$G$91,'Range Tables'!$B$91)</f>
        <v>Bike</v>
      </c>
      <c r="I28" s="112">
        <v>0.001060574156244054</v>
      </c>
      <c r="J28" s="113" t="str">
        <f>IFS(
  H28="Car", IF(I28&lt;='Range Tables'!$G$19, 'Range Tables'!$B$19, 'Range Tables'!$B$20), 
  H28="Bike", IF(I28&lt;='Range Tables'!$G$25, 'Range Tables'!$B$25, 'Range Tables'!$B$26), 
  H28="Scooter", IF(I28&lt;='Range Tables'!$G$31, 'Range Tables'!$B$31, 'Range Tables'!$B$32), 
  H28="Auto", IF(I28&lt;='Range Tables'!$G$37, 'Range Tables'!$B$37, 'Range Tables'!$B$38), 
  H28="Carriers*", IF(I28&lt;='Range Tables'!$G$43, 'Range Tables'!$B$43, 'Range Tables'!$B$44), 
  H28="Van*", IF(I28&lt;='Range Tables'!$G$50, 'Range Tables'!$B$50, 'Range Tables'!$B$49)
)</f>
        <v>Petrol</v>
      </c>
      <c r="K28" s="112">
        <v>0.6499811108468405</v>
      </c>
      <c r="L28" s="113">
        <f>if(J28="Petrol",ifs(K28&lt;='Range Tables'!$G$5,'Range Tables'!$B$5,K28&lt;='Range Tables'!$G$6,'Range Tables'!$B$6,K28&lt;='Range Tables'!$G$7,'Range Tables'!$B$7),ifs(K28&lt;='Range Tables'!$G$13,'Range Tables'!$B$13,K28&lt;='Range Tables'!$G$14,'Range Tables'!$B$14))</f>
        <v>3</v>
      </c>
      <c r="M28" s="112">
        <v>0.9289842694015398</v>
      </c>
      <c r="N28" s="113" t="str">
        <f>ifs(H28="Car",ifs(M28&lt;='Range Tables'!$G$125,'Range Tables'!$B$125,M28&lt;='Range Tables'!$G$126,'Range Tables'!$B$126,M28&lt;='Range Tables'!$G$127,'Range Tables'!$B$127,M28&lt;='Range Tables'!$G$128,'Range Tables'!$B$128,M28&lt;='Range Tables'!$G$129,'Range Tables'!$B$129,'Range Tables'!$G$131,'Range Tables'!$B$131),H28="Bike",ifs(M28&lt;='Range Tables'!$G$136,'Range Tables'!$B$136,M28&lt;='Range Tables'!$G$137,'Range Tables'!$B$137,M28&lt;='Range Tables'!$G$138,'Range Tables'!$B$138,M28&lt;='Range Tables'!$G$142,'Range Tables'!$B$142),H28="Scooter",ifs(M28&lt;='Range Tables'!$G$148,'Range Tables'!$B$148,M28&lt;='Range Tables'!$G$149,'Range Tables'!$B$149,M28&lt;='Range Tables'!$G$150,'Range Tables'!$B$150,M28&lt;='Range Tables'!$G$151,'Range Tables'!$B$151),H28="Auto",ifs(M28&lt;='Range Tables'!$G$161,'Range Tables'!$B$161,M28&lt;='Range Tables'!$G$162,'Range Tables'!$B$162,M28&lt;='Range Tables'!$G$163,'Range Tables'!$B$163,M28&lt;='Range Tables'!$G$164,'Range Tables'!$B$164),H28="Carriers*",ifs(M28&lt;='Range Tables'!$G$173,'Range Tables'!$B$173,M28&lt;='Range Tables'!$G$174,'Range Tables'!$B$174,M28&lt;='Range Tables'!$G$175,'Range Tables'!$B$175,M28&lt;='Range Tables'!$G$176,'Range Tables'!$B$176,M28&lt;='Range Tables'!$G$177,'Range Tables'!$B$177,M28&lt;='Range Tables'!$G$179,'Range Tables'!$B$179),H28="Van*",ifs(M28&lt;='Range Tables'!$G$186,'Range Tables'!$B$186))</f>
        <v>120 - 180</v>
      </c>
      <c r="O28" s="113">
        <f>IFERROR(__xludf.DUMMYFUNCTION("SPLIT(N28,""-"")"),120.0)</f>
        <v>120</v>
      </c>
      <c r="P28" s="113">
        <f>IFERROR(__xludf.DUMMYFUNCTION("""COMPUTED_VALUE"""),180.0)</f>
        <v>180</v>
      </c>
      <c r="Q28" s="114">
        <f t="shared" si="2"/>
        <v>175.7390562</v>
      </c>
      <c r="R28" s="115">
        <f t="shared" si="3"/>
        <v>0.01632006048</v>
      </c>
      <c r="S28" s="114">
        <f t="shared" si="39"/>
        <v>1410.053226</v>
      </c>
      <c r="T28" s="113" t="str">
        <f t="shared" si="4"/>
        <v>no</v>
      </c>
      <c r="U28" s="115">
        <f t="shared" si="5"/>
        <v>0</v>
      </c>
      <c r="V28" s="113">
        <f t="shared" si="34"/>
        <v>0</v>
      </c>
      <c r="W28" s="115">
        <f t="shared" si="6"/>
        <v>0</v>
      </c>
      <c r="X28" s="85">
        <f t="shared" si="7"/>
        <v>0</v>
      </c>
      <c r="Y28" s="116">
        <f t="shared" si="8"/>
        <v>0</v>
      </c>
      <c r="Z28" s="113">
        <f t="shared" si="9"/>
        <v>0</v>
      </c>
      <c r="AA28" s="113" t="str">
        <f t="shared" si="10"/>
        <v>no</v>
      </c>
      <c r="AB28" s="115">
        <f t="shared" si="11"/>
        <v>0</v>
      </c>
      <c r="AC28" s="113">
        <f t="shared" si="35"/>
        <v>0</v>
      </c>
      <c r="AD28" s="116">
        <f t="shared" si="12"/>
        <v>0</v>
      </c>
      <c r="AE28" s="113">
        <f t="shared" si="13"/>
        <v>0</v>
      </c>
      <c r="AF28" s="116">
        <f t="shared" si="14"/>
        <v>0</v>
      </c>
      <c r="AG28" s="113">
        <f t="shared" si="15"/>
        <v>0</v>
      </c>
      <c r="AH28" s="113" t="str">
        <f t="shared" si="16"/>
        <v>yes</v>
      </c>
      <c r="AI28" s="115">
        <f t="shared" si="17"/>
        <v>0</v>
      </c>
      <c r="AJ28" s="113">
        <f t="shared" si="36"/>
        <v>0</v>
      </c>
      <c r="AK28" s="116">
        <f t="shared" si="18"/>
        <v>0.01632006048</v>
      </c>
      <c r="AL28" s="114">
        <f t="shared" si="19"/>
        <v>1410.053226</v>
      </c>
      <c r="AM28" s="115">
        <f t="shared" si="20"/>
        <v>0.01835407733</v>
      </c>
      <c r="AN28" s="118">
        <f t="shared" si="21"/>
        <v>1585.792282</v>
      </c>
      <c r="AO28" s="113" t="str">
        <f t="shared" si="22"/>
        <v>no</v>
      </c>
      <c r="AP28" s="115">
        <f t="shared" si="23"/>
        <v>0</v>
      </c>
      <c r="AQ28" s="113">
        <f t="shared" si="37"/>
        <v>0</v>
      </c>
      <c r="AR28" s="116">
        <f t="shared" si="24"/>
        <v>0</v>
      </c>
      <c r="AS28" s="113">
        <f t="shared" si="25"/>
        <v>0</v>
      </c>
      <c r="AT28" s="116">
        <f t="shared" si="26"/>
        <v>0</v>
      </c>
      <c r="AU28" s="113">
        <f t="shared" si="27"/>
        <v>0</v>
      </c>
      <c r="AV28" s="113" t="str">
        <f t="shared" si="28"/>
        <v>no</v>
      </c>
      <c r="AW28" s="115">
        <f t="shared" si="29"/>
        <v>0</v>
      </c>
      <c r="AX28" s="85">
        <f t="shared" si="38"/>
        <v>0</v>
      </c>
      <c r="AY28" s="116">
        <f t="shared" si="30"/>
        <v>0</v>
      </c>
      <c r="AZ28" s="113">
        <f t="shared" si="31"/>
        <v>0</v>
      </c>
      <c r="BA28" s="116">
        <f t="shared" si="32"/>
        <v>0</v>
      </c>
      <c r="BB28" s="113">
        <f t="shared" si="33"/>
        <v>0</v>
      </c>
      <c r="BC28" s="112">
        <v>0.5764467491911037</v>
      </c>
      <c r="BD28" s="113" t="str">
        <f>ifs(BC28&lt;='Range Tables'!$G$81,'Range Tables'!$B$81,BC28&lt;='Range Tables'!$G$82,'Range Tables'!$B$82)</f>
        <v>Offline*</v>
      </c>
      <c r="BE28" s="112">
        <v>0.35120156690324367</v>
      </c>
      <c r="BF28" s="112" t="str">
        <f>ifs(BE28&lt;='Range Tables'!$G$95,'Range Tables'!$B$95,BE28&lt;='Range Tables'!$G$96,'Range Tables'!$B$96,BE28&lt;='Range Tables'!$G$97,'Range Tables'!$B$97,BE28&lt;='Range Tables'!$G$98,'Range Tables'!$B$98,BE28&lt;='Range Tables'!$G$99,'Range Tables'!$B$99,BE28&lt;='Range Tables'!$G$100,'Range Tables'!$B$100,BE28&lt;='Range Tables'!$G$101,'Range Tables'!$B$101,BE28&lt;='Range Tables'!$G$102,'Range Tables'!$B$102,BE28&lt;='Range Tables'!$G$103,'Range Tables'!$B$103)</f>
        <v>Jammu</v>
      </c>
      <c r="BG28" s="112">
        <v>0.2921003258140684</v>
      </c>
      <c r="BH28" s="113" t="str">
        <f>ifs(BG28&lt;='Range Tables'!$G$112,'Range Tables'!$B$112,BG28&lt;='Range Tables'!$G$113,'Range Tables'!$B$113,BG28&lt;='Range Tables'!$G$114,'Range Tables'!$B$114)</f>
        <v>0</v>
      </c>
      <c r="BI28" s="117">
        <v>0.3517051094818713</v>
      </c>
      <c r="BJ28" s="113" t="str">
        <f>ifs(BI28&lt;='Range Tables'!$G$118,'Range Tables'!$B$118,BI28&lt;='Range Tables'!$G$119,'Range Tables'!$B$119)</f>
        <v>Valid</v>
      </c>
    </row>
    <row r="29">
      <c r="A29" s="85">
        <v>26.0</v>
      </c>
      <c r="B29" s="112">
        <v>0.16686061390645468</v>
      </c>
      <c r="C29" s="113" t="str">
        <f>ifs(B29&lt;='Range Tables'!$G$54,'Range Tables'!$B$54,B29&lt;='Range Tables'!$G$55,'Range Tables'!$B$55,B29&lt;='Range Tables'!$G$56,'Range Tables'!$B$56,B29&lt;='Range Tables'!$G$57,'Range Tables'!$B$57,B29&lt;='Range Tables'!$G$58,'Range Tables'!$B$58,B29&lt;='Range Tables'!$G$59,'Range Tables'!$B$59,B29&lt;='Range Tables'!$G$60,'Range Tables'!$B$60,B29&lt;='Range Tables'!$G$61,'Range Tables'!$B$61,B29&lt;='Range Tables'!$G$63,'Range Tables'!$B$63,B29&lt;='Range Tables'!$G$64,'Range Tables'!$B$64,B29&lt;='Range Tables'!$G$66,'Range Tables'!$B$66)</f>
        <v>0 - 30</v>
      </c>
      <c r="D29" s="113">
        <f>IFERROR(__xludf.DUMMYFUNCTION("SPLIT(C29,""-"")"),0.0)</f>
        <v>0</v>
      </c>
      <c r="E29" s="113">
        <f>IFERROR(__xludf.DUMMYFUNCTION("""COMPUTED_VALUE"""),30.0)</f>
        <v>30</v>
      </c>
      <c r="F29" s="114">
        <f t="shared" si="40"/>
        <v>5.005818417</v>
      </c>
      <c r="G29" s="112">
        <v>0.10238968205845478</v>
      </c>
      <c r="H29" s="113" t="str">
        <f>ifs(G29&lt;='Range Tables'!$G$86,'Range Tables'!$B$86,G29&lt;='Range Tables'!$G$87,'Range Tables'!$B$87,G29&lt;='Range Tables'!$G$88,'Range Tables'!$B$88,G29&lt;='Range Tables'!$G$89,'Range Tables'!$B$89,G29&lt;='Range Tables'!$G$90,'Range Tables'!$B$90,G29&lt;='Range Tables'!$G$91,'Range Tables'!$B$91)</f>
        <v>Car</v>
      </c>
      <c r="I29" s="112">
        <v>0.34267459628019237</v>
      </c>
      <c r="J29" s="113" t="str">
        <f>IFS(
  H29="Car", IF(I29&lt;='Range Tables'!$G$19, 'Range Tables'!$B$19, 'Range Tables'!$B$20), 
  H29="Bike", IF(I29&lt;='Range Tables'!$G$25, 'Range Tables'!$B$25, 'Range Tables'!$B$26), 
  H29="Scooter", IF(I29&lt;='Range Tables'!$G$31, 'Range Tables'!$B$31, 'Range Tables'!$B$32), 
  H29="Auto", IF(I29&lt;='Range Tables'!$G$37, 'Range Tables'!$B$37, 'Range Tables'!$B$38), 
  H29="Carriers*", IF(I29&lt;='Range Tables'!$G$43, 'Range Tables'!$B$43, 'Range Tables'!$B$44), 
  H29="Van*", IF(I29&lt;='Range Tables'!$G$50, 'Range Tables'!$B$50, 'Range Tables'!$B$49)
)</f>
        <v>Petrol</v>
      </c>
      <c r="K29" s="112">
        <v>0.4666548677287835</v>
      </c>
      <c r="L29" s="113">
        <f>if(J29="Petrol",ifs(K29&lt;='Range Tables'!$G$5,'Range Tables'!$B$5,K29&lt;='Range Tables'!$G$6,'Range Tables'!$B$6,K29&lt;='Range Tables'!$G$7,'Range Tables'!$B$7),ifs(K29&lt;='Range Tables'!$G$13,'Range Tables'!$B$13,K29&lt;='Range Tables'!$G$14,'Range Tables'!$B$14))</f>
        <v>2</v>
      </c>
      <c r="M29" s="112">
        <v>0.9651060657354321</v>
      </c>
      <c r="N29" s="113" t="str">
        <f>ifs(H29="Car",ifs(M29&lt;='Range Tables'!$G$125,'Range Tables'!$B$125,M29&lt;='Range Tables'!$G$126,'Range Tables'!$B$126,M29&lt;='Range Tables'!$G$127,'Range Tables'!$B$127,M29&lt;='Range Tables'!$G$128,'Range Tables'!$B$128,M29&lt;='Range Tables'!$G$129,'Range Tables'!$B$129,'Range Tables'!$G$131,'Range Tables'!$B$131),H29="Bike",ifs(M29&lt;='Range Tables'!$G$136,'Range Tables'!$B$136,M29&lt;='Range Tables'!$G$137,'Range Tables'!$B$137,M29&lt;='Range Tables'!$G$138,'Range Tables'!$B$138,M29&lt;='Range Tables'!$G$142,'Range Tables'!$B$142),H29="Scooter",ifs(M29&lt;='Range Tables'!$G$148,'Range Tables'!$B$148,M29&lt;='Range Tables'!$G$149,'Range Tables'!$B$149,M29&lt;='Range Tables'!$G$150,'Range Tables'!$B$150,M29&lt;='Range Tables'!$G$151,'Range Tables'!$B$151),H29="Auto",ifs(M29&lt;='Range Tables'!$G$161,'Range Tables'!$B$161,M29&lt;='Range Tables'!$G$162,'Range Tables'!$B$162,M29&lt;='Range Tables'!$G$163,'Range Tables'!$B$163,M29&lt;='Range Tables'!$G$164,'Range Tables'!$B$164),H29="Carriers*",ifs(M29&lt;='Range Tables'!$G$173,'Range Tables'!$B$173,M29&lt;='Range Tables'!$G$174,'Range Tables'!$B$174,M29&lt;='Range Tables'!$G$175,'Range Tables'!$B$175,M29&lt;='Range Tables'!$G$176,'Range Tables'!$B$176,M29&lt;='Range Tables'!$G$177,'Range Tables'!$B$177,M29&lt;='Range Tables'!$G$179,'Range Tables'!$B$179),H29="Van*",ifs(M29&lt;='Range Tables'!$G$186,'Range Tables'!$B$186))</f>
        <v>300 - 360</v>
      </c>
      <c r="O29" s="113">
        <f>IFERROR(__xludf.DUMMYFUNCTION("SPLIT(N29,""-"")"),300.0)</f>
        <v>300</v>
      </c>
      <c r="P29" s="113">
        <f>IFERROR(__xludf.DUMMYFUNCTION("""COMPUTED_VALUE"""),360.0)</f>
        <v>360</v>
      </c>
      <c r="Q29" s="114">
        <f t="shared" si="2"/>
        <v>357.9063639</v>
      </c>
      <c r="R29" s="115">
        <f t="shared" si="3"/>
        <v>0.01635642148</v>
      </c>
      <c r="S29" s="114">
        <f t="shared" si="39"/>
        <v>1413.194816</v>
      </c>
      <c r="T29" s="113" t="str">
        <f t="shared" si="4"/>
        <v>no</v>
      </c>
      <c r="U29" s="115">
        <f t="shared" si="5"/>
        <v>0</v>
      </c>
      <c r="V29" s="113">
        <f t="shared" si="34"/>
        <v>0</v>
      </c>
      <c r="W29" s="115">
        <f t="shared" si="6"/>
        <v>0</v>
      </c>
      <c r="X29" s="85">
        <f t="shared" si="7"/>
        <v>0</v>
      </c>
      <c r="Y29" s="116">
        <f t="shared" si="8"/>
        <v>0</v>
      </c>
      <c r="Z29" s="113">
        <f t="shared" si="9"/>
        <v>0</v>
      </c>
      <c r="AA29" s="113" t="str">
        <f t="shared" si="10"/>
        <v>yes</v>
      </c>
      <c r="AB29" s="115">
        <f t="shared" si="11"/>
        <v>0</v>
      </c>
      <c r="AC29" s="113">
        <f t="shared" si="35"/>
        <v>0</v>
      </c>
      <c r="AD29" s="116">
        <f t="shared" si="12"/>
        <v>0.01635642148</v>
      </c>
      <c r="AE29" s="114">
        <f t="shared" si="13"/>
        <v>1413.194816</v>
      </c>
      <c r="AF29" s="116">
        <f t="shared" si="14"/>
        <v>0.02049885625</v>
      </c>
      <c r="AG29" s="114">
        <f t="shared" si="15"/>
        <v>1771.10118</v>
      </c>
      <c r="AH29" s="113" t="str">
        <f t="shared" si="16"/>
        <v>no</v>
      </c>
      <c r="AI29" s="115">
        <f t="shared" si="17"/>
        <v>0</v>
      </c>
      <c r="AJ29" s="113">
        <f t="shared" si="36"/>
        <v>0</v>
      </c>
      <c r="AK29" s="116">
        <f t="shared" si="18"/>
        <v>0</v>
      </c>
      <c r="AL29" s="113">
        <f t="shared" si="19"/>
        <v>0</v>
      </c>
      <c r="AM29" s="115">
        <f t="shared" si="20"/>
        <v>0</v>
      </c>
      <c r="AN29" s="85">
        <f t="shared" si="21"/>
        <v>0</v>
      </c>
      <c r="AO29" s="113" t="str">
        <f t="shared" si="22"/>
        <v>no</v>
      </c>
      <c r="AP29" s="115">
        <f t="shared" si="23"/>
        <v>0</v>
      </c>
      <c r="AQ29" s="113">
        <f t="shared" si="37"/>
        <v>0</v>
      </c>
      <c r="AR29" s="116">
        <f t="shared" si="24"/>
        <v>0</v>
      </c>
      <c r="AS29" s="113">
        <f t="shared" si="25"/>
        <v>0</v>
      </c>
      <c r="AT29" s="116">
        <f t="shared" si="26"/>
        <v>0</v>
      </c>
      <c r="AU29" s="113">
        <f t="shared" si="27"/>
        <v>0</v>
      </c>
      <c r="AV29" s="113" t="str">
        <f t="shared" si="28"/>
        <v>no</v>
      </c>
      <c r="AW29" s="115">
        <f t="shared" si="29"/>
        <v>0</v>
      </c>
      <c r="AX29" s="85">
        <f t="shared" si="38"/>
        <v>0</v>
      </c>
      <c r="AY29" s="116">
        <f t="shared" si="30"/>
        <v>0</v>
      </c>
      <c r="AZ29" s="113">
        <f t="shared" si="31"/>
        <v>0</v>
      </c>
      <c r="BA29" s="116">
        <f t="shared" si="32"/>
        <v>0</v>
      </c>
      <c r="BB29" s="113">
        <f t="shared" si="33"/>
        <v>0</v>
      </c>
      <c r="BC29" s="112">
        <v>0.12438579052188181</v>
      </c>
      <c r="BD29" s="113" t="str">
        <f>ifs(BC29&lt;='Range Tables'!$G$81,'Range Tables'!$B$81,BC29&lt;='Range Tables'!$G$82,'Range Tables'!$B$82)</f>
        <v>Online*</v>
      </c>
      <c r="BE29" s="112">
        <v>0.6079169783476559</v>
      </c>
      <c r="BF29" s="112" t="str">
        <f>ifs(BE29&lt;='Range Tables'!$G$95,'Range Tables'!$B$95,BE29&lt;='Range Tables'!$G$96,'Range Tables'!$B$96,BE29&lt;='Range Tables'!$G$97,'Range Tables'!$B$97,BE29&lt;='Range Tables'!$G$98,'Range Tables'!$B$98,BE29&lt;='Range Tables'!$G$99,'Range Tables'!$B$99,BE29&lt;='Range Tables'!$G$100,'Range Tables'!$B$100,BE29&lt;='Range Tables'!$G$101,'Range Tables'!$B$101,BE29&lt;='Range Tables'!$G$102,'Range Tables'!$B$102,BE29&lt;='Range Tables'!$G$103,'Range Tables'!$B$103)</f>
        <v>Jammu</v>
      </c>
      <c r="BG29" s="112">
        <v>0.7160832303893913</v>
      </c>
      <c r="BH29" s="113" t="str">
        <f>ifs(BG29&lt;='Range Tables'!$G$112,'Range Tables'!$B$112,BG29&lt;='Range Tables'!$G$113,'Range Tables'!$B$113,BG29&lt;='Range Tables'!$G$114,'Range Tables'!$B$114)</f>
        <v>0</v>
      </c>
      <c r="BI29" s="117">
        <v>0.48665192253141487</v>
      </c>
      <c r="BJ29" s="113" t="str">
        <f>ifs(BI29&lt;='Range Tables'!$G$118,'Range Tables'!$B$118,BI29&lt;='Range Tables'!$G$119,'Range Tables'!$B$119)</f>
        <v>Valid</v>
      </c>
    </row>
    <row r="30">
      <c r="A30" s="85">
        <v>27.0</v>
      </c>
      <c r="B30" s="112">
        <v>0.9002058727789397</v>
      </c>
      <c r="C30" s="113" t="str">
        <f>ifs(B30&lt;='Range Tables'!$G$54,'Range Tables'!$B$54,B30&lt;='Range Tables'!$G$55,'Range Tables'!$B$55,B30&lt;='Range Tables'!$G$56,'Range Tables'!$B$56,B30&lt;='Range Tables'!$G$57,'Range Tables'!$B$57,B30&lt;='Range Tables'!$G$58,'Range Tables'!$B$58,B30&lt;='Range Tables'!$G$59,'Range Tables'!$B$59,B30&lt;='Range Tables'!$G$60,'Range Tables'!$B$60,B30&lt;='Range Tables'!$G$61,'Range Tables'!$B$61,B30&lt;='Range Tables'!$G$63,'Range Tables'!$B$63,B30&lt;='Range Tables'!$G$64,'Range Tables'!$B$64,B30&lt;='Range Tables'!$G$66,'Range Tables'!$B$66)</f>
        <v>180 - 210</v>
      </c>
      <c r="D30" s="113">
        <f>IFERROR(__xludf.DUMMYFUNCTION("SPLIT(C30,""-"")"),180.0)</f>
        <v>180</v>
      </c>
      <c r="E30" s="113">
        <f>IFERROR(__xludf.DUMMYFUNCTION("""COMPUTED_VALUE"""),210.0)</f>
        <v>210</v>
      </c>
      <c r="F30" s="114">
        <f t="shared" si="40"/>
        <v>207.0061762</v>
      </c>
      <c r="G30" s="112">
        <v>0.81447720042236</v>
      </c>
      <c r="H30" s="113" t="str">
        <f>ifs(G30&lt;='Range Tables'!$G$86,'Range Tables'!$B$86,G30&lt;='Range Tables'!$G$87,'Range Tables'!$B$87,G30&lt;='Range Tables'!$G$88,'Range Tables'!$B$88,G30&lt;='Range Tables'!$G$89,'Range Tables'!$B$89,G30&lt;='Range Tables'!$G$90,'Range Tables'!$B$90,G30&lt;='Range Tables'!$G$91,'Range Tables'!$B$91)</f>
        <v>Scooter</v>
      </c>
      <c r="I30" s="112">
        <v>0.9343640285751523</v>
      </c>
      <c r="J30" s="113" t="str">
        <f>IFS(
  H30="Car", IF(I30&lt;='Range Tables'!$G$19, 'Range Tables'!$B$19, 'Range Tables'!$B$20), 
  H30="Bike", IF(I30&lt;='Range Tables'!$G$25, 'Range Tables'!$B$25, 'Range Tables'!$B$26), 
  H30="Scooter", IF(I30&lt;='Range Tables'!$G$31, 'Range Tables'!$B$31, 'Range Tables'!$B$32), 
  H30="Auto", IF(I30&lt;='Range Tables'!$G$37, 'Range Tables'!$B$37, 'Range Tables'!$B$38), 
  H30="Carriers*", IF(I30&lt;='Range Tables'!$G$43, 'Range Tables'!$B$43, 'Range Tables'!$B$44), 
  H30="Van*", IF(I30&lt;='Range Tables'!$G$50, 'Range Tables'!$B$50, 'Range Tables'!$B$49)
)</f>
        <v>Petrol</v>
      </c>
      <c r="K30" s="112">
        <v>0.7490817063556913</v>
      </c>
      <c r="L30" s="113">
        <f>if(J30="Petrol",ifs(K30&lt;='Range Tables'!$G$5,'Range Tables'!$B$5,K30&lt;='Range Tables'!$G$6,'Range Tables'!$B$6,K30&lt;='Range Tables'!$G$7,'Range Tables'!$B$7),ifs(K30&lt;='Range Tables'!$G$13,'Range Tables'!$B$13,K30&lt;='Range Tables'!$G$14,'Range Tables'!$B$14))</f>
        <v>3</v>
      </c>
      <c r="M30" s="112">
        <v>0.9227652042309863</v>
      </c>
      <c r="N30" s="113" t="str">
        <f>ifs(H30="Car",ifs(M30&lt;='Range Tables'!$G$125,'Range Tables'!$B$125,M30&lt;='Range Tables'!$G$126,'Range Tables'!$B$126,M30&lt;='Range Tables'!$G$127,'Range Tables'!$B$127,M30&lt;='Range Tables'!$G$128,'Range Tables'!$B$128,M30&lt;='Range Tables'!$G$129,'Range Tables'!$B$129,'Range Tables'!$G$131,'Range Tables'!$B$131),H30="Bike",ifs(M30&lt;='Range Tables'!$G$136,'Range Tables'!$B$136,M30&lt;='Range Tables'!$G$137,'Range Tables'!$B$137,M30&lt;='Range Tables'!$G$138,'Range Tables'!$B$138,M30&lt;='Range Tables'!$G$142,'Range Tables'!$B$142),H30="Scooter",ifs(M30&lt;='Range Tables'!$G$148,'Range Tables'!$B$148,M30&lt;='Range Tables'!$G$149,'Range Tables'!$B$149,M30&lt;='Range Tables'!$G$150,'Range Tables'!$B$150,M30&lt;='Range Tables'!$G$151,'Range Tables'!$B$151),H30="Auto",ifs(M30&lt;='Range Tables'!$G$161,'Range Tables'!$B$161,M30&lt;='Range Tables'!$G$162,'Range Tables'!$B$162,M30&lt;='Range Tables'!$G$163,'Range Tables'!$B$163,M30&lt;='Range Tables'!$G$164,'Range Tables'!$B$164),H30="Carriers*",ifs(M30&lt;='Range Tables'!$G$173,'Range Tables'!$B$173,M30&lt;='Range Tables'!$G$174,'Range Tables'!$B$174,M30&lt;='Range Tables'!$G$175,'Range Tables'!$B$175,M30&lt;='Range Tables'!$G$176,'Range Tables'!$B$176,M30&lt;='Range Tables'!$G$177,'Range Tables'!$B$177,M30&lt;='Range Tables'!$G$179,'Range Tables'!$B$179),H30="Van*",ifs(M30&lt;='Range Tables'!$G$186,'Range Tables'!$B$186))</f>
        <v>180 - 240</v>
      </c>
      <c r="O30" s="113">
        <f>IFERROR(__xludf.DUMMYFUNCTION("SPLIT(N30,""-"")"),180.0)</f>
        <v>180</v>
      </c>
      <c r="P30" s="113">
        <f>IFERROR(__xludf.DUMMYFUNCTION("""COMPUTED_VALUE"""),240.0)</f>
        <v>240</v>
      </c>
      <c r="Q30" s="114">
        <f t="shared" si="2"/>
        <v>235.3659123</v>
      </c>
      <c r="R30" s="115">
        <f t="shared" si="3"/>
        <v>0.01641435919</v>
      </c>
      <c r="S30" s="114">
        <f t="shared" si="39"/>
        <v>1418.200634</v>
      </c>
      <c r="T30" s="113" t="str">
        <f t="shared" si="4"/>
        <v>no</v>
      </c>
      <c r="U30" s="115">
        <f t="shared" si="5"/>
        <v>0</v>
      </c>
      <c r="V30" s="113">
        <f t="shared" si="34"/>
        <v>0</v>
      </c>
      <c r="W30" s="115">
        <f t="shared" si="6"/>
        <v>0</v>
      </c>
      <c r="X30" s="85">
        <f t="shared" si="7"/>
        <v>0</v>
      </c>
      <c r="Y30" s="116">
        <f t="shared" si="8"/>
        <v>0</v>
      </c>
      <c r="Z30" s="113">
        <f t="shared" si="9"/>
        <v>0</v>
      </c>
      <c r="AA30" s="113" t="str">
        <f t="shared" si="10"/>
        <v>no</v>
      </c>
      <c r="AB30" s="115">
        <f t="shared" si="11"/>
        <v>0</v>
      </c>
      <c r="AC30" s="113">
        <f t="shared" si="35"/>
        <v>0</v>
      </c>
      <c r="AD30" s="116">
        <f t="shared" si="12"/>
        <v>0</v>
      </c>
      <c r="AE30" s="113">
        <f t="shared" si="13"/>
        <v>0</v>
      </c>
      <c r="AF30" s="116">
        <f t="shared" si="14"/>
        <v>0</v>
      </c>
      <c r="AG30" s="113">
        <f t="shared" si="15"/>
        <v>0</v>
      </c>
      <c r="AH30" s="113" t="str">
        <f t="shared" si="16"/>
        <v>yes</v>
      </c>
      <c r="AI30" s="115">
        <f t="shared" si="17"/>
        <v>0</v>
      </c>
      <c r="AJ30" s="113">
        <f t="shared" si="36"/>
        <v>0</v>
      </c>
      <c r="AK30" s="116">
        <f t="shared" si="18"/>
        <v>0.01641435919</v>
      </c>
      <c r="AL30" s="114">
        <f t="shared" si="19"/>
        <v>1418.200634</v>
      </c>
      <c r="AM30" s="115">
        <f t="shared" si="20"/>
        <v>0.01913850169</v>
      </c>
      <c r="AN30" s="118">
        <f t="shared" si="21"/>
        <v>1653.566546</v>
      </c>
      <c r="AO30" s="113" t="str">
        <f t="shared" si="22"/>
        <v>no</v>
      </c>
      <c r="AP30" s="115">
        <f t="shared" si="23"/>
        <v>0</v>
      </c>
      <c r="AQ30" s="113">
        <f t="shared" si="37"/>
        <v>0</v>
      </c>
      <c r="AR30" s="116">
        <f t="shared" si="24"/>
        <v>0</v>
      </c>
      <c r="AS30" s="113">
        <f t="shared" si="25"/>
        <v>0</v>
      </c>
      <c r="AT30" s="116">
        <f t="shared" si="26"/>
        <v>0</v>
      </c>
      <c r="AU30" s="113">
        <f t="shared" si="27"/>
        <v>0</v>
      </c>
      <c r="AV30" s="113" t="str">
        <f t="shared" si="28"/>
        <v>no</v>
      </c>
      <c r="AW30" s="115">
        <f t="shared" si="29"/>
        <v>0</v>
      </c>
      <c r="AX30" s="85">
        <f t="shared" si="38"/>
        <v>0</v>
      </c>
      <c r="AY30" s="116">
        <f t="shared" si="30"/>
        <v>0</v>
      </c>
      <c r="AZ30" s="113">
        <f t="shared" si="31"/>
        <v>0</v>
      </c>
      <c r="BA30" s="116">
        <f t="shared" si="32"/>
        <v>0</v>
      </c>
      <c r="BB30" s="113">
        <f t="shared" si="33"/>
        <v>0</v>
      </c>
      <c r="BC30" s="112">
        <v>0.03930110841124479</v>
      </c>
      <c r="BD30" s="113" t="str">
        <f>ifs(BC30&lt;='Range Tables'!$G$81,'Range Tables'!$B$81,BC30&lt;='Range Tables'!$G$82,'Range Tables'!$B$82)</f>
        <v>Online*</v>
      </c>
      <c r="BE30" s="112">
        <v>0.2198995871535664</v>
      </c>
      <c r="BF30" s="112" t="str">
        <f>ifs(BE30&lt;='Range Tables'!$G$95,'Range Tables'!$B$95,BE30&lt;='Range Tables'!$G$96,'Range Tables'!$B$96,BE30&lt;='Range Tables'!$G$97,'Range Tables'!$B$97,BE30&lt;='Range Tables'!$G$98,'Range Tables'!$B$98,BE30&lt;='Range Tables'!$G$99,'Range Tables'!$B$99,BE30&lt;='Range Tables'!$G$100,'Range Tables'!$B$100,BE30&lt;='Range Tables'!$G$101,'Range Tables'!$B$101,BE30&lt;='Range Tables'!$G$102,'Range Tables'!$B$102,BE30&lt;='Range Tables'!$G$103,'Range Tables'!$B$103)</f>
        <v>Jammu</v>
      </c>
      <c r="BG30" s="112">
        <v>0.9806280704695016</v>
      </c>
      <c r="BH30" s="113" t="str">
        <f>ifs(BG30&lt;='Range Tables'!$G$112,'Range Tables'!$B$112,BG30&lt;='Range Tables'!$G$113,'Range Tables'!$B$113,BG30&lt;='Range Tables'!$G$114,'Range Tables'!$B$114)</f>
        <v>6+</v>
      </c>
      <c r="BI30" s="117">
        <v>0.5422473510016872</v>
      </c>
      <c r="BJ30" s="113" t="str">
        <f>ifs(BI30&lt;='Range Tables'!$G$118,'Range Tables'!$B$118,BI30&lt;='Range Tables'!$G$119,'Range Tables'!$B$119)</f>
        <v>Valid</v>
      </c>
    </row>
    <row r="31">
      <c r="A31" s="85">
        <v>28.0</v>
      </c>
      <c r="B31" s="112">
        <v>0.375405318240278</v>
      </c>
      <c r="C31" s="113" t="str">
        <f>ifs(B31&lt;='Range Tables'!$G$54,'Range Tables'!$B$54,B31&lt;='Range Tables'!$G$55,'Range Tables'!$B$55,B31&lt;='Range Tables'!$G$56,'Range Tables'!$B$56,B31&lt;='Range Tables'!$G$57,'Range Tables'!$B$57,B31&lt;='Range Tables'!$G$58,'Range Tables'!$B$58,B31&lt;='Range Tables'!$G$59,'Range Tables'!$B$59,B31&lt;='Range Tables'!$G$60,'Range Tables'!$B$60,B31&lt;='Range Tables'!$G$61,'Range Tables'!$B$61,B31&lt;='Range Tables'!$G$63,'Range Tables'!$B$63,B31&lt;='Range Tables'!$G$64,'Range Tables'!$B$64,B31&lt;='Range Tables'!$G$66,'Range Tables'!$B$66)</f>
        <v>30 - 60 </v>
      </c>
      <c r="D31" s="113">
        <f>IFERROR(__xludf.DUMMYFUNCTION("SPLIT(C31,""-"")"),30.0)</f>
        <v>30</v>
      </c>
      <c r="E31" s="113">
        <f>IFERROR(__xludf.DUMMYFUNCTION("""COMPUTED_VALUE"""),60.0)</f>
        <v>60</v>
      </c>
      <c r="F31" s="114">
        <f t="shared" si="40"/>
        <v>41.26215955</v>
      </c>
      <c r="G31" s="112">
        <v>0.6462203896030254</v>
      </c>
      <c r="H31" s="113" t="str">
        <f>ifs(G31&lt;='Range Tables'!$G$86,'Range Tables'!$B$86,G31&lt;='Range Tables'!$G$87,'Range Tables'!$B$87,G31&lt;='Range Tables'!$G$88,'Range Tables'!$B$88,G31&lt;='Range Tables'!$G$89,'Range Tables'!$B$89,G31&lt;='Range Tables'!$G$90,'Range Tables'!$B$90,G31&lt;='Range Tables'!$G$91,'Range Tables'!$B$91)</f>
        <v>Bike</v>
      </c>
      <c r="I31" s="112">
        <v>0.38115074796477433</v>
      </c>
      <c r="J31" s="113" t="str">
        <f>IFS(
  H31="Car", IF(I31&lt;='Range Tables'!$G$19, 'Range Tables'!$B$19, 'Range Tables'!$B$20), 
  H31="Bike", IF(I31&lt;='Range Tables'!$G$25, 'Range Tables'!$B$25, 'Range Tables'!$B$26), 
  H31="Scooter", IF(I31&lt;='Range Tables'!$G$31, 'Range Tables'!$B$31, 'Range Tables'!$B$32), 
  H31="Auto", IF(I31&lt;='Range Tables'!$G$37, 'Range Tables'!$B$37, 'Range Tables'!$B$38), 
  H31="Carriers*", IF(I31&lt;='Range Tables'!$G$43, 'Range Tables'!$B$43, 'Range Tables'!$B$44), 
  H31="Van*", IF(I31&lt;='Range Tables'!$G$50, 'Range Tables'!$B$50, 'Range Tables'!$B$49)
)</f>
        <v>Petrol</v>
      </c>
      <c r="K31" s="112">
        <v>0.7086234390546646</v>
      </c>
      <c r="L31" s="113">
        <f>if(J31="Petrol",ifs(K31&lt;='Range Tables'!$G$5,'Range Tables'!$B$5,K31&lt;='Range Tables'!$G$6,'Range Tables'!$B$6,K31&lt;='Range Tables'!$G$7,'Range Tables'!$B$7),ifs(K31&lt;='Range Tables'!$G$13,'Range Tables'!$B$13,K31&lt;='Range Tables'!$G$14,'Range Tables'!$B$14))</f>
        <v>3</v>
      </c>
      <c r="M31" s="112">
        <v>0.6633507884049868</v>
      </c>
      <c r="N31" s="113" t="str">
        <f>ifs(H31="Car",ifs(M31&lt;='Range Tables'!$G$125,'Range Tables'!$B$125,M31&lt;='Range Tables'!$G$126,'Range Tables'!$B$126,M31&lt;='Range Tables'!$G$127,'Range Tables'!$B$127,M31&lt;='Range Tables'!$G$128,'Range Tables'!$B$128,M31&lt;='Range Tables'!$G$129,'Range Tables'!$B$129,'Range Tables'!$G$131,'Range Tables'!$B$131),H31="Bike",ifs(M31&lt;='Range Tables'!$G$136,'Range Tables'!$B$136,M31&lt;='Range Tables'!$G$137,'Range Tables'!$B$137,M31&lt;='Range Tables'!$G$138,'Range Tables'!$B$138,M31&lt;='Range Tables'!$G$142,'Range Tables'!$B$142),H31="Scooter",ifs(M31&lt;='Range Tables'!$G$148,'Range Tables'!$B$148,M31&lt;='Range Tables'!$G$149,'Range Tables'!$B$149,M31&lt;='Range Tables'!$G$150,'Range Tables'!$B$150,M31&lt;='Range Tables'!$G$151,'Range Tables'!$B$151),H31="Auto",ifs(M31&lt;='Range Tables'!$G$161,'Range Tables'!$B$161,M31&lt;='Range Tables'!$G$162,'Range Tables'!$B$162,M31&lt;='Range Tables'!$G$163,'Range Tables'!$B$163,M31&lt;='Range Tables'!$G$164,'Range Tables'!$B$164),H31="Carriers*",ifs(M31&lt;='Range Tables'!$G$173,'Range Tables'!$B$173,M31&lt;='Range Tables'!$G$174,'Range Tables'!$B$174,M31&lt;='Range Tables'!$G$175,'Range Tables'!$B$175,M31&lt;='Range Tables'!$G$176,'Range Tables'!$B$176,M31&lt;='Range Tables'!$G$177,'Range Tables'!$B$177,M31&lt;='Range Tables'!$G$179,'Range Tables'!$B$179),H31="Van*",ifs(M31&lt;='Range Tables'!$G$186,'Range Tables'!$B$186))</f>
        <v>60 - 120</v>
      </c>
      <c r="O31" s="113">
        <f>IFERROR(__xludf.DUMMYFUNCTION("SPLIT(N31,""-"")"),60.0)</f>
        <v>60</v>
      </c>
      <c r="P31" s="113">
        <f>IFERROR(__xludf.DUMMYFUNCTION("""COMPUTED_VALUE"""),120.0)</f>
        <v>120</v>
      </c>
      <c r="Q31" s="114">
        <f t="shared" si="2"/>
        <v>99.8010473</v>
      </c>
      <c r="R31" s="115">
        <f t="shared" si="3"/>
        <v>0.01881026401</v>
      </c>
      <c r="S31" s="114">
        <f t="shared" si="39"/>
        <v>1625.20681</v>
      </c>
      <c r="T31" s="113" t="str">
        <f t="shared" si="4"/>
        <v>no</v>
      </c>
      <c r="U31" s="115">
        <f t="shared" si="5"/>
        <v>0</v>
      </c>
      <c r="V31" s="113">
        <f t="shared" si="34"/>
        <v>0</v>
      </c>
      <c r="W31" s="115">
        <f t="shared" si="6"/>
        <v>0</v>
      </c>
      <c r="X31" s="85">
        <f t="shared" si="7"/>
        <v>0</v>
      </c>
      <c r="Y31" s="116">
        <f t="shared" si="8"/>
        <v>0</v>
      </c>
      <c r="Z31" s="113">
        <f t="shared" si="9"/>
        <v>0</v>
      </c>
      <c r="AA31" s="113" t="str">
        <f t="shared" si="10"/>
        <v>no</v>
      </c>
      <c r="AB31" s="115">
        <f t="shared" si="11"/>
        <v>0</v>
      </c>
      <c r="AC31" s="113">
        <f t="shared" si="35"/>
        <v>0</v>
      </c>
      <c r="AD31" s="116">
        <f t="shared" si="12"/>
        <v>0</v>
      </c>
      <c r="AE31" s="113">
        <f t="shared" si="13"/>
        <v>0</v>
      </c>
      <c r="AF31" s="116">
        <f t="shared" si="14"/>
        <v>0</v>
      </c>
      <c r="AG31" s="113">
        <f t="shared" si="15"/>
        <v>0</v>
      </c>
      <c r="AH31" s="113" t="str">
        <f t="shared" si="16"/>
        <v>yes</v>
      </c>
      <c r="AI31" s="115">
        <f t="shared" si="17"/>
        <v>0.000328237686</v>
      </c>
      <c r="AJ31" s="114">
        <f t="shared" si="36"/>
        <v>28.35973607</v>
      </c>
      <c r="AK31" s="116">
        <f t="shared" si="18"/>
        <v>0.01913850169</v>
      </c>
      <c r="AL31" s="114">
        <f t="shared" si="19"/>
        <v>1653.566546</v>
      </c>
      <c r="AM31" s="115">
        <f t="shared" si="20"/>
        <v>0.02029360641</v>
      </c>
      <c r="AN31" s="118">
        <f t="shared" si="21"/>
        <v>1753.367594</v>
      </c>
      <c r="AO31" s="113" t="str">
        <f t="shared" si="22"/>
        <v>no</v>
      </c>
      <c r="AP31" s="115">
        <f t="shared" si="23"/>
        <v>0</v>
      </c>
      <c r="AQ31" s="113">
        <f t="shared" si="37"/>
        <v>0</v>
      </c>
      <c r="AR31" s="116">
        <f t="shared" si="24"/>
        <v>0</v>
      </c>
      <c r="AS31" s="113">
        <f t="shared" si="25"/>
        <v>0</v>
      </c>
      <c r="AT31" s="116">
        <f t="shared" si="26"/>
        <v>0</v>
      </c>
      <c r="AU31" s="113">
        <f t="shared" si="27"/>
        <v>0</v>
      </c>
      <c r="AV31" s="113" t="str">
        <f t="shared" si="28"/>
        <v>no</v>
      </c>
      <c r="AW31" s="115">
        <f t="shared" si="29"/>
        <v>0</v>
      </c>
      <c r="AX31" s="85">
        <f t="shared" si="38"/>
        <v>0</v>
      </c>
      <c r="AY31" s="116">
        <f t="shared" si="30"/>
        <v>0</v>
      </c>
      <c r="AZ31" s="113">
        <f t="shared" si="31"/>
        <v>0</v>
      </c>
      <c r="BA31" s="116">
        <f t="shared" si="32"/>
        <v>0</v>
      </c>
      <c r="BB31" s="113">
        <f t="shared" si="33"/>
        <v>0</v>
      </c>
      <c r="BC31" s="112">
        <v>0.9021771559983599</v>
      </c>
      <c r="BD31" s="113" t="str">
        <f>ifs(BC31&lt;='Range Tables'!$G$81,'Range Tables'!$B$81,BC31&lt;='Range Tables'!$G$82,'Range Tables'!$B$82)</f>
        <v>Offline*</v>
      </c>
      <c r="BE31" s="112">
        <v>0.5924949989340157</v>
      </c>
      <c r="BF31" s="112" t="str">
        <f>ifs(BE31&lt;='Range Tables'!$G$95,'Range Tables'!$B$95,BE31&lt;='Range Tables'!$G$96,'Range Tables'!$B$96,BE31&lt;='Range Tables'!$G$97,'Range Tables'!$B$97,BE31&lt;='Range Tables'!$G$98,'Range Tables'!$B$98,BE31&lt;='Range Tables'!$G$99,'Range Tables'!$B$99,BE31&lt;='Range Tables'!$G$100,'Range Tables'!$B$100,BE31&lt;='Range Tables'!$G$101,'Range Tables'!$B$101,BE31&lt;='Range Tables'!$G$102,'Range Tables'!$B$102,BE31&lt;='Range Tables'!$G$103,'Range Tables'!$B$103)</f>
        <v>Jammu</v>
      </c>
      <c r="BG31" s="112">
        <v>0.2320922078322587</v>
      </c>
      <c r="BH31" s="113" t="str">
        <f>ifs(BG31&lt;='Range Tables'!$G$112,'Range Tables'!$B$112,BG31&lt;='Range Tables'!$G$113,'Range Tables'!$B$113,BG31&lt;='Range Tables'!$G$114,'Range Tables'!$B$114)</f>
        <v>0</v>
      </c>
      <c r="BI31" s="117">
        <v>0.5051395196966043</v>
      </c>
      <c r="BJ31" s="113" t="str">
        <f>ifs(BI31&lt;='Range Tables'!$G$118,'Range Tables'!$B$118,BI31&lt;='Range Tables'!$G$119,'Range Tables'!$B$119)</f>
        <v>Valid</v>
      </c>
    </row>
    <row r="32">
      <c r="A32" s="85">
        <v>29.0</v>
      </c>
      <c r="B32" s="112">
        <v>0.010047801682414148</v>
      </c>
      <c r="C32" s="113" t="str">
        <f>ifs(B32&lt;='Range Tables'!$G$54,'Range Tables'!$B$54,B32&lt;='Range Tables'!$G$55,'Range Tables'!$B$55,B32&lt;='Range Tables'!$G$56,'Range Tables'!$B$56,B32&lt;='Range Tables'!$G$57,'Range Tables'!$B$57,B32&lt;='Range Tables'!$G$58,'Range Tables'!$B$58,B32&lt;='Range Tables'!$G$59,'Range Tables'!$B$59,B32&lt;='Range Tables'!$G$60,'Range Tables'!$B$60,B32&lt;='Range Tables'!$G$61,'Range Tables'!$B$61,B32&lt;='Range Tables'!$G$63,'Range Tables'!$B$63,B32&lt;='Range Tables'!$G$64,'Range Tables'!$B$64,B32&lt;='Range Tables'!$G$66,'Range Tables'!$B$66)</f>
        <v>0 - 30</v>
      </c>
      <c r="D32" s="113">
        <f>IFERROR(__xludf.DUMMYFUNCTION("SPLIT(C32,""-"")"),0.0)</f>
        <v>0</v>
      </c>
      <c r="E32" s="113">
        <f>IFERROR(__xludf.DUMMYFUNCTION("""COMPUTED_VALUE"""),30.0)</f>
        <v>30</v>
      </c>
      <c r="F32" s="114">
        <f t="shared" si="40"/>
        <v>0.3014340505</v>
      </c>
      <c r="G32" s="112">
        <v>0.7917030609540741</v>
      </c>
      <c r="H32" s="113" t="str">
        <f>ifs(G32&lt;='Range Tables'!$G$86,'Range Tables'!$B$86,G32&lt;='Range Tables'!$G$87,'Range Tables'!$B$87,G32&lt;='Range Tables'!$G$88,'Range Tables'!$B$88,G32&lt;='Range Tables'!$G$89,'Range Tables'!$B$89,G32&lt;='Range Tables'!$G$90,'Range Tables'!$B$90,G32&lt;='Range Tables'!$G$91,'Range Tables'!$B$91)</f>
        <v>Scooter</v>
      </c>
      <c r="I32" s="112">
        <v>0.8966816910984678</v>
      </c>
      <c r="J32" s="113" t="str">
        <f>IFS(
  H32="Car", IF(I32&lt;='Range Tables'!$G$19, 'Range Tables'!$B$19, 'Range Tables'!$B$20), 
  H32="Bike", IF(I32&lt;='Range Tables'!$G$25, 'Range Tables'!$B$25, 'Range Tables'!$B$26), 
  H32="Scooter", IF(I32&lt;='Range Tables'!$G$31, 'Range Tables'!$B$31, 'Range Tables'!$B$32), 
  H32="Auto", IF(I32&lt;='Range Tables'!$G$37, 'Range Tables'!$B$37, 'Range Tables'!$B$38), 
  H32="Carriers*", IF(I32&lt;='Range Tables'!$G$43, 'Range Tables'!$B$43, 'Range Tables'!$B$44), 
  H32="Van*", IF(I32&lt;='Range Tables'!$G$50, 'Range Tables'!$B$50, 'Range Tables'!$B$49)
)</f>
        <v>Petrol</v>
      </c>
      <c r="K32" s="112">
        <v>0.9733788392566922</v>
      </c>
      <c r="L32" s="113">
        <f>if(J32="Petrol",ifs(K32&lt;='Range Tables'!$G$5,'Range Tables'!$B$5,K32&lt;='Range Tables'!$G$6,'Range Tables'!$B$6,K32&lt;='Range Tables'!$G$7,'Range Tables'!$B$7),ifs(K32&lt;='Range Tables'!$G$13,'Range Tables'!$B$13,K32&lt;='Range Tables'!$G$14,'Range Tables'!$B$14))</f>
        <v>4</v>
      </c>
      <c r="M32" s="112">
        <v>0.0011273575642315459</v>
      </c>
      <c r="N32" s="113" t="str">
        <f>ifs(H32="Car",ifs(M32&lt;='Range Tables'!$G$125,'Range Tables'!$B$125,M32&lt;='Range Tables'!$G$126,'Range Tables'!$B$126,M32&lt;='Range Tables'!$G$127,'Range Tables'!$B$127,M32&lt;='Range Tables'!$G$128,'Range Tables'!$B$128,M32&lt;='Range Tables'!$G$129,'Range Tables'!$B$129,'Range Tables'!$G$131,'Range Tables'!$B$131),H32="Bike",ifs(M32&lt;='Range Tables'!$G$136,'Range Tables'!$B$136,M32&lt;='Range Tables'!$G$137,'Range Tables'!$B$137,M32&lt;='Range Tables'!$G$138,'Range Tables'!$B$138,M32&lt;='Range Tables'!$G$142,'Range Tables'!$B$142),H32="Scooter",ifs(M32&lt;='Range Tables'!$G$148,'Range Tables'!$B$148,M32&lt;='Range Tables'!$G$149,'Range Tables'!$B$149,M32&lt;='Range Tables'!$G$150,'Range Tables'!$B$150,M32&lt;='Range Tables'!$G$151,'Range Tables'!$B$151),H32="Auto",ifs(M32&lt;='Range Tables'!$G$161,'Range Tables'!$B$161,M32&lt;='Range Tables'!$G$162,'Range Tables'!$B$162,M32&lt;='Range Tables'!$G$163,'Range Tables'!$B$163,M32&lt;='Range Tables'!$G$164,'Range Tables'!$B$164),H32="Carriers*",ifs(M32&lt;='Range Tables'!$G$173,'Range Tables'!$B$173,M32&lt;='Range Tables'!$G$174,'Range Tables'!$B$174,M32&lt;='Range Tables'!$G$175,'Range Tables'!$B$175,M32&lt;='Range Tables'!$G$176,'Range Tables'!$B$176,M32&lt;='Range Tables'!$G$177,'Range Tables'!$B$177,M32&lt;='Range Tables'!$G$179,'Range Tables'!$B$179),H32="Van*",ifs(M32&lt;='Range Tables'!$G$186,'Range Tables'!$B$186))</f>
        <v>30 - 60</v>
      </c>
      <c r="O32" s="113">
        <f>IFERROR(__xludf.DUMMYFUNCTION("SPLIT(N32,""-"")"),30.0)</f>
        <v>30</v>
      </c>
      <c r="P32" s="113">
        <f>IFERROR(__xludf.DUMMYFUNCTION("""COMPUTED_VALUE"""),60.0)</f>
        <v>60</v>
      </c>
      <c r="Q32" s="114">
        <f t="shared" si="2"/>
        <v>30.03382073</v>
      </c>
      <c r="R32" s="115">
        <f t="shared" si="3"/>
        <v>0.0192878353</v>
      </c>
      <c r="S32" s="114">
        <f t="shared" si="39"/>
        <v>1666.46897</v>
      </c>
      <c r="T32" s="113" t="str">
        <f t="shared" si="4"/>
        <v>no</v>
      </c>
      <c r="U32" s="115">
        <f t="shared" si="5"/>
        <v>0</v>
      </c>
      <c r="V32" s="113">
        <f t="shared" si="34"/>
        <v>0</v>
      </c>
      <c r="W32" s="115">
        <f t="shared" si="6"/>
        <v>0</v>
      </c>
      <c r="X32" s="85">
        <f t="shared" si="7"/>
        <v>0</v>
      </c>
      <c r="Y32" s="116">
        <f t="shared" si="8"/>
        <v>0</v>
      </c>
      <c r="Z32" s="113">
        <f t="shared" si="9"/>
        <v>0</v>
      </c>
      <c r="AA32" s="113" t="str">
        <f t="shared" si="10"/>
        <v>no</v>
      </c>
      <c r="AB32" s="115">
        <f t="shared" si="11"/>
        <v>0</v>
      </c>
      <c r="AC32" s="113">
        <f t="shared" si="35"/>
        <v>0</v>
      </c>
      <c r="AD32" s="116">
        <f t="shared" si="12"/>
        <v>0</v>
      </c>
      <c r="AE32" s="113">
        <f t="shared" si="13"/>
        <v>0</v>
      </c>
      <c r="AF32" s="116">
        <f t="shared" si="14"/>
        <v>0</v>
      </c>
      <c r="AG32" s="113">
        <f t="shared" si="15"/>
        <v>0</v>
      </c>
      <c r="AH32" s="113" t="str">
        <f t="shared" si="16"/>
        <v>no</v>
      </c>
      <c r="AI32" s="115">
        <f t="shared" si="17"/>
        <v>0</v>
      </c>
      <c r="AJ32" s="113">
        <f t="shared" si="36"/>
        <v>0</v>
      </c>
      <c r="AK32" s="116">
        <f t="shared" si="18"/>
        <v>0</v>
      </c>
      <c r="AL32" s="113">
        <f t="shared" si="19"/>
        <v>0</v>
      </c>
      <c r="AM32" s="115">
        <f t="shared" si="20"/>
        <v>0</v>
      </c>
      <c r="AN32" s="85">
        <f t="shared" si="21"/>
        <v>0</v>
      </c>
      <c r="AO32" s="113" t="str">
        <f t="shared" si="22"/>
        <v>yes</v>
      </c>
      <c r="AP32" s="115">
        <f t="shared" si="23"/>
        <v>0</v>
      </c>
      <c r="AQ32" s="113">
        <f t="shared" si="37"/>
        <v>0</v>
      </c>
      <c r="AR32" s="116">
        <f t="shared" si="24"/>
        <v>0.0192878353</v>
      </c>
      <c r="AS32" s="114">
        <f t="shared" si="25"/>
        <v>1666.46897</v>
      </c>
      <c r="AT32" s="116">
        <f t="shared" si="26"/>
        <v>0.01963544896</v>
      </c>
      <c r="AU32" s="114">
        <f t="shared" si="27"/>
        <v>1696.502791</v>
      </c>
      <c r="AV32" s="113" t="str">
        <f t="shared" si="28"/>
        <v>no</v>
      </c>
      <c r="AW32" s="115">
        <f t="shared" si="29"/>
        <v>0</v>
      </c>
      <c r="AX32" s="85">
        <f t="shared" si="38"/>
        <v>0</v>
      </c>
      <c r="AY32" s="116">
        <f t="shared" si="30"/>
        <v>0</v>
      </c>
      <c r="AZ32" s="113">
        <f t="shared" si="31"/>
        <v>0</v>
      </c>
      <c r="BA32" s="116">
        <f t="shared" si="32"/>
        <v>0</v>
      </c>
      <c r="BB32" s="113">
        <f t="shared" si="33"/>
        <v>0</v>
      </c>
      <c r="BC32" s="112">
        <v>0.660609155813858</v>
      </c>
      <c r="BD32" s="113" t="str">
        <f>ifs(BC32&lt;='Range Tables'!$G$81,'Range Tables'!$B$81,BC32&lt;='Range Tables'!$G$82,'Range Tables'!$B$82)</f>
        <v>Offline*</v>
      </c>
      <c r="BE32" s="112">
        <v>0.5370924449575951</v>
      </c>
      <c r="BF32" s="112" t="str">
        <f>ifs(BE32&lt;='Range Tables'!$G$95,'Range Tables'!$B$95,BE32&lt;='Range Tables'!$G$96,'Range Tables'!$B$96,BE32&lt;='Range Tables'!$G$97,'Range Tables'!$B$97,BE32&lt;='Range Tables'!$G$98,'Range Tables'!$B$98,BE32&lt;='Range Tables'!$G$99,'Range Tables'!$B$99,BE32&lt;='Range Tables'!$G$100,'Range Tables'!$B$100,BE32&lt;='Range Tables'!$G$101,'Range Tables'!$B$101,BE32&lt;='Range Tables'!$G$102,'Range Tables'!$B$102,BE32&lt;='Range Tables'!$G$103,'Range Tables'!$B$103)</f>
        <v>Jammu</v>
      </c>
      <c r="BG32" s="112">
        <v>0.2399257211702429</v>
      </c>
      <c r="BH32" s="113" t="str">
        <f>ifs(BG32&lt;='Range Tables'!$G$112,'Range Tables'!$B$112,BG32&lt;='Range Tables'!$G$113,'Range Tables'!$B$113,BG32&lt;='Range Tables'!$G$114,'Range Tables'!$B$114)</f>
        <v>0</v>
      </c>
      <c r="BI32" s="117">
        <v>0.8323722925572805</v>
      </c>
      <c r="BJ32" s="113" t="str">
        <f>ifs(BI32&lt;='Range Tables'!$G$118,'Range Tables'!$B$118,BI32&lt;='Range Tables'!$G$119,'Range Tables'!$B$119)</f>
        <v>Expired</v>
      </c>
    </row>
    <row r="33">
      <c r="A33" s="85">
        <v>30.0</v>
      </c>
      <c r="B33" s="112">
        <v>0.4288165211136047</v>
      </c>
      <c r="C33" s="113" t="str">
        <f>ifs(B33&lt;='Range Tables'!$G$54,'Range Tables'!$B$54,B33&lt;='Range Tables'!$G$55,'Range Tables'!$B$55,B33&lt;='Range Tables'!$G$56,'Range Tables'!$B$56,B33&lt;='Range Tables'!$G$57,'Range Tables'!$B$57,B33&lt;='Range Tables'!$G$58,'Range Tables'!$B$58,B33&lt;='Range Tables'!$G$59,'Range Tables'!$B$59,B33&lt;='Range Tables'!$G$60,'Range Tables'!$B$60,B33&lt;='Range Tables'!$G$61,'Range Tables'!$B$61,B33&lt;='Range Tables'!$G$63,'Range Tables'!$B$63,B33&lt;='Range Tables'!$G$64,'Range Tables'!$B$64,B33&lt;='Range Tables'!$G$66,'Range Tables'!$B$66)</f>
        <v>30 - 60 </v>
      </c>
      <c r="D33" s="113">
        <f>IFERROR(__xludf.DUMMYFUNCTION("SPLIT(C33,""-"")"),30.0)</f>
        <v>30</v>
      </c>
      <c r="E33" s="113">
        <f>IFERROR(__xludf.DUMMYFUNCTION("""COMPUTED_VALUE"""),60.0)</f>
        <v>60</v>
      </c>
      <c r="F33" s="114">
        <f t="shared" si="40"/>
        <v>42.86449563</v>
      </c>
      <c r="G33" s="112">
        <v>0.8204569005340187</v>
      </c>
      <c r="H33" s="113" t="str">
        <f>ifs(G33&lt;='Range Tables'!$G$86,'Range Tables'!$B$86,G33&lt;='Range Tables'!$G$87,'Range Tables'!$B$87,G33&lt;='Range Tables'!$G$88,'Range Tables'!$B$88,G33&lt;='Range Tables'!$G$89,'Range Tables'!$B$89,G33&lt;='Range Tables'!$G$90,'Range Tables'!$B$90,G33&lt;='Range Tables'!$G$91,'Range Tables'!$B$91)</f>
        <v>Scooter</v>
      </c>
      <c r="I33" s="112">
        <v>0.7579896716806767</v>
      </c>
      <c r="J33" s="113" t="str">
        <f>IFS(
  H33="Car", IF(I33&lt;='Range Tables'!$G$19, 'Range Tables'!$B$19, 'Range Tables'!$B$20), 
  H33="Bike", IF(I33&lt;='Range Tables'!$G$25, 'Range Tables'!$B$25, 'Range Tables'!$B$26), 
  H33="Scooter", IF(I33&lt;='Range Tables'!$G$31, 'Range Tables'!$B$31, 'Range Tables'!$B$32), 
  H33="Auto", IF(I33&lt;='Range Tables'!$G$37, 'Range Tables'!$B$37, 'Range Tables'!$B$38), 
  H33="Carriers*", IF(I33&lt;='Range Tables'!$G$43, 'Range Tables'!$B$43, 'Range Tables'!$B$44), 
  H33="Van*", IF(I33&lt;='Range Tables'!$G$50, 'Range Tables'!$B$50, 'Range Tables'!$B$49)
)</f>
        <v>Petrol</v>
      </c>
      <c r="K33" s="112">
        <v>0.9066392165555767</v>
      </c>
      <c r="L33" s="113">
        <f>if(J33="Petrol",ifs(K33&lt;='Range Tables'!$G$5,'Range Tables'!$B$5,K33&lt;='Range Tables'!$G$6,'Range Tables'!$B$6,K33&lt;='Range Tables'!$G$7,'Range Tables'!$B$7),ifs(K33&lt;='Range Tables'!$G$13,'Range Tables'!$B$13,K33&lt;='Range Tables'!$G$14,'Range Tables'!$B$14))</f>
        <v>4</v>
      </c>
      <c r="M33" s="112">
        <v>0.970354719499968</v>
      </c>
      <c r="N33" s="113" t="str">
        <f>ifs(H33="Car",ifs(M33&lt;='Range Tables'!$G$125,'Range Tables'!$B$125,M33&lt;='Range Tables'!$G$126,'Range Tables'!$B$126,M33&lt;='Range Tables'!$G$127,'Range Tables'!$B$127,M33&lt;='Range Tables'!$G$128,'Range Tables'!$B$128,M33&lt;='Range Tables'!$G$129,'Range Tables'!$B$129,'Range Tables'!$G$131,'Range Tables'!$B$131),H33="Bike",ifs(M33&lt;='Range Tables'!$G$136,'Range Tables'!$B$136,M33&lt;='Range Tables'!$G$137,'Range Tables'!$B$137,M33&lt;='Range Tables'!$G$138,'Range Tables'!$B$138,M33&lt;='Range Tables'!$G$142,'Range Tables'!$B$142),H33="Scooter",ifs(M33&lt;='Range Tables'!$G$148,'Range Tables'!$B$148,M33&lt;='Range Tables'!$G$149,'Range Tables'!$B$149,M33&lt;='Range Tables'!$G$150,'Range Tables'!$B$150,M33&lt;='Range Tables'!$G$151,'Range Tables'!$B$151),H33="Auto",ifs(M33&lt;='Range Tables'!$G$161,'Range Tables'!$B$161,M33&lt;='Range Tables'!$G$162,'Range Tables'!$B$162,M33&lt;='Range Tables'!$G$163,'Range Tables'!$B$163,M33&lt;='Range Tables'!$G$164,'Range Tables'!$B$164),H33="Carriers*",ifs(M33&lt;='Range Tables'!$G$173,'Range Tables'!$B$173,M33&lt;='Range Tables'!$G$174,'Range Tables'!$B$174,M33&lt;='Range Tables'!$G$175,'Range Tables'!$B$175,M33&lt;='Range Tables'!$G$176,'Range Tables'!$B$176,M33&lt;='Range Tables'!$G$177,'Range Tables'!$B$177,M33&lt;='Range Tables'!$G$179,'Range Tables'!$B$179),H33="Van*",ifs(M33&lt;='Range Tables'!$G$186,'Range Tables'!$B$186))</f>
        <v>180 - 240</v>
      </c>
      <c r="O33" s="113">
        <f>IFERROR(__xludf.DUMMYFUNCTION("SPLIT(N33,""-"")"),180.0)</f>
        <v>180</v>
      </c>
      <c r="P33" s="113">
        <f>IFERROR(__xludf.DUMMYFUNCTION("""COMPUTED_VALUE"""),240.0)</f>
        <v>240</v>
      </c>
      <c r="Q33" s="114">
        <f t="shared" si="2"/>
        <v>238.2212832</v>
      </c>
      <c r="R33" s="115">
        <f t="shared" si="3"/>
        <v>0.01929132412</v>
      </c>
      <c r="S33" s="114">
        <f t="shared" si="39"/>
        <v>1666.770404</v>
      </c>
      <c r="T33" s="113" t="str">
        <f t="shared" si="4"/>
        <v>no</v>
      </c>
      <c r="U33" s="115">
        <f t="shared" si="5"/>
        <v>0</v>
      </c>
      <c r="V33" s="113">
        <f t="shared" si="34"/>
        <v>0</v>
      </c>
      <c r="W33" s="115">
        <f t="shared" si="6"/>
        <v>0</v>
      </c>
      <c r="X33" s="85">
        <f t="shared" si="7"/>
        <v>0</v>
      </c>
      <c r="Y33" s="116">
        <f t="shared" si="8"/>
        <v>0</v>
      </c>
      <c r="Z33" s="113">
        <f t="shared" si="9"/>
        <v>0</v>
      </c>
      <c r="AA33" s="113" t="str">
        <f t="shared" si="10"/>
        <v>no</v>
      </c>
      <c r="AB33" s="115">
        <f t="shared" si="11"/>
        <v>0</v>
      </c>
      <c r="AC33" s="113">
        <f t="shared" si="35"/>
        <v>0</v>
      </c>
      <c r="AD33" s="116">
        <f t="shared" si="12"/>
        <v>0</v>
      </c>
      <c r="AE33" s="113">
        <f t="shared" si="13"/>
        <v>0</v>
      </c>
      <c r="AF33" s="116">
        <f t="shared" si="14"/>
        <v>0</v>
      </c>
      <c r="AG33" s="113">
        <f t="shared" si="15"/>
        <v>0</v>
      </c>
      <c r="AH33" s="113" t="str">
        <f t="shared" si="16"/>
        <v>no</v>
      </c>
      <c r="AI33" s="115">
        <f t="shared" si="17"/>
        <v>0</v>
      </c>
      <c r="AJ33" s="113">
        <f t="shared" si="36"/>
        <v>0</v>
      </c>
      <c r="AK33" s="116">
        <f t="shared" si="18"/>
        <v>0</v>
      </c>
      <c r="AL33" s="113">
        <f t="shared" si="19"/>
        <v>0</v>
      </c>
      <c r="AM33" s="115">
        <f t="shared" si="20"/>
        <v>0</v>
      </c>
      <c r="AN33" s="85">
        <f t="shared" si="21"/>
        <v>0</v>
      </c>
      <c r="AO33" s="113" t="str">
        <f t="shared" si="22"/>
        <v>yes</v>
      </c>
      <c r="AP33" s="115">
        <f t="shared" si="23"/>
        <v>0.0003441248458</v>
      </c>
      <c r="AQ33" s="114">
        <f t="shared" si="37"/>
        <v>29.73238668</v>
      </c>
      <c r="AR33" s="116">
        <f t="shared" si="24"/>
        <v>0.01963544896</v>
      </c>
      <c r="AS33" s="114">
        <f t="shared" si="25"/>
        <v>1696.502791</v>
      </c>
      <c r="AT33" s="116">
        <f t="shared" si="26"/>
        <v>0.02239263974</v>
      </c>
      <c r="AU33" s="114">
        <f t="shared" si="27"/>
        <v>1934.724074</v>
      </c>
      <c r="AV33" s="113" t="str">
        <f t="shared" si="28"/>
        <v>no</v>
      </c>
      <c r="AW33" s="115">
        <f t="shared" si="29"/>
        <v>0</v>
      </c>
      <c r="AX33" s="85">
        <f t="shared" si="38"/>
        <v>0</v>
      </c>
      <c r="AY33" s="116">
        <f t="shared" si="30"/>
        <v>0</v>
      </c>
      <c r="AZ33" s="113">
        <f t="shared" si="31"/>
        <v>0</v>
      </c>
      <c r="BA33" s="116">
        <f t="shared" si="32"/>
        <v>0</v>
      </c>
      <c r="BB33" s="113">
        <f t="shared" si="33"/>
        <v>0</v>
      </c>
      <c r="BC33" s="112">
        <v>0.5435683662470437</v>
      </c>
      <c r="BD33" s="113" t="str">
        <f>ifs(BC33&lt;='Range Tables'!$G$81,'Range Tables'!$B$81,BC33&lt;='Range Tables'!$G$82,'Range Tables'!$B$82)</f>
        <v>Offline*</v>
      </c>
      <c r="BE33" s="112">
        <v>0.28369664497653035</v>
      </c>
      <c r="BF33" s="112" t="str">
        <f>ifs(BE33&lt;='Range Tables'!$G$95,'Range Tables'!$B$95,BE33&lt;='Range Tables'!$G$96,'Range Tables'!$B$96,BE33&lt;='Range Tables'!$G$97,'Range Tables'!$B$97,BE33&lt;='Range Tables'!$G$98,'Range Tables'!$B$98,BE33&lt;='Range Tables'!$G$99,'Range Tables'!$B$99,BE33&lt;='Range Tables'!$G$100,'Range Tables'!$B$100,BE33&lt;='Range Tables'!$G$101,'Range Tables'!$B$101,BE33&lt;='Range Tables'!$G$102,'Range Tables'!$B$102,BE33&lt;='Range Tables'!$G$103,'Range Tables'!$B$103)</f>
        <v>Jammu</v>
      </c>
      <c r="BG33" s="112">
        <v>0.7593778071224367</v>
      </c>
      <c r="BH33" s="113" t="str">
        <f>ifs(BG33&lt;='Range Tables'!$G$112,'Range Tables'!$B$112,BG33&lt;='Range Tables'!$G$113,'Range Tables'!$B$113,BG33&lt;='Range Tables'!$G$114,'Range Tables'!$B$114)</f>
        <v>0</v>
      </c>
      <c r="BI33" s="117">
        <v>0.7186854051505438</v>
      </c>
      <c r="BJ33" s="113" t="str">
        <f>ifs(BI33&lt;='Range Tables'!$G$118,'Range Tables'!$B$118,BI33&lt;='Range Tables'!$G$119,'Range Tables'!$B$119)</f>
        <v>Expired</v>
      </c>
    </row>
    <row r="34">
      <c r="A34" s="85">
        <v>31.0</v>
      </c>
      <c r="B34" s="112">
        <v>0.19687798911671595</v>
      </c>
      <c r="C34" s="113" t="str">
        <f>ifs(B34&lt;='Range Tables'!$G$54,'Range Tables'!$B$54,B34&lt;='Range Tables'!$G$55,'Range Tables'!$B$55,B34&lt;='Range Tables'!$G$56,'Range Tables'!$B$56,B34&lt;='Range Tables'!$G$57,'Range Tables'!$B$57,B34&lt;='Range Tables'!$G$58,'Range Tables'!$B$58,B34&lt;='Range Tables'!$G$59,'Range Tables'!$B$59,B34&lt;='Range Tables'!$G$60,'Range Tables'!$B$60,B34&lt;='Range Tables'!$G$61,'Range Tables'!$B$61,B34&lt;='Range Tables'!$G$63,'Range Tables'!$B$63,B34&lt;='Range Tables'!$G$64,'Range Tables'!$B$64,B34&lt;='Range Tables'!$G$66,'Range Tables'!$B$66)</f>
        <v>0 - 30</v>
      </c>
      <c r="D34" s="113">
        <f>IFERROR(__xludf.DUMMYFUNCTION("SPLIT(C34,""-"")"),0.0)</f>
        <v>0</v>
      </c>
      <c r="E34" s="113">
        <f>IFERROR(__xludf.DUMMYFUNCTION("""COMPUTED_VALUE"""),30.0)</f>
        <v>30</v>
      </c>
      <c r="F34" s="114">
        <f t="shared" si="40"/>
        <v>5.906339674</v>
      </c>
      <c r="G34" s="112">
        <v>0.5372653256392473</v>
      </c>
      <c r="H34" s="113" t="str">
        <f>ifs(G34&lt;='Range Tables'!$G$86,'Range Tables'!$B$86,G34&lt;='Range Tables'!$G$87,'Range Tables'!$B$87,G34&lt;='Range Tables'!$G$88,'Range Tables'!$B$88,G34&lt;='Range Tables'!$G$89,'Range Tables'!$B$89,G34&lt;='Range Tables'!$G$90,'Range Tables'!$B$90,G34&lt;='Range Tables'!$G$91,'Range Tables'!$B$91)</f>
        <v>Bike</v>
      </c>
      <c r="I34" s="112">
        <v>0.9657268469355239</v>
      </c>
      <c r="J34" s="113" t="str">
        <f>IFS(
  H34="Car", IF(I34&lt;='Range Tables'!$G$19, 'Range Tables'!$B$19, 'Range Tables'!$B$20), 
  H34="Bike", IF(I34&lt;='Range Tables'!$G$25, 'Range Tables'!$B$25, 'Range Tables'!$B$26), 
  H34="Scooter", IF(I34&lt;='Range Tables'!$G$31, 'Range Tables'!$B$31, 'Range Tables'!$B$32), 
  H34="Auto", IF(I34&lt;='Range Tables'!$G$37, 'Range Tables'!$B$37, 'Range Tables'!$B$38), 
  H34="Carriers*", IF(I34&lt;='Range Tables'!$G$43, 'Range Tables'!$B$43, 'Range Tables'!$B$44), 
  H34="Van*", IF(I34&lt;='Range Tables'!$G$50, 'Range Tables'!$B$50, 'Range Tables'!$B$49)
)</f>
        <v>Petrol</v>
      </c>
      <c r="K34" s="112">
        <v>0.018273865413144796</v>
      </c>
      <c r="L34" s="113">
        <f>if(J34="Petrol",ifs(K34&lt;='Range Tables'!$G$5,'Range Tables'!$B$5,K34&lt;='Range Tables'!$G$6,'Range Tables'!$B$6,K34&lt;='Range Tables'!$G$7,'Range Tables'!$B$7),ifs(K34&lt;='Range Tables'!$G$13,'Range Tables'!$B$13,K34&lt;='Range Tables'!$G$14,'Range Tables'!$B$14))</f>
        <v>2</v>
      </c>
      <c r="M34" s="112">
        <v>0.0575178688265745</v>
      </c>
      <c r="N34" s="113" t="str">
        <f>ifs(H34="Car",ifs(M34&lt;='Range Tables'!$G$125,'Range Tables'!$B$125,M34&lt;='Range Tables'!$G$126,'Range Tables'!$B$126,M34&lt;='Range Tables'!$G$127,'Range Tables'!$B$127,M34&lt;='Range Tables'!$G$128,'Range Tables'!$B$128,M34&lt;='Range Tables'!$G$129,'Range Tables'!$B$129,'Range Tables'!$G$131,'Range Tables'!$B$131),H34="Bike",ifs(M34&lt;='Range Tables'!$G$136,'Range Tables'!$B$136,M34&lt;='Range Tables'!$G$137,'Range Tables'!$B$137,M34&lt;='Range Tables'!$G$138,'Range Tables'!$B$138,M34&lt;='Range Tables'!$G$142,'Range Tables'!$B$142),H34="Scooter",ifs(M34&lt;='Range Tables'!$G$148,'Range Tables'!$B$148,M34&lt;='Range Tables'!$G$149,'Range Tables'!$B$149,M34&lt;='Range Tables'!$G$150,'Range Tables'!$B$150,M34&lt;='Range Tables'!$G$151,'Range Tables'!$B$151),H34="Auto",ifs(M34&lt;='Range Tables'!$G$161,'Range Tables'!$B$161,M34&lt;='Range Tables'!$G$162,'Range Tables'!$B$162,M34&lt;='Range Tables'!$G$163,'Range Tables'!$B$163,M34&lt;='Range Tables'!$G$164,'Range Tables'!$B$164),H34="Carriers*",ifs(M34&lt;='Range Tables'!$G$173,'Range Tables'!$B$173,M34&lt;='Range Tables'!$G$174,'Range Tables'!$B$174,M34&lt;='Range Tables'!$G$175,'Range Tables'!$B$175,M34&lt;='Range Tables'!$G$176,'Range Tables'!$B$176,M34&lt;='Range Tables'!$G$177,'Range Tables'!$B$177,M34&lt;='Range Tables'!$G$179,'Range Tables'!$B$179),H34="Van*",ifs(M34&lt;='Range Tables'!$G$186,'Range Tables'!$B$186))</f>
        <v>30 - 60</v>
      </c>
      <c r="O34" s="113">
        <f>IFERROR(__xludf.DUMMYFUNCTION("SPLIT(N34,""-"")"),30.0)</f>
        <v>30</v>
      </c>
      <c r="P34" s="113">
        <f>IFERROR(__xludf.DUMMYFUNCTION("""COMPUTED_VALUE"""),60.0)</f>
        <v>60</v>
      </c>
      <c r="Q34" s="114">
        <f t="shared" si="2"/>
        <v>31.72553606</v>
      </c>
      <c r="R34" s="115">
        <f t="shared" si="3"/>
        <v>0.01978744097</v>
      </c>
      <c r="S34" s="114">
        <f t="shared" si="39"/>
        <v>1709.634899</v>
      </c>
      <c r="T34" s="113" t="str">
        <f t="shared" si="4"/>
        <v>no</v>
      </c>
      <c r="U34" s="115">
        <f t="shared" si="5"/>
        <v>0</v>
      </c>
      <c r="V34" s="113">
        <f t="shared" si="34"/>
        <v>0</v>
      </c>
      <c r="W34" s="115">
        <f t="shared" si="6"/>
        <v>0</v>
      </c>
      <c r="X34" s="85">
        <f t="shared" si="7"/>
        <v>0</v>
      </c>
      <c r="Y34" s="116">
        <f t="shared" si="8"/>
        <v>0</v>
      </c>
      <c r="Z34" s="113">
        <f t="shared" si="9"/>
        <v>0</v>
      </c>
      <c r="AA34" s="113" t="str">
        <f t="shared" si="10"/>
        <v>yes</v>
      </c>
      <c r="AB34" s="115">
        <f t="shared" si="11"/>
        <v>0</v>
      </c>
      <c r="AC34" s="113">
        <f t="shared" si="35"/>
        <v>0</v>
      </c>
      <c r="AD34" s="116">
        <f t="shared" si="12"/>
        <v>0.01978744097</v>
      </c>
      <c r="AE34" s="114">
        <f t="shared" si="13"/>
        <v>1709.634899</v>
      </c>
      <c r="AF34" s="116">
        <f t="shared" si="14"/>
        <v>0.02015463467</v>
      </c>
      <c r="AG34" s="114">
        <f t="shared" si="15"/>
        <v>1741.360436</v>
      </c>
      <c r="AH34" s="113" t="str">
        <f t="shared" si="16"/>
        <v>no</v>
      </c>
      <c r="AI34" s="115">
        <f t="shared" si="17"/>
        <v>0</v>
      </c>
      <c r="AJ34" s="113">
        <f t="shared" si="36"/>
        <v>0</v>
      </c>
      <c r="AK34" s="116">
        <f t="shared" si="18"/>
        <v>0</v>
      </c>
      <c r="AL34" s="113">
        <f t="shared" si="19"/>
        <v>0</v>
      </c>
      <c r="AM34" s="115">
        <f t="shared" si="20"/>
        <v>0</v>
      </c>
      <c r="AN34" s="85">
        <f t="shared" si="21"/>
        <v>0</v>
      </c>
      <c r="AO34" s="113" t="str">
        <f t="shared" si="22"/>
        <v>no</v>
      </c>
      <c r="AP34" s="115">
        <f t="shared" si="23"/>
        <v>0</v>
      </c>
      <c r="AQ34" s="113">
        <f t="shared" si="37"/>
        <v>0</v>
      </c>
      <c r="AR34" s="116">
        <f t="shared" si="24"/>
        <v>0</v>
      </c>
      <c r="AS34" s="113">
        <f t="shared" si="25"/>
        <v>0</v>
      </c>
      <c r="AT34" s="116">
        <f t="shared" si="26"/>
        <v>0</v>
      </c>
      <c r="AU34" s="113">
        <f t="shared" si="27"/>
        <v>0</v>
      </c>
      <c r="AV34" s="113" t="str">
        <f t="shared" si="28"/>
        <v>no</v>
      </c>
      <c r="AW34" s="115">
        <f t="shared" si="29"/>
        <v>0</v>
      </c>
      <c r="AX34" s="85">
        <f t="shared" si="38"/>
        <v>0</v>
      </c>
      <c r="AY34" s="116">
        <f t="shared" si="30"/>
        <v>0</v>
      </c>
      <c r="AZ34" s="113">
        <f t="shared" si="31"/>
        <v>0</v>
      </c>
      <c r="BA34" s="116">
        <f t="shared" si="32"/>
        <v>0</v>
      </c>
      <c r="BB34" s="113">
        <f t="shared" si="33"/>
        <v>0</v>
      </c>
      <c r="BC34" s="112">
        <v>0.6378591641096275</v>
      </c>
      <c r="BD34" s="113" t="str">
        <f>ifs(BC34&lt;='Range Tables'!$G$81,'Range Tables'!$B$81,BC34&lt;='Range Tables'!$G$82,'Range Tables'!$B$82)</f>
        <v>Offline*</v>
      </c>
      <c r="BE34" s="112">
        <v>0.9769323058668666</v>
      </c>
      <c r="BF34" s="112" t="str">
        <f>ifs(BE34&lt;='Range Tables'!$G$95,'Range Tables'!$B$95,BE34&lt;='Range Tables'!$G$96,'Range Tables'!$B$96,BE34&lt;='Range Tables'!$G$97,'Range Tables'!$B$97,BE34&lt;='Range Tables'!$G$98,'Range Tables'!$B$98,BE34&lt;='Range Tables'!$G$99,'Range Tables'!$B$99,BE34&lt;='Range Tables'!$G$100,'Range Tables'!$B$100,BE34&lt;='Range Tables'!$G$101,'Range Tables'!$B$101,BE34&lt;='Range Tables'!$G$102,'Range Tables'!$B$102,BE34&lt;='Range Tables'!$G$103,'Range Tables'!$B$103)</f>
        <v>Ramban</v>
      </c>
      <c r="BG34" s="112">
        <v>0.18493781413056665</v>
      </c>
      <c r="BH34" s="113" t="str">
        <f>ifs(BG34&lt;='Range Tables'!$G$112,'Range Tables'!$B$112,BG34&lt;='Range Tables'!$G$113,'Range Tables'!$B$113,BG34&lt;='Range Tables'!$G$114,'Range Tables'!$B$114)</f>
        <v>0</v>
      </c>
      <c r="BI34" s="117">
        <v>0.9754374109780913</v>
      </c>
      <c r="BJ34" s="113" t="str">
        <f>ifs(BI34&lt;='Range Tables'!$G$118,'Range Tables'!$B$118,BI34&lt;='Range Tables'!$G$119,'Range Tables'!$B$119)</f>
        <v>Expired</v>
      </c>
    </row>
    <row r="35">
      <c r="A35" s="85">
        <v>32.0</v>
      </c>
      <c r="B35" s="112">
        <v>0.9292509829395702</v>
      </c>
      <c r="C35" s="113" t="str">
        <f>ifs(B35&lt;='Range Tables'!$G$54,'Range Tables'!$B$54,B35&lt;='Range Tables'!$G$55,'Range Tables'!$B$55,B35&lt;='Range Tables'!$G$56,'Range Tables'!$B$56,B35&lt;='Range Tables'!$G$57,'Range Tables'!$B$57,B35&lt;='Range Tables'!$G$58,'Range Tables'!$B$58,B35&lt;='Range Tables'!$G$59,'Range Tables'!$B$59,B35&lt;='Range Tables'!$G$60,'Range Tables'!$B$60,B35&lt;='Range Tables'!$G$61,'Range Tables'!$B$61,B35&lt;='Range Tables'!$G$63,'Range Tables'!$B$63,B35&lt;='Range Tables'!$G$64,'Range Tables'!$B$64,B35&lt;='Range Tables'!$G$66,'Range Tables'!$B$66)</f>
        <v>270 - 300</v>
      </c>
      <c r="D35" s="113">
        <f>IFERROR(__xludf.DUMMYFUNCTION("SPLIT(C35,""-"")"),270.0)</f>
        <v>270</v>
      </c>
      <c r="E35" s="113">
        <f>IFERROR(__xludf.DUMMYFUNCTION("""COMPUTED_VALUE"""),300.0)</f>
        <v>300</v>
      </c>
      <c r="F35" s="114">
        <f t="shared" si="40"/>
        <v>297.8775295</v>
      </c>
      <c r="G35" s="112">
        <v>0.31202603007716323</v>
      </c>
      <c r="H35" s="113" t="str">
        <f>ifs(G35&lt;='Range Tables'!$G$86,'Range Tables'!$B$86,G35&lt;='Range Tables'!$G$87,'Range Tables'!$B$87,G35&lt;='Range Tables'!$G$88,'Range Tables'!$B$88,G35&lt;='Range Tables'!$G$89,'Range Tables'!$B$89,G35&lt;='Range Tables'!$G$90,'Range Tables'!$B$90,G35&lt;='Range Tables'!$G$91,'Range Tables'!$B$91)</f>
        <v>Car</v>
      </c>
      <c r="I35" s="112">
        <v>0.4824100827835348</v>
      </c>
      <c r="J35" s="113" t="str">
        <f>IFS(
  H35="Car", IF(I35&lt;='Range Tables'!$G$19, 'Range Tables'!$B$19, 'Range Tables'!$B$20), 
  H35="Bike", IF(I35&lt;='Range Tables'!$G$25, 'Range Tables'!$B$25, 'Range Tables'!$B$26), 
  H35="Scooter", IF(I35&lt;='Range Tables'!$G$31, 'Range Tables'!$B$31, 'Range Tables'!$B$32), 
  H35="Auto", IF(I35&lt;='Range Tables'!$G$37, 'Range Tables'!$B$37, 'Range Tables'!$B$38), 
  H35="Carriers*", IF(I35&lt;='Range Tables'!$G$43, 'Range Tables'!$B$43, 'Range Tables'!$B$44), 
  H35="Van*", IF(I35&lt;='Range Tables'!$G$50, 'Range Tables'!$B$50, 'Range Tables'!$B$49)
)</f>
        <v>Petrol</v>
      </c>
      <c r="K35" s="112">
        <v>0.3853557279737463</v>
      </c>
      <c r="L35" s="113">
        <f>if(J35="Petrol",ifs(K35&lt;='Range Tables'!$G$5,'Range Tables'!$B$5,K35&lt;='Range Tables'!$G$6,'Range Tables'!$B$6,K35&lt;='Range Tables'!$G$7,'Range Tables'!$B$7),ifs(K35&lt;='Range Tables'!$G$13,'Range Tables'!$B$13,K35&lt;='Range Tables'!$G$14,'Range Tables'!$B$14))</f>
        <v>2</v>
      </c>
      <c r="M35" s="112">
        <v>0.4127257804796868</v>
      </c>
      <c r="N35" s="113" t="str">
        <f>ifs(H35="Car",ifs(M35&lt;='Range Tables'!$G$125,'Range Tables'!$B$125,M35&lt;='Range Tables'!$G$126,'Range Tables'!$B$126,M35&lt;='Range Tables'!$G$127,'Range Tables'!$B$127,M35&lt;='Range Tables'!$G$128,'Range Tables'!$B$128,M35&lt;='Range Tables'!$G$129,'Range Tables'!$B$129,'Range Tables'!$G$131,'Range Tables'!$B$131),H35="Bike",ifs(M35&lt;='Range Tables'!$G$136,'Range Tables'!$B$136,M35&lt;='Range Tables'!$G$137,'Range Tables'!$B$137,M35&lt;='Range Tables'!$G$138,'Range Tables'!$B$138,M35&lt;='Range Tables'!$G$142,'Range Tables'!$B$142),H35="Scooter",ifs(M35&lt;='Range Tables'!$G$148,'Range Tables'!$B$148,M35&lt;='Range Tables'!$G$149,'Range Tables'!$B$149,M35&lt;='Range Tables'!$G$150,'Range Tables'!$B$150,M35&lt;='Range Tables'!$G$151,'Range Tables'!$B$151),H35="Auto",ifs(M35&lt;='Range Tables'!$G$161,'Range Tables'!$B$161,M35&lt;='Range Tables'!$G$162,'Range Tables'!$B$162,M35&lt;='Range Tables'!$G$163,'Range Tables'!$B$163,M35&lt;='Range Tables'!$G$164,'Range Tables'!$B$164),H35="Carriers*",ifs(M35&lt;='Range Tables'!$G$173,'Range Tables'!$B$173,M35&lt;='Range Tables'!$G$174,'Range Tables'!$B$174,M35&lt;='Range Tables'!$G$175,'Range Tables'!$B$175,M35&lt;='Range Tables'!$G$176,'Range Tables'!$B$176,M35&lt;='Range Tables'!$G$177,'Range Tables'!$B$177,M35&lt;='Range Tables'!$G$179,'Range Tables'!$B$179),H35="Van*",ifs(M35&lt;='Range Tables'!$G$186,'Range Tables'!$B$186))</f>
        <v>60 - 120</v>
      </c>
      <c r="O35" s="113">
        <f>IFERROR(__xludf.DUMMYFUNCTION("SPLIT(N35,""-"")"),60.0)</f>
        <v>60</v>
      </c>
      <c r="P35" s="113">
        <f>IFERROR(__xludf.DUMMYFUNCTION("""COMPUTED_VALUE"""),120.0)</f>
        <v>120</v>
      </c>
      <c r="Q35" s="114">
        <f t="shared" si="2"/>
        <v>84.76354683</v>
      </c>
      <c r="R35" s="115">
        <f t="shared" si="3"/>
        <v>0.01985580138</v>
      </c>
      <c r="S35" s="114">
        <f t="shared" si="39"/>
        <v>1715.541239</v>
      </c>
      <c r="T35" s="113" t="str">
        <f t="shared" si="4"/>
        <v>no</v>
      </c>
      <c r="U35" s="115">
        <f t="shared" si="5"/>
        <v>0</v>
      </c>
      <c r="V35" s="113">
        <f t="shared" si="34"/>
        <v>0</v>
      </c>
      <c r="W35" s="115">
        <f t="shared" si="6"/>
        <v>0</v>
      </c>
      <c r="X35" s="85">
        <f t="shared" si="7"/>
        <v>0</v>
      </c>
      <c r="Y35" s="116">
        <f t="shared" si="8"/>
        <v>0</v>
      </c>
      <c r="Z35" s="113">
        <f t="shared" si="9"/>
        <v>0</v>
      </c>
      <c r="AA35" s="113" t="str">
        <f t="shared" si="10"/>
        <v>yes</v>
      </c>
      <c r="AB35" s="115">
        <f t="shared" si="11"/>
        <v>0.0002988332916</v>
      </c>
      <c r="AC35" s="114">
        <f t="shared" si="35"/>
        <v>25.81919639</v>
      </c>
      <c r="AD35" s="116">
        <f t="shared" si="12"/>
        <v>0.02015463467</v>
      </c>
      <c r="AE35" s="114">
        <f t="shared" si="13"/>
        <v>1741.360436</v>
      </c>
      <c r="AF35" s="116">
        <f t="shared" si="14"/>
        <v>0.02113569424</v>
      </c>
      <c r="AG35" s="114">
        <f t="shared" si="15"/>
        <v>1826.123982</v>
      </c>
      <c r="AH35" s="113" t="str">
        <f t="shared" si="16"/>
        <v>no</v>
      </c>
      <c r="AI35" s="115">
        <f t="shared" si="17"/>
        <v>0</v>
      </c>
      <c r="AJ35" s="113">
        <f t="shared" si="36"/>
        <v>0</v>
      </c>
      <c r="AK35" s="116">
        <f t="shared" si="18"/>
        <v>0</v>
      </c>
      <c r="AL35" s="113">
        <f t="shared" si="19"/>
        <v>0</v>
      </c>
      <c r="AM35" s="115">
        <f t="shared" si="20"/>
        <v>0</v>
      </c>
      <c r="AN35" s="85">
        <f t="shared" si="21"/>
        <v>0</v>
      </c>
      <c r="AO35" s="113" t="str">
        <f t="shared" si="22"/>
        <v>no</v>
      </c>
      <c r="AP35" s="115">
        <f t="shared" si="23"/>
        <v>0</v>
      </c>
      <c r="AQ35" s="113">
        <f t="shared" si="37"/>
        <v>0</v>
      </c>
      <c r="AR35" s="116">
        <f t="shared" si="24"/>
        <v>0</v>
      </c>
      <c r="AS35" s="113">
        <f t="shared" si="25"/>
        <v>0</v>
      </c>
      <c r="AT35" s="116">
        <f t="shared" si="26"/>
        <v>0</v>
      </c>
      <c r="AU35" s="113">
        <f t="shared" si="27"/>
        <v>0</v>
      </c>
      <c r="AV35" s="113" t="str">
        <f t="shared" si="28"/>
        <v>no</v>
      </c>
      <c r="AW35" s="115">
        <f t="shared" si="29"/>
        <v>0</v>
      </c>
      <c r="AX35" s="85">
        <f t="shared" si="38"/>
        <v>0</v>
      </c>
      <c r="AY35" s="116">
        <f t="shared" si="30"/>
        <v>0</v>
      </c>
      <c r="AZ35" s="113">
        <f t="shared" si="31"/>
        <v>0</v>
      </c>
      <c r="BA35" s="116">
        <f t="shared" si="32"/>
        <v>0</v>
      </c>
      <c r="BB35" s="113">
        <f t="shared" si="33"/>
        <v>0</v>
      </c>
      <c r="BC35" s="112">
        <v>0.9229077339398944</v>
      </c>
      <c r="BD35" s="113" t="str">
        <f>ifs(BC35&lt;='Range Tables'!$G$81,'Range Tables'!$B$81,BC35&lt;='Range Tables'!$G$82,'Range Tables'!$B$82)</f>
        <v>Offline*</v>
      </c>
      <c r="BE35" s="112">
        <v>0.8940905161166642</v>
      </c>
      <c r="BF35" s="112" t="str">
        <f>ifs(BE35&lt;='Range Tables'!$G$95,'Range Tables'!$B$95,BE35&lt;='Range Tables'!$G$96,'Range Tables'!$B$96,BE35&lt;='Range Tables'!$G$97,'Range Tables'!$B$97,BE35&lt;='Range Tables'!$G$98,'Range Tables'!$B$98,BE35&lt;='Range Tables'!$G$99,'Range Tables'!$B$99,BE35&lt;='Range Tables'!$G$100,'Range Tables'!$B$100,BE35&lt;='Range Tables'!$G$101,'Range Tables'!$B$101,BE35&lt;='Range Tables'!$G$102,'Range Tables'!$B$102,BE35&lt;='Range Tables'!$G$103,'Range Tables'!$B$103)</f>
        <v>Resai</v>
      </c>
      <c r="BG35" s="112">
        <v>0.16241619255254292</v>
      </c>
      <c r="BH35" s="113" t="str">
        <f>ifs(BG35&lt;='Range Tables'!$G$112,'Range Tables'!$B$112,BG35&lt;='Range Tables'!$G$113,'Range Tables'!$B$113,BG35&lt;='Range Tables'!$G$114,'Range Tables'!$B$114)</f>
        <v>0</v>
      </c>
      <c r="BI35" s="117">
        <v>0.45947108015535765</v>
      </c>
      <c r="BJ35" s="113" t="str">
        <f>ifs(BI35&lt;='Range Tables'!$G$118,'Range Tables'!$B$118,BI35&lt;='Range Tables'!$G$119,'Range Tables'!$B$119)</f>
        <v>Valid</v>
      </c>
    </row>
    <row r="36">
      <c r="A36" s="85">
        <v>33.0</v>
      </c>
      <c r="B36" s="112">
        <v>0.029097521203834353</v>
      </c>
      <c r="C36" s="113" t="str">
        <f>ifs(B36&lt;='Range Tables'!$G$54,'Range Tables'!$B$54,B36&lt;='Range Tables'!$G$55,'Range Tables'!$B$55,B36&lt;='Range Tables'!$G$56,'Range Tables'!$B$56,B36&lt;='Range Tables'!$G$57,'Range Tables'!$B$57,B36&lt;='Range Tables'!$G$58,'Range Tables'!$B$58,B36&lt;='Range Tables'!$G$59,'Range Tables'!$B$59,B36&lt;='Range Tables'!$G$60,'Range Tables'!$B$60,B36&lt;='Range Tables'!$G$61,'Range Tables'!$B$61,B36&lt;='Range Tables'!$G$63,'Range Tables'!$B$63,B36&lt;='Range Tables'!$G$64,'Range Tables'!$B$64,B36&lt;='Range Tables'!$G$66,'Range Tables'!$B$66)</f>
        <v>0 - 30</v>
      </c>
      <c r="D36" s="113">
        <f>IFERROR(__xludf.DUMMYFUNCTION("SPLIT(C36,""-"")"),0.0)</f>
        <v>0</v>
      </c>
      <c r="E36" s="113">
        <f>IFERROR(__xludf.DUMMYFUNCTION("""COMPUTED_VALUE"""),30.0)</f>
        <v>30</v>
      </c>
      <c r="F36" s="114">
        <f t="shared" si="40"/>
        <v>0.8729256361</v>
      </c>
      <c r="G36" s="112">
        <v>0.7776511480253693</v>
      </c>
      <c r="H36" s="113" t="str">
        <f>ifs(G36&lt;='Range Tables'!$G$86,'Range Tables'!$B$86,G36&lt;='Range Tables'!$G$87,'Range Tables'!$B$87,G36&lt;='Range Tables'!$G$88,'Range Tables'!$B$88,G36&lt;='Range Tables'!$G$89,'Range Tables'!$B$89,G36&lt;='Range Tables'!$G$90,'Range Tables'!$B$90,G36&lt;='Range Tables'!$G$91,'Range Tables'!$B$91)</f>
        <v>Scooter</v>
      </c>
      <c r="I36" s="112">
        <v>0.9563289231563027</v>
      </c>
      <c r="J36" s="113" t="str">
        <f>IFS(
  H36="Car", IF(I36&lt;='Range Tables'!$G$19, 'Range Tables'!$B$19, 'Range Tables'!$B$20), 
  H36="Bike", IF(I36&lt;='Range Tables'!$G$25, 'Range Tables'!$B$25, 'Range Tables'!$B$26), 
  H36="Scooter", IF(I36&lt;='Range Tables'!$G$31, 'Range Tables'!$B$31, 'Range Tables'!$B$32), 
  H36="Auto", IF(I36&lt;='Range Tables'!$G$37, 'Range Tables'!$B$37, 'Range Tables'!$B$38), 
  H36="Carriers*", IF(I36&lt;='Range Tables'!$G$43, 'Range Tables'!$B$43, 'Range Tables'!$B$44), 
  H36="Van*", IF(I36&lt;='Range Tables'!$G$50, 'Range Tables'!$B$50, 'Range Tables'!$B$49)
)</f>
        <v>Petrol</v>
      </c>
      <c r="K36" s="112">
        <v>0.3105691314015846</v>
      </c>
      <c r="L36" s="113">
        <f>if(J36="Petrol",ifs(K36&lt;='Range Tables'!$G$5,'Range Tables'!$B$5,K36&lt;='Range Tables'!$G$6,'Range Tables'!$B$6,K36&lt;='Range Tables'!$G$7,'Range Tables'!$B$7),ifs(K36&lt;='Range Tables'!$G$13,'Range Tables'!$B$13,K36&lt;='Range Tables'!$G$14,'Range Tables'!$B$14))</f>
        <v>2</v>
      </c>
      <c r="M36" s="112">
        <v>0.1431449128107496</v>
      </c>
      <c r="N36" s="113" t="str">
        <f>ifs(H36="Car",ifs(M36&lt;='Range Tables'!$G$125,'Range Tables'!$B$125,M36&lt;='Range Tables'!$G$126,'Range Tables'!$B$126,M36&lt;='Range Tables'!$G$127,'Range Tables'!$B$127,M36&lt;='Range Tables'!$G$128,'Range Tables'!$B$128,M36&lt;='Range Tables'!$G$129,'Range Tables'!$B$129,'Range Tables'!$G$131,'Range Tables'!$B$131),H36="Bike",ifs(M36&lt;='Range Tables'!$G$136,'Range Tables'!$B$136,M36&lt;='Range Tables'!$G$137,'Range Tables'!$B$137,M36&lt;='Range Tables'!$G$138,'Range Tables'!$B$138,M36&lt;='Range Tables'!$G$142,'Range Tables'!$B$142),H36="Scooter",ifs(M36&lt;='Range Tables'!$G$148,'Range Tables'!$B$148,M36&lt;='Range Tables'!$G$149,'Range Tables'!$B$149,M36&lt;='Range Tables'!$G$150,'Range Tables'!$B$150,M36&lt;='Range Tables'!$G$151,'Range Tables'!$B$151),H36="Auto",ifs(M36&lt;='Range Tables'!$G$161,'Range Tables'!$B$161,M36&lt;='Range Tables'!$G$162,'Range Tables'!$B$162,M36&lt;='Range Tables'!$G$163,'Range Tables'!$B$163,M36&lt;='Range Tables'!$G$164,'Range Tables'!$B$164),H36="Carriers*",ifs(M36&lt;='Range Tables'!$G$173,'Range Tables'!$B$173,M36&lt;='Range Tables'!$G$174,'Range Tables'!$B$174,M36&lt;='Range Tables'!$G$175,'Range Tables'!$B$175,M36&lt;='Range Tables'!$G$176,'Range Tables'!$B$176,M36&lt;='Range Tables'!$G$177,'Range Tables'!$B$177,M36&lt;='Range Tables'!$G$179,'Range Tables'!$B$179),H36="Van*",ifs(M36&lt;='Range Tables'!$G$186,'Range Tables'!$B$186))</f>
        <v>60 - 120</v>
      </c>
      <c r="O36" s="113">
        <f>IFERROR(__xludf.DUMMYFUNCTION("SPLIT(N36,""-"")"),60.0)</f>
        <v>60</v>
      </c>
      <c r="P36" s="113">
        <f>IFERROR(__xludf.DUMMYFUNCTION("""COMPUTED_VALUE"""),120.0)</f>
        <v>120</v>
      </c>
      <c r="Q36" s="114">
        <f t="shared" si="2"/>
        <v>68.58869477</v>
      </c>
      <c r="R36" s="115">
        <f t="shared" si="3"/>
        <v>0.02330345797</v>
      </c>
      <c r="S36" s="114">
        <f t="shared" si="39"/>
        <v>2013.418769</v>
      </c>
      <c r="T36" s="113" t="str">
        <f t="shared" si="4"/>
        <v>no</v>
      </c>
      <c r="U36" s="115">
        <f t="shared" si="5"/>
        <v>0</v>
      </c>
      <c r="V36" s="113">
        <f t="shared" si="34"/>
        <v>0</v>
      </c>
      <c r="W36" s="115">
        <f t="shared" si="6"/>
        <v>0</v>
      </c>
      <c r="X36" s="85">
        <f t="shared" si="7"/>
        <v>0</v>
      </c>
      <c r="Y36" s="116">
        <f t="shared" si="8"/>
        <v>0</v>
      </c>
      <c r="Z36" s="113">
        <f t="shared" si="9"/>
        <v>0</v>
      </c>
      <c r="AA36" s="113" t="str">
        <f t="shared" si="10"/>
        <v>yes</v>
      </c>
      <c r="AB36" s="115">
        <f t="shared" si="11"/>
        <v>0</v>
      </c>
      <c r="AC36" s="113">
        <f t="shared" si="35"/>
        <v>0</v>
      </c>
      <c r="AD36" s="116">
        <f t="shared" si="12"/>
        <v>0.02330345797</v>
      </c>
      <c r="AE36" s="114">
        <f t="shared" si="13"/>
        <v>2013.418769</v>
      </c>
      <c r="AF36" s="116">
        <f t="shared" si="14"/>
        <v>0.0240973086</v>
      </c>
      <c r="AG36" s="114">
        <f t="shared" si="15"/>
        <v>2082.007463</v>
      </c>
      <c r="AH36" s="113" t="str">
        <f t="shared" si="16"/>
        <v>no</v>
      </c>
      <c r="AI36" s="115">
        <f t="shared" si="17"/>
        <v>0</v>
      </c>
      <c r="AJ36" s="113">
        <f t="shared" si="36"/>
        <v>0</v>
      </c>
      <c r="AK36" s="116">
        <f t="shared" si="18"/>
        <v>0</v>
      </c>
      <c r="AL36" s="113">
        <f t="shared" si="19"/>
        <v>0</v>
      </c>
      <c r="AM36" s="115">
        <f t="shared" si="20"/>
        <v>0</v>
      </c>
      <c r="AN36" s="85">
        <f t="shared" si="21"/>
        <v>0</v>
      </c>
      <c r="AO36" s="113" t="str">
        <f t="shared" si="22"/>
        <v>no</v>
      </c>
      <c r="AP36" s="115">
        <f t="shared" si="23"/>
        <v>0</v>
      </c>
      <c r="AQ36" s="113">
        <f t="shared" si="37"/>
        <v>0</v>
      </c>
      <c r="AR36" s="116">
        <f t="shared" si="24"/>
        <v>0</v>
      </c>
      <c r="AS36" s="113">
        <f t="shared" si="25"/>
        <v>0</v>
      </c>
      <c r="AT36" s="116">
        <f t="shared" si="26"/>
        <v>0</v>
      </c>
      <c r="AU36" s="113">
        <f t="shared" si="27"/>
        <v>0</v>
      </c>
      <c r="AV36" s="113" t="str">
        <f t="shared" si="28"/>
        <v>no</v>
      </c>
      <c r="AW36" s="115">
        <f t="shared" si="29"/>
        <v>0</v>
      </c>
      <c r="AX36" s="85">
        <f t="shared" si="38"/>
        <v>0</v>
      </c>
      <c r="AY36" s="116">
        <f t="shared" si="30"/>
        <v>0</v>
      </c>
      <c r="AZ36" s="113">
        <f t="shared" si="31"/>
        <v>0</v>
      </c>
      <c r="BA36" s="116">
        <f t="shared" si="32"/>
        <v>0</v>
      </c>
      <c r="BB36" s="113">
        <f t="shared" si="33"/>
        <v>0</v>
      </c>
      <c r="BC36" s="112">
        <v>0.7907341485504676</v>
      </c>
      <c r="BD36" s="113" t="str">
        <f>ifs(BC36&lt;='Range Tables'!$G$81,'Range Tables'!$B$81,BC36&lt;='Range Tables'!$G$82,'Range Tables'!$B$82)</f>
        <v>Offline*</v>
      </c>
      <c r="BE36" s="112">
        <v>0.9791364219551153</v>
      </c>
      <c r="BF36" s="112" t="str">
        <f>ifs(BE36&lt;='Range Tables'!$G$95,'Range Tables'!$B$95,BE36&lt;='Range Tables'!$G$96,'Range Tables'!$B$96,BE36&lt;='Range Tables'!$G$97,'Range Tables'!$B$97,BE36&lt;='Range Tables'!$G$98,'Range Tables'!$B$98,BE36&lt;='Range Tables'!$G$99,'Range Tables'!$B$99,BE36&lt;='Range Tables'!$G$100,'Range Tables'!$B$100,BE36&lt;='Range Tables'!$G$101,'Range Tables'!$B$101,BE36&lt;='Range Tables'!$G$102,'Range Tables'!$B$102,BE36&lt;='Range Tables'!$G$103,'Range Tables'!$B$103)</f>
        <v>Ramban</v>
      </c>
      <c r="BG36" s="112">
        <v>0.6715764422546467</v>
      </c>
      <c r="BH36" s="113" t="str">
        <f>ifs(BG36&lt;='Range Tables'!$G$112,'Range Tables'!$B$112,BG36&lt;='Range Tables'!$G$113,'Range Tables'!$B$113,BG36&lt;='Range Tables'!$G$114,'Range Tables'!$B$114)</f>
        <v>0</v>
      </c>
      <c r="BI36" s="117">
        <v>0.29602820573532074</v>
      </c>
      <c r="BJ36" s="113" t="str">
        <f>ifs(BI36&lt;='Range Tables'!$G$118,'Range Tables'!$B$118,BI36&lt;='Range Tables'!$G$119,'Range Tables'!$B$119)</f>
        <v>Valid</v>
      </c>
    </row>
    <row r="37">
      <c r="A37" s="85">
        <v>34.0</v>
      </c>
      <c r="B37" s="112">
        <v>0.6726838929447922</v>
      </c>
      <c r="C37" s="113" t="str">
        <f>ifs(B37&lt;='Range Tables'!$G$54,'Range Tables'!$B$54,B37&lt;='Range Tables'!$G$55,'Range Tables'!$B$55,B37&lt;='Range Tables'!$G$56,'Range Tables'!$B$56,B37&lt;='Range Tables'!$G$57,'Range Tables'!$B$57,B37&lt;='Range Tables'!$G$58,'Range Tables'!$B$58,B37&lt;='Range Tables'!$G$59,'Range Tables'!$B$59,B37&lt;='Range Tables'!$G$60,'Range Tables'!$B$60,B37&lt;='Range Tables'!$G$61,'Range Tables'!$B$61,B37&lt;='Range Tables'!$G$63,'Range Tables'!$B$63,B37&lt;='Range Tables'!$G$64,'Range Tables'!$B$64,B37&lt;='Range Tables'!$G$66,'Range Tables'!$B$66)</f>
        <v>60 - 90</v>
      </c>
      <c r="D37" s="113">
        <f>IFERROR(__xludf.DUMMYFUNCTION("SPLIT(C37,""-"")"),60.0)</f>
        <v>60</v>
      </c>
      <c r="E37" s="113">
        <f>IFERROR(__xludf.DUMMYFUNCTION("""COMPUTED_VALUE"""),90.0)</f>
        <v>90</v>
      </c>
      <c r="F37" s="114">
        <f t="shared" si="40"/>
        <v>80.18051679</v>
      </c>
      <c r="G37" s="112">
        <v>0.5682379843099071</v>
      </c>
      <c r="H37" s="113" t="str">
        <f>ifs(G37&lt;='Range Tables'!$G$86,'Range Tables'!$B$86,G37&lt;='Range Tables'!$G$87,'Range Tables'!$B$87,G37&lt;='Range Tables'!$G$88,'Range Tables'!$B$88,G37&lt;='Range Tables'!$G$89,'Range Tables'!$B$89,G37&lt;='Range Tables'!$G$90,'Range Tables'!$B$90,G37&lt;='Range Tables'!$G$91,'Range Tables'!$B$91)</f>
        <v>Bike</v>
      </c>
      <c r="I37" s="112">
        <v>0.2529213100978195</v>
      </c>
      <c r="J37" s="113" t="str">
        <f>IFS(
  H37="Car", IF(I37&lt;='Range Tables'!$G$19, 'Range Tables'!$B$19, 'Range Tables'!$B$20), 
  H37="Bike", IF(I37&lt;='Range Tables'!$G$25, 'Range Tables'!$B$25, 'Range Tables'!$B$26), 
  H37="Scooter", IF(I37&lt;='Range Tables'!$G$31, 'Range Tables'!$B$31, 'Range Tables'!$B$32), 
  H37="Auto", IF(I37&lt;='Range Tables'!$G$37, 'Range Tables'!$B$37, 'Range Tables'!$B$38), 
  H37="Carriers*", IF(I37&lt;='Range Tables'!$G$43, 'Range Tables'!$B$43, 'Range Tables'!$B$44), 
  H37="Van*", IF(I37&lt;='Range Tables'!$G$50, 'Range Tables'!$B$50, 'Range Tables'!$B$49)
)</f>
        <v>Petrol</v>
      </c>
      <c r="K37" s="112">
        <v>0.7632638686651984</v>
      </c>
      <c r="L37" s="113">
        <f>if(J37="Petrol",ifs(K37&lt;='Range Tables'!$G$5,'Range Tables'!$B$5,K37&lt;='Range Tables'!$G$6,'Range Tables'!$B$6,K37&lt;='Range Tables'!$G$7,'Range Tables'!$B$7),ifs(K37&lt;='Range Tables'!$G$13,'Range Tables'!$B$13,K37&lt;='Range Tables'!$G$14,'Range Tables'!$B$14))</f>
        <v>3</v>
      </c>
      <c r="M37" s="112">
        <v>0.6815369701458588</v>
      </c>
      <c r="N37" s="113" t="str">
        <f>ifs(H37="Car",ifs(M37&lt;='Range Tables'!$G$125,'Range Tables'!$B$125,M37&lt;='Range Tables'!$G$126,'Range Tables'!$B$126,M37&lt;='Range Tables'!$G$127,'Range Tables'!$B$127,M37&lt;='Range Tables'!$G$128,'Range Tables'!$B$128,M37&lt;='Range Tables'!$G$129,'Range Tables'!$B$129,'Range Tables'!$G$131,'Range Tables'!$B$131),H37="Bike",ifs(M37&lt;='Range Tables'!$G$136,'Range Tables'!$B$136,M37&lt;='Range Tables'!$G$137,'Range Tables'!$B$137,M37&lt;='Range Tables'!$G$138,'Range Tables'!$B$138,M37&lt;='Range Tables'!$G$142,'Range Tables'!$B$142),H37="Scooter",ifs(M37&lt;='Range Tables'!$G$148,'Range Tables'!$B$148,M37&lt;='Range Tables'!$G$149,'Range Tables'!$B$149,M37&lt;='Range Tables'!$G$150,'Range Tables'!$B$150,M37&lt;='Range Tables'!$G$151,'Range Tables'!$B$151),H37="Auto",ifs(M37&lt;='Range Tables'!$G$161,'Range Tables'!$B$161,M37&lt;='Range Tables'!$G$162,'Range Tables'!$B$162,M37&lt;='Range Tables'!$G$163,'Range Tables'!$B$163,M37&lt;='Range Tables'!$G$164,'Range Tables'!$B$164),H37="Carriers*",ifs(M37&lt;='Range Tables'!$G$173,'Range Tables'!$B$173,M37&lt;='Range Tables'!$G$174,'Range Tables'!$B$174,M37&lt;='Range Tables'!$G$175,'Range Tables'!$B$175,M37&lt;='Range Tables'!$G$176,'Range Tables'!$B$176,M37&lt;='Range Tables'!$G$177,'Range Tables'!$B$177,M37&lt;='Range Tables'!$G$179,'Range Tables'!$B$179),H37="Van*",ifs(M37&lt;='Range Tables'!$G$186,'Range Tables'!$B$186))</f>
        <v>60 - 120</v>
      </c>
      <c r="O37" s="113">
        <f>IFERROR(__xludf.DUMMYFUNCTION("SPLIT(N37,""-"")"),60.0)</f>
        <v>60</v>
      </c>
      <c r="P37" s="113">
        <f>IFERROR(__xludf.DUMMYFUNCTION("""COMPUTED_VALUE"""),120.0)</f>
        <v>120</v>
      </c>
      <c r="Q37" s="114">
        <f t="shared" si="2"/>
        <v>100.8922182</v>
      </c>
      <c r="R37" s="115">
        <f t="shared" si="3"/>
        <v>0.02331356128</v>
      </c>
      <c r="S37" s="114">
        <f t="shared" si="39"/>
        <v>2014.291694</v>
      </c>
      <c r="T37" s="113" t="str">
        <f t="shared" si="4"/>
        <v>no</v>
      </c>
      <c r="U37" s="115">
        <f t="shared" si="5"/>
        <v>0</v>
      </c>
      <c r="V37" s="113">
        <f t="shared" si="34"/>
        <v>0</v>
      </c>
      <c r="W37" s="115">
        <f t="shared" si="6"/>
        <v>0</v>
      </c>
      <c r="X37" s="85">
        <f t="shared" si="7"/>
        <v>0</v>
      </c>
      <c r="Y37" s="116">
        <f t="shared" si="8"/>
        <v>0</v>
      </c>
      <c r="Z37" s="113">
        <f t="shared" si="9"/>
        <v>0</v>
      </c>
      <c r="AA37" s="113" t="str">
        <f t="shared" si="10"/>
        <v>no</v>
      </c>
      <c r="AB37" s="115">
        <f t="shared" si="11"/>
        <v>0</v>
      </c>
      <c r="AC37" s="113">
        <f t="shared" si="35"/>
        <v>0</v>
      </c>
      <c r="AD37" s="116">
        <f t="shared" si="12"/>
        <v>0</v>
      </c>
      <c r="AE37" s="113">
        <f t="shared" si="13"/>
        <v>0</v>
      </c>
      <c r="AF37" s="116">
        <f t="shared" si="14"/>
        <v>0</v>
      </c>
      <c r="AG37" s="113">
        <f t="shared" si="15"/>
        <v>0</v>
      </c>
      <c r="AH37" s="113" t="str">
        <f t="shared" si="16"/>
        <v>yes</v>
      </c>
      <c r="AI37" s="115">
        <f t="shared" si="17"/>
        <v>0</v>
      </c>
      <c r="AJ37" s="113">
        <f t="shared" si="36"/>
        <v>0</v>
      </c>
      <c r="AK37" s="116">
        <f t="shared" si="18"/>
        <v>0.02331356128</v>
      </c>
      <c r="AL37" s="114">
        <f t="shared" si="19"/>
        <v>2014.291694</v>
      </c>
      <c r="AM37" s="115">
        <f t="shared" si="20"/>
        <v>0.02448129528</v>
      </c>
      <c r="AN37" s="118">
        <f t="shared" si="21"/>
        <v>2115.183912</v>
      </c>
      <c r="AO37" s="113" t="str">
        <f t="shared" si="22"/>
        <v>no</v>
      </c>
      <c r="AP37" s="115">
        <f t="shared" si="23"/>
        <v>0</v>
      </c>
      <c r="AQ37" s="113">
        <f t="shared" si="37"/>
        <v>0</v>
      </c>
      <c r="AR37" s="116">
        <f t="shared" si="24"/>
        <v>0</v>
      </c>
      <c r="AS37" s="113">
        <f t="shared" si="25"/>
        <v>0</v>
      </c>
      <c r="AT37" s="116">
        <f t="shared" si="26"/>
        <v>0</v>
      </c>
      <c r="AU37" s="113">
        <f t="shared" si="27"/>
        <v>0</v>
      </c>
      <c r="AV37" s="113" t="str">
        <f t="shared" si="28"/>
        <v>no</v>
      </c>
      <c r="AW37" s="115">
        <f t="shared" si="29"/>
        <v>0</v>
      </c>
      <c r="AX37" s="85">
        <f t="shared" si="38"/>
        <v>0</v>
      </c>
      <c r="AY37" s="116">
        <f t="shared" si="30"/>
        <v>0</v>
      </c>
      <c r="AZ37" s="113">
        <f t="shared" si="31"/>
        <v>0</v>
      </c>
      <c r="BA37" s="116">
        <f t="shared" si="32"/>
        <v>0</v>
      </c>
      <c r="BB37" s="113">
        <f t="shared" si="33"/>
        <v>0</v>
      </c>
      <c r="BC37" s="112">
        <v>0.5592746887493175</v>
      </c>
      <c r="BD37" s="113" t="str">
        <f>ifs(BC37&lt;='Range Tables'!$G$81,'Range Tables'!$B$81,BC37&lt;='Range Tables'!$G$82,'Range Tables'!$B$82)</f>
        <v>Offline*</v>
      </c>
      <c r="BE37" s="112">
        <v>0.9050093527519104</v>
      </c>
      <c r="BF37" s="112" t="str">
        <f>ifs(BE37&lt;='Range Tables'!$G$95,'Range Tables'!$B$95,BE37&lt;='Range Tables'!$G$96,'Range Tables'!$B$96,BE37&lt;='Range Tables'!$G$97,'Range Tables'!$B$97,BE37&lt;='Range Tables'!$G$98,'Range Tables'!$B$98,BE37&lt;='Range Tables'!$G$99,'Range Tables'!$B$99,BE37&lt;='Range Tables'!$G$100,'Range Tables'!$B$100,BE37&lt;='Range Tables'!$G$101,'Range Tables'!$B$101,BE37&lt;='Range Tables'!$G$102,'Range Tables'!$B$102,BE37&lt;='Range Tables'!$G$103,'Range Tables'!$B$103)</f>
        <v>Resai</v>
      </c>
      <c r="BG37" s="112">
        <v>0.833790122432273</v>
      </c>
      <c r="BH37" s="113" t="str">
        <f>ifs(BG37&lt;='Range Tables'!$G$112,'Range Tables'!$B$112,BG37&lt;='Range Tables'!$G$113,'Range Tables'!$B$113,BG37&lt;='Range Tables'!$G$114,'Range Tables'!$B$114)</f>
        <v>1-5</v>
      </c>
      <c r="BI37" s="117">
        <v>0.6542887559161235</v>
      </c>
      <c r="BJ37" s="113" t="str">
        <f>ifs(BI37&lt;='Range Tables'!$G$118,'Range Tables'!$B$118,BI37&lt;='Range Tables'!$G$119,'Range Tables'!$B$119)</f>
        <v>Expired</v>
      </c>
    </row>
    <row r="38">
      <c r="A38" s="85">
        <v>35.0</v>
      </c>
      <c r="B38" s="112">
        <v>0.7100526300853944</v>
      </c>
      <c r="C38" s="113" t="str">
        <f>ifs(B38&lt;='Range Tables'!$G$54,'Range Tables'!$B$54,B38&lt;='Range Tables'!$G$55,'Range Tables'!$B$55,B38&lt;='Range Tables'!$G$56,'Range Tables'!$B$56,B38&lt;='Range Tables'!$G$57,'Range Tables'!$B$57,B38&lt;='Range Tables'!$G$58,'Range Tables'!$B$58,B38&lt;='Range Tables'!$G$59,'Range Tables'!$B$59,B38&lt;='Range Tables'!$G$60,'Range Tables'!$B$60,B38&lt;='Range Tables'!$G$61,'Range Tables'!$B$61,B38&lt;='Range Tables'!$G$63,'Range Tables'!$B$63,B38&lt;='Range Tables'!$G$64,'Range Tables'!$B$64,B38&lt;='Range Tables'!$G$66,'Range Tables'!$B$66)</f>
        <v>60 - 90</v>
      </c>
      <c r="D38" s="113">
        <f>IFERROR(__xludf.DUMMYFUNCTION("SPLIT(C38,""-"")"),60.0)</f>
        <v>60</v>
      </c>
      <c r="E38" s="113">
        <f>IFERROR(__xludf.DUMMYFUNCTION("""COMPUTED_VALUE"""),90.0)</f>
        <v>90</v>
      </c>
      <c r="F38" s="114">
        <f t="shared" si="40"/>
        <v>81.3015789</v>
      </c>
      <c r="G38" s="112">
        <v>0.2513018157591671</v>
      </c>
      <c r="H38" s="113" t="str">
        <f>ifs(G38&lt;='Range Tables'!$G$86,'Range Tables'!$B$86,G38&lt;='Range Tables'!$G$87,'Range Tables'!$B$87,G38&lt;='Range Tables'!$G$88,'Range Tables'!$B$88,G38&lt;='Range Tables'!$G$89,'Range Tables'!$B$89,G38&lt;='Range Tables'!$G$90,'Range Tables'!$B$90,G38&lt;='Range Tables'!$G$91,'Range Tables'!$B$91)</f>
        <v>Car</v>
      </c>
      <c r="I38" s="112">
        <v>0.9323041781615671</v>
      </c>
      <c r="J38" s="113" t="str">
        <f>IFS(
  H38="Car", IF(I38&lt;='Range Tables'!$G$19, 'Range Tables'!$B$19, 'Range Tables'!$B$20), 
  H38="Bike", IF(I38&lt;='Range Tables'!$G$25, 'Range Tables'!$B$25, 'Range Tables'!$B$26), 
  H38="Scooter", IF(I38&lt;='Range Tables'!$G$31, 'Range Tables'!$B$31, 'Range Tables'!$B$32), 
  H38="Auto", IF(I38&lt;='Range Tables'!$G$37, 'Range Tables'!$B$37, 'Range Tables'!$B$38), 
  H38="Carriers*", IF(I38&lt;='Range Tables'!$G$43, 'Range Tables'!$B$43, 'Range Tables'!$B$44), 
  H38="Van*", IF(I38&lt;='Range Tables'!$G$50, 'Range Tables'!$B$50, 'Range Tables'!$B$49)
)</f>
        <v>Diesel</v>
      </c>
      <c r="K38" s="112">
        <v>0.11533337769919005</v>
      </c>
      <c r="L38" s="113">
        <f>if(J38="Petrol",ifs(K38&lt;='Range Tables'!$G$5,'Range Tables'!$B$5,K38&lt;='Range Tables'!$G$6,'Range Tables'!$B$6,K38&lt;='Range Tables'!$G$7,'Range Tables'!$B$7),ifs(K38&lt;='Range Tables'!$G$13,'Range Tables'!$B$13,K38&lt;='Range Tables'!$G$14,'Range Tables'!$B$14))</f>
        <v>1</v>
      </c>
      <c r="M38" s="112">
        <v>0.5848181763048829</v>
      </c>
      <c r="N38" s="113" t="str">
        <f>ifs(H38="Car",ifs(M38&lt;='Range Tables'!$G$125,'Range Tables'!$B$125,M38&lt;='Range Tables'!$G$126,'Range Tables'!$B$126,M38&lt;='Range Tables'!$G$127,'Range Tables'!$B$127,M38&lt;='Range Tables'!$G$128,'Range Tables'!$B$128,M38&lt;='Range Tables'!$G$129,'Range Tables'!$B$129,'Range Tables'!$G$131,'Range Tables'!$B$131),H38="Bike",ifs(M38&lt;='Range Tables'!$G$136,'Range Tables'!$B$136,M38&lt;='Range Tables'!$G$137,'Range Tables'!$B$137,M38&lt;='Range Tables'!$G$138,'Range Tables'!$B$138,M38&lt;='Range Tables'!$G$142,'Range Tables'!$B$142),H38="Scooter",ifs(M38&lt;='Range Tables'!$G$148,'Range Tables'!$B$148,M38&lt;='Range Tables'!$G$149,'Range Tables'!$B$149,M38&lt;='Range Tables'!$G$150,'Range Tables'!$B$150,M38&lt;='Range Tables'!$G$151,'Range Tables'!$B$151),H38="Auto",ifs(M38&lt;='Range Tables'!$G$161,'Range Tables'!$B$161,M38&lt;='Range Tables'!$G$162,'Range Tables'!$B$162,M38&lt;='Range Tables'!$G$163,'Range Tables'!$B$163,M38&lt;='Range Tables'!$G$164,'Range Tables'!$B$164),H38="Carriers*",ifs(M38&lt;='Range Tables'!$G$173,'Range Tables'!$B$173,M38&lt;='Range Tables'!$G$174,'Range Tables'!$B$174,M38&lt;='Range Tables'!$G$175,'Range Tables'!$B$175,M38&lt;='Range Tables'!$G$176,'Range Tables'!$B$176,M38&lt;='Range Tables'!$G$177,'Range Tables'!$B$177,M38&lt;='Range Tables'!$G$179,'Range Tables'!$B$179),H38="Van*",ifs(M38&lt;='Range Tables'!$G$186,'Range Tables'!$B$186))</f>
        <v>120 - 180</v>
      </c>
      <c r="O38" s="113">
        <f>IFERROR(__xludf.DUMMYFUNCTION("SPLIT(N38,""-"")"),120.0)</f>
        <v>120</v>
      </c>
      <c r="P38" s="113">
        <f>IFERROR(__xludf.DUMMYFUNCTION("""COMPUTED_VALUE"""),180.0)</f>
        <v>180</v>
      </c>
      <c r="Q38" s="114">
        <f t="shared" si="2"/>
        <v>155.0890906</v>
      </c>
      <c r="R38" s="115">
        <f t="shared" si="3"/>
        <v>0.02424157652</v>
      </c>
      <c r="S38" s="114">
        <f t="shared" si="39"/>
        <v>2094.472211</v>
      </c>
      <c r="T38" s="113" t="str">
        <f t="shared" si="4"/>
        <v>yes</v>
      </c>
      <c r="U38" s="115">
        <f t="shared" si="5"/>
        <v>0</v>
      </c>
      <c r="V38" s="113">
        <f t="shared" si="34"/>
        <v>0</v>
      </c>
      <c r="W38" s="115">
        <f t="shared" si="6"/>
        <v>0.02424157652</v>
      </c>
      <c r="X38" s="118">
        <f t="shared" si="7"/>
        <v>2094.472211</v>
      </c>
      <c r="Y38" s="116">
        <f t="shared" si="8"/>
        <v>0.02603658914</v>
      </c>
      <c r="Z38" s="114">
        <f t="shared" si="9"/>
        <v>2249.561302</v>
      </c>
      <c r="AA38" s="113" t="str">
        <f t="shared" si="10"/>
        <v>no</v>
      </c>
      <c r="AB38" s="115">
        <f t="shared" si="11"/>
        <v>0</v>
      </c>
      <c r="AC38" s="113">
        <f t="shared" si="35"/>
        <v>0</v>
      </c>
      <c r="AD38" s="116">
        <f t="shared" si="12"/>
        <v>0</v>
      </c>
      <c r="AE38" s="113">
        <f t="shared" si="13"/>
        <v>0</v>
      </c>
      <c r="AF38" s="116">
        <f t="shared" si="14"/>
        <v>0</v>
      </c>
      <c r="AG38" s="113">
        <f t="shared" si="15"/>
        <v>0</v>
      </c>
      <c r="AH38" s="113" t="str">
        <f t="shared" si="16"/>
        <v>no</v>
      </c>
      <c r="AI38" s="115">
        <f t="shared" si="17"/>
        <v>0</v>
      </c>
      <c r="AJ38" s="113">
        <f t="shared" si="36"/>
        <v>0</v>
      </c>
      <c r="AK38" s="116">
        <f t="shared" si="18"/>
        <v>0</v>
      </c>
      <c r="AL38" s="113">
        <f t="shared" si="19"/>
        <v>0</v>
      </c>
      <c r="AM38" s="115">
        <f t="shared" si="20"/>
        <v>0</v>
      </c>
      <c r="AN38" s="85">
        <f t="shared" si="21"/>
        <v>0</v>
      </c>
      <c r="AO38" s="113" t="str">
        <f t="shared" si="22"/>
        <v>no</v>
      </c>
      <c r="AP38" s="115">
        <f t="shared" si="23"/>
        <v>0</v>
      </c>
      <c r="AQ38" s="113">
        <f t="shared" si="37"/>
        <v>0</v>
      </c>
      <c r="AR38" s="116">
        <f t="shared" si="24"/>
        <v>0</v>
      </c>
      <c r="AS38" s="113">
        <f t="shared" si="25"/>
        <v>0</v>
      </c>
      <c r="AT38" s="116">
        <f t="shared" si="26"/>
        <v>0</v>
      </c>
      <c r="AU38" s="113">
        <f t="shared" si="27"/>
        <v>0</v>
      </c>
      <c r="AV38" s="113" t="str">
        <f t="shared" si="28"/>
        <v>no</v>
      </c>
      <c r="AW38" s="115">
        <f t="shared" si="29"/>
        <v>0</v>
      </c>
      <c r="AX38" s="85">
        <f t="shared" si="38"/>
        <v>0</v>
      </c>
      <c r="AY38" s="116">
        <f t="shared" si="30"/>
        <v>0</v>
      </c>
      <c r="AZ38" s="113">
        <f t="shared" si="31"/>
        <v>0</v>
      </c>
      <c r="BA38" s="116">
        <f t="shared" si="32"/>
        <v>0</v>
      </c>
      <c r="BB38" s="113">
        <f t="shared" si="33"/>
        <v>0</v>
      </c>
      <c r="BC38" s="112">
        <v>0.9119602209912064</v>
      </c>
      <c r="BD38" s="113" t="str">
        <f>ifs(BC38&lt;='Range Tables'!$G$81,'Range Tables'!$B$81,BC38&lt;='Range Tables'!$G$82,'Range Tables'!$B$82)</f>
        <v>Offline*</v>
      </c>
      <c r="BE38" s="112">
        <v>0.4135224265428643</v>
      </c>
      <c r="BF38" s="112" t="str">
        <f>ifs(BE38&lt;='Range Tables'!$G$95,'Range Tables'!$B$95,BE38&lt;='Range Tables'!$G$96,'Range Tables'!$B$96,BE38&lt;='Range Tables'!$G$97,'Range Tables'!$B$97,BE38&lt;='Range Tables'!$G$98,'Range Tables'!$B$98,BE38&lt;='Range Tables'!$G$99,'Range Tables'!$B$99,BE38&lt;='Range Tables'!$G$100,'Range Tables'!$B$100,BE38&lt;='Range Tables'!$G$101,'Range Tables'!$B$101,BE38&lt;='Range Tables'!$G$102,'Range Tables'!$B$102,BE38&lt;='Range Tables'!$G$103,'Range Tables'!$B$103)</f>
        <v>Jammu</v>
      </c>
      <c r="BG38" s="112">
        <v>0.8431544412273545</v>
      </c>
      <c r="BH38" s="113" t="str">
        <f>ifs(BG38&lt;='Range Tables'!$G$112,'Range Tables'!$B$112,BG38&lt;='Range Tables'!$G$113,'Range Tables'!$B$113,BG38&lt;='Range Tables'!$G$114,'Range Tables'!$B$114)</f>
        <v>1-5</v>
      </c>
      <c r="BI38" s="117">
        <v>0.23785860940899162</v>
      </c>
      <c r="BJ38" s="113" t="str">
        <f>ifs(BI38&lt;='Range Tables'!$G$118,'Range Tables'!$B$118,BI38&lt;='Range Tables'!$G$119,'Range Tables'!$B$119)</f>
        <v>Valid</v>
      </c>
    </row>
    <row r="39">
      <c r="A39" s="85">
        <v>36.0</v>
      </c>
      <c r="B39" s="112">
        <v>0.44171213045346913</v>
      </c>
      <c r="C39" s="113" t="str">
        <f>ifs(B39&lt;='Range Tables'!$G$54,'Range Tables'!$B$54,B39&lt;='Range Tables'!$G$55,'Range Tables'!$B$55,B39&lt;='Range Tables'!$G$56,'Range Tables'!$B$56,B39&lt;='Range Tables'!$G$57,'Range Tables'!$B$57,B39&lt;='Range Tables'!$G$58,'Range Tables'!$B$58,B39&lt;='Range Tables'!$G$59,'Range Tables'!$B$59,B39&lt;='Range Tables'!$G$60,'Range Tables'!$B$60,B39&lt;='Range Tables'!$G$61,'Range Tables'!$B$61,B39&lt;='Range Tables'!$G$63,'Range Tables'!$B$63,B39&lt;='Range Tables'!$G$64,'Range Tables'!$B$64,B39&lt;='Range Tables'!$G$66,'Range Tables'!$B$66)</f>
        <v>30 - 60 </v>
      </c>
      <c r="D39" s="113">
        <f>IFERROR(__xludf.DUMMYFUNCTION("SPLIT(C39,""-"")"),30.0)</f>
        <v>30</v>
      </c>
      <c r="E39" s="113">
        <f>IFERROR(__xludf.DUMMYFUNCTION("""COMPUTED_VALUE"""),60.0)</f>
        <v>60</v>
      </c>
      <c r="F39" s="114">
        <f t="shared" si="40"/>
        <v>43.25136391</v>
      </c>
      <c r="G39" s="112">
        <v>0.8036288648323611</v>
      </c>
      <c r="H39" s="113" t="str">
        <f>ifs(G39&lt;='Range Tables'!$G$86,'Range Tables'!$B$86,G39&lt;='Range Tables'!$G$87,'Range Tables'!$B$87,G39&lt;='Range Tables'!$G$88,'Range Tables'!$B$88,G39&lt;='Range Tables'!$G$89,'Range Tables'!$B$89,G39&lt;='Range Tables'!$G$90,'Range Tables'!$B$90,G39&lt;='Range Tables'!$G$91,'Range Tables'!$B$91)</f>
        <v>Scooter</v>
      </c>
      <c r="I39" s="112">
        <v>0.6453688111153391</v>
      </c>
      <c r="J39" s="113" t="str">
        <f>IFS(
  H39="Car", IF(I39&lt;='Range Tables'!$G$19, 'Range Tables'!$B$19, 'Range Tables'!$B$20), 
  H39="Bike", IF(I39&lt;='Range Tables'!$G$25, 'Range Tables'!$B$25, 'Range Tables'!$B$26), 
  H39="Scooter", IF(I39&lt;='Range Tables'!$G$31, 'Range Tables'!$B$31, 'Range Tables'!$B$32), 
  H39="Auto", IF(I39&lt;='Range Tables'!$G$37, 'Range Tables'!$B$37, 'Range Tables'!$B$38), 
  H39="Carriers*", IF(I39&lt;='Range Tables'!$G$43, 'Range Tables'!$B$43, 'Range Tables'!$B$44), 
  H39="Van*", IF(I39&lt;='Range Tables'!$G$50, 'Range Tables'!$B$50, 'Range Tables'!$B$49)
)</f>
        <v>Petrol</v>
      </c>
      <c r="K39" s="112">
        <v>0.2939134706670704</v>
      </c>
      <c r="L39" s="113">
        <f>if(J39="Petrol",ifs(K39&lt;='Range Tables'!$G$5,'Range Tables'!$B$5,K39&lt;='Range Tables'!$G$6,'Range Tables'!$B$6,K39&lt;='Range Tables'!$G$7,'Range Tables'!$B$7),ifs(K39&lt;='Range Tables'!$G$13,'Range Tables'!$B$13,K39&lt;='Range Tables'!$G$14,'Range Tables'!$B$14))</f>
        <v>2</v>
      </c>
      <c r="M39" s="112">
        <v>0.159510741356242</v>
      </c>
      <c r="N39" s="113" t="str">
        <f>ifs(H39="Car",ifs(M39&lt;='Range Tables'!$G$125,'Range Tables'!$B$125,M39&lt;='Range Tables'!$G$126,'Range Tables'!$B$126,M39&lt;='Range Tables'!$G$127,'Range Tables'!$B$127,M39&lt;='Range Tables'!$G$128,'Range Tables'!$B$128,M39&lt;='Range Tables'!$G$129,'Range Tables'!$B$129,'Range Tables'!$G$131,'Range Tables'!$B$131),H39="Bike",ifs(M39&lt;='Range Tables'!$G$136,'Range Tables'!$B$136,M39&lt;='Range Tables'!$G$137,'Range Tables'!$B$137,M39&lt;='Range Tables'!$G$138,'Range Tables'!$B$138,M39&lt;='Range Tables'!$G$142,'Range Tables'!$B$142),H39="Scooter",ifs(M39&lt;='Range Tables'!$G$148,'Range Tables'!$B$148,M39&lt;='Range Tables'!$G$149,'Range Tables'!$B$149,M39&lt;='Range Tables'!$G$150,'Range Tables'!$B$150,M39&lt;='Range Tables'!$G$151,'Range Tables'!$B$151),H39="Auto",ifs(M39&lt;='Range Tables'!$G$161,'Range Tables'!$B$161,M39&lt;='Range Tables'!$G$162,'Range Tables'!$B$162,M39&lt;='Range Tables'!$G$163,'Range Tables'!$B$163,M39&lt;='Range Tables'!$G$164,'Range Tables'!$B$164),H39="Carriers*",ifs(M39&lt;='Range Tables'!$G$173,'Range Tables'!$B$173,M39&lt;='Range Tables'!$G$174,'Range Tables'!$B$174,M39&lt;='Range Tables'!$G$175,'Range Tables'!$B$175,M39&lt;='Range Tables'!$G$176,'Range Tables'!$B$176,M39&lt;='Range Tables'!$G$177,'Range Tables'!$B$177,M39&lt;='Range Tables'!$G$179,'Range Tables'!$B$179),H39="Van*",ifs(M39&lt;='Range Tables'!$G$186,'Range Tables'!$B$186))</f>
        <v>60 - 120</v>
      </c>
      <c r="O39" s="113">
        <f>IFERROR(__xludf.DUMMYFUNCTION("SPLIT(N39,""-"")"),60.0)</f>
        <v>60</v>
      </c>
      <c r="P39" s="113">
        <f>IFERROR(__xludf.DUMMYFUNCTION("""COMPUTED_VALUE"""),120.0)</f>
        <v>120</v>
      </c>
      <c r="Q39" s="114">
        <f t="shared" si="2"/>
        <v>69.57064448</v>
      </c>
      <c r="R39" s="115">
        <f t="shared" si="3"/>
        <v>0.02518256701</v>
      </c>
      <c r="S39" s="114">
        <f t="shared" si="39"/>
        <v>2175.77379</v>
      </c>
      <c r="T39" s="113" t="str">
        <f t="shared" si="4"/>
        <v>no</v>
      </c>
      <c r="U39" s="115">
        <f t="shared" si="5"/>
        <v>0</v>
      </c>
      <c r="V39" s="113">
        <f t="shared" si="34"/>
        <v>0</v>
      </c>
      <c r="W39" s="115">
        <f t="shared" si="6"/>
        <v>0</v>
      </c>
      <c r="X39" s="85">
        <f t="shared" si="7"/>
        <v>0</v>
      </c>
      <c r="Y39" s="116">
        <f t="shared" si="8"/>
        <v>0</v>
      </c>
      <c r="Z39" s="113">
        <f t="shared" si="9"/>
        <v>0</v>
      </c>
      <c r="AA39" s="113" t="str">
        <f t="shared" si="10"/>
        <v>yes</v>
      </c>
      <c r="AB39" s="115">
        <f t="shared" si="11"/>
        <v>0</v>
      </c>
      <c r="AC39" s="113">
        <f t="shared" si="35"/>
        <v>0</v>
      </c>
      <c r="AD39" s="116">
        <f t="shared" si="12"/>
        <v>0.02518256701</v>
      </c>
      <c r="AE39" s="114">
        <f t="shared" si="13"/>
        <v>2175.77379</v>
      </c>
      <c r="AF39" s="116">
        <f t="shared" si="14"/>
        <v>0.02598778281</v>
      </c>
      <c r="AG39" s="114">
        <f t="shared" si="15"/>
        <v>2245.344434</v>
      </c>
      <c r="AH39" s="113" t="str">
        <f t="shared" si="16"/>
        <v>no</v>
      </c>
      <c r="AI39" s="115">
        <f t="shared" si="17"/>
        <v>0</v>
      </c>
      <c r="AJ39" s="113">
        <f t="shared" si="36"/>
        <v>0</v>
      </c>
      <c r="AK39" s="116">
        <f t="shared" si="18"/>
        <v>0</v>
      </c>
      <c r="AL39" s="113">
        <f t="shared" si="19"/>
        <v>0</v>
      </c>
      <c r="AM39" s="115">
        <f t="shared" si="20"/>
        <v>0</v>
      </c>
      <c r="AN39" s="85">
        <f t="shared" si="21"/>
        <v>0</v>
      </c>
      <c r="AO39" s="113" t="str">
        <f t="shared" si="22"/>
        <v>no</v>
      </c>
      <c r="AP39" s="115">
        <f t="shared" si="23"/>
        <v>0</v>
      </c>
      <c r="AQ39" s="113">
        <f t="shared" si="37"/>
        <v>0</v>
      </c>
      <c r="AR39" s="116">
        <f t="shared" si="24"/>
        <v>0</v>
      </c>
      <c r="AS39" s="113">
        <f t="shared" si="25"/>
        <v>0</v>
      </c>
      <c r="AT39" s="116">
        <f t="shared" si="26"/>
        <v>0</v>
      </c>
      <c r="AU39" s="113">
        <f t="shared" si="27"/>
        <v>0</v>
      </c>
      <c r="AV39" s="113" t="str">
        <f t="shared" si="28"/>
        <v>no</v>
      </c>
      <c r="AW39" s="115">
        <f t="shared" si="29"/>
        <v>0</v>
      </c>
      <c r="AX39" s="85">
        <f t="shared" si="38"/>
        <v>0</v>
      </c>
      <c r="AY39" s="116">
        <f t="shared" si="30"/>
        <v>0</v>
      </c>
      <c r="AZ39" s="113">
        <f t="shared" si="31"/>
        <v>0</v>
      </c>
      <c r="BA39" s="116">
        <f t="shared" si="32"/>
        <v>0</v>
      </c>
      <c r="BB39" s="113">
        <f t="shared" si="33"/>
        <v>0</v>
      </c>
      <c r="BC39" s="112">
        <v>0.5945308961531963</v>
      </c>
      <c r="BD39" s="113" t="str">
        <f>ifs(BC39&lt;='Range Tables'!$G$81,'Range Tables'!$B$81,BC39&lt;='Range Tables'!$G$82,'Range Tables'!$B$82)</f>
        <v>Offline*</v>
      </c>
      <c r="BE39" s="112">
        <v>0.9421038426140954</v>
      </c>
      <c r="BF39" s="112" t="str">
        <f>ifs(BE39&lt;='Range Tables'!$G$95,'Range Tables'!$B$95,BE39&lt;='Range Tables'!$G$96,'Range Tables'!$B$96,BE39&lt;='Range Tables'!$G$97,'Range Tables'!$B$97,BE39&lt;='Range Tables'!$G$98,'Range Tables'!$B$98,BE39&lt;='Range Tables'!$G$99,'Range Tables'!$B$99,BE39&lt;='Range Tables'!$G$100,'Range Tables'!$B$100,BE39&lt;='Range Tables'!$G$101,'Range Tables'!$B$101,BE39&lt;='Range Tables'!$G$102,'Range Tables'!$B$102,BE39&lt;='Range Tables'!$G$103,'Range Tables'!$B$103)</f>
        <v>Lakhanpur</v>
      </c>
      <c r="BG39" s="112">
        <v>0.061555064423866046</v>
      </c>
      <c r="BH39" s="113" t="str">
        <f>ifs(BG39&lt;='Range Tables'!$G$112,'Range Tables'!$B$112,BG39&lt;='Range Tables'!$G$113,'Range Tables'!$B$113,BG39&lt;='Range Tables'!$G$114,'Range Tables'!$B$114)</f>
        <v>0</v>
      </c>
      <c r="BI39" s="117">
        <v>0.7348329067847549</v>
      </c>
      <c r="BJ39" s="113" t="str">
        <f>ifs(BI39&lt;='Range Tables'!$G$118,'Range Tables'!$B$118,BI39&lt;='Range Tables'!$G$119,'Range Tables'!$B$119)</f>
        <v>Expired</v>
      </c>
    </row>
    <row r="40">
      <c r="A40" s="85">
        <v>37.0</v>
      </c>
      <c r="B40" s="112">
        <v>0.7951040670401804</v>
      </c>
      <c r="C40" s="113" t="str">
        <f>ifs(B40&lt;='Range Tables'!$G$54,'Range Tables'!$B$54,B40&lt;='Range Tables'!$G$55,'Range Tables'!$B$55,B40&lt;='Range Tables'!$G$56,'Range Tables'!$B$56,B40&lt;='Range Tables'!$G$57,'Range Tables'!$B$57,B40&lt;='Range Tables'!$G$58,'Range Tables'!$B$58,B40&lt;='Range Tables'!$G$59,'Range Tables'!$B$59,B40&lt;='Range Tables'!$G$60,'Range Tables'!$B$60,B40&lt;='Range Tables'!$G$61,'Range Tables'!$B$61,B40&lt;='Range Tables'!$G$63,'Range Tables'!$B$63,B40&lt;='Range Tables'!$G$64,'Range Tables'!$B$64,B40&lt;='Range Tables'!$G$66,'Range Tables'!$B$66)</f>
        <v>120 - 150</v>
      </c>
      <c r="D40" s="113">
        <f>IFERROR(__xludf.DUMMYFUNCTION("SPLIT(C40,""-"")"),120.0)</f>
        <v>120</v>
      </c>
      <c r="E40" s="113">
        <f>IFERROR(__xludf.DUMMYFUNCTION("""COMPUTED_VALUE"""),150.0)</f>
        <v>150</v>
      </c>
      <c r="F40" s="114">
        <f t="shared" si="40"/>
        <v>143.853122</v>
      </c>
      <c r="G40" s="112">
        <v>0.29359025221256385</v>
      </c>
      <c r="H40" s="113" t="str">
        <f>ifs(G40&lt;='Range Tables'!$G$86,'Range Tables'!$B$86,G40&lt;='Range Tables'!$G$87,'Range Tables'!$B$87,G40&lt;='Range Tables'!$G$88,'Range Tables'!$B$88,G40&lt;='Range Tables'!$G$89,'Range Tables'!$B$89,G40&lt;='Range Tables'!$G$90,'Range Tables'!$B$90,G40&lt;='Range Tables'!$G$91,'Range Tables'!$B$91)</f>
        <v>Car</v>
      </c>
      <c r="I40" s="112">
        <v>0.884710426417342</v>
      </c>
      <c r="J40" s="113" t="str">
        <f>IFS(
  H40="Car", IF(I40&lt;='Range Tables'!$G$19, 'Range Tables'!$B$19, 'Range Tables'!$B$20), 
  H40="Bike", IF(I40&lt;='Range Tables'!$G$25, 'Range Tables'!$B$25, 'Range Tables'!$B$26), 
  H40="Scooter", IF(I40&lt;='Range Tables'!$G$31, 'Range Tables'!$B$31, 'Range Tables'!$B$32), 
  H40="Auto", IF(I40&lt;='Range Tables'!$G$37, 'Range Tables'!$B$37, 'Range Tables'!$B$38), 
  H40="Carriers*", IF(I40&lt;='Range Tables'!$G$43, 'Range Tables'!$B$43, 'Range Tables'!$B$44), 
  H40="Van*", IF(I40&lt;='Range Tables'!$G$50, 'Range Tables'!$B$50, 'Range Tables'!$B$49)
)</f>
        <v>Petrol</v>
      </c>
      <c r="K40" s="112">
        <v>0.108038760556877</v>
      </c>
      <c r="L40" s="113">
        <f>if(J40="Petrol",ifs(K40&lt;='Range Tables'!$G$5,'Range Tables'!$B$5,K40&lt;='Range Tables'!$G$6,'Range Tables'!$B$6,K40&lt;='Range Tables'!$G$7,'Range Tables'!$B$7),ifs(K40&lt;='Range Tables'!$G$13,'Range Tables'!$B$13,K40&lt;='Range Tables'!$G$14,'Range Tables'!$B$14))</f>
        <v>2</v>
      </c>
      <c r="M40" s="112">
        <v>0.586152558786761</v>
      </c>
      <c r="N40" s="113" t="str">
        <f>ifs(H40="Car",ifs(M40&lt;='Range Tables'!$G$125,'Range Tables'!$B$125,M40&lt;='Range Tables'!$G$126,'Range Tables'!$B$126,M40&lt;='Range Tables'!$G$127,'Range Tables'!$B$127,M40&lt;='Range Tables'!$G$128,'Range Tables'!$B$128,M40&lt;='Range Tables'!$G$129,'Range Tables'!$B$129,'Range Tables'!$G$131,'Range Tables'!$B$131),H40="Bike",ifs(M40&lt;='Range Tables'!$G$136,'Range Tables'!$B$136,M40&lt;='Range Tables'!$G$137,'Range Tables'!$B$137,M40&lt;='Range Tables'!$G$138,'Range Tables'!$B$138,M40&lt;='Range Tables'!$G$142,'Range Tables'!$B$142),H40="Scooter",ifs(M40&lt;='Range Tables'!$G$148,'Range Tables'!$B$148,M40&lt;='Range Tables'!$G$149,'Range Tables'!$B$149,M40&lt;='Range Tables'!$G$150,'Range Tables'!$B$150,M40&lt;='Range Tables'!$G$151,'Range Tables'!$B$151),H40="Auto",ifs(M40&lt;='Range Tables'!$G$161,'Range Tables'!$B$161,M40&lt;='Range Tables'!$G$162,'Range Tables'!$B$162,M40&lt;='Range Tables'!$G$163,'Range Tables'!$B$163,M40&lt;='Range Tables'!$G$164,'Range Tables'!$B$164),H40="Carriers*",ifs(M40&lt;='Range Tables'!$G$173,'Range Tables'!$B$173,M40&lt;='Range Tables'!$G$174,'Range Tables'!$B$174,M40&lt;='Range Tables'!$G$175,'Range Tables'!$B$175,M40&lt;='Range Tables'!$G$176,'Range Tables'!$B$176,M40&lt;='Range Tables'!$G$177,'Range Tables'!$B$177,M40&lt;='Range Tables'!$G$179,'Range Tables'!$B$179),H40="Van*",ifs(M40&lt;='Range Tables'!$G$186,'Range Tables'!$B$186))</f>
        <v>120 - 180</v>
      </c>
      <c r="O40" s="113">
        <f>IFERROR(__xludf.DUMMYFUNCTION("SPLIT(N40,""-"")"),120.0)</f>
        <v>120</v>
      </c>
      <c r="P40" s="113">
        <f>IFERROR(__xludf.DUMMYFUNCTION("""COMPUTED_VALUE"""),180.0)</f>
        <v>180</v>
      </c>
      <c r="Q40" s="114">
        <f t="shared" si="2"/>
        <v>155.1691535</v>
      </c>
      <c r="R40" s="115">
        <f t="shared" si="3"/>
        <v>0.0256831615</v>
      </c>
      <c r="S40" s="114">
        <f t="shared" si="39"/>
        <v>2219.025154</v>
      </c>
      <c r="T40" s="113" t="str">
        <f t="shared" si="4"/>
        <v>no</v>
      </c>
      <c r="U40" s="115">
        <f t="shared" si="5"/>
        <v>0</v>
      </c>
      <c r="V40" s="113">
        <f t="shared" si="34"/>
        <v>0</v>
      </c>
      <c r="W40" s="115">
        <f t="shared" si="6"/>
        <v>0</v>
      </c>
      <c r="X40" s="85">
        <f t="shared" si="7"/>
        <v>0</v>
      </c>
      <c r="Y40" s="116">
        <f t="shared" si="8"/>
        <v>0</v>
      </c>
      <c r="Z40" s="113">
        <f t="shared" si="9"/>
        <v>0</v>
      </c>
      <c r="AA40" s="113" t="str">
        <f t="shared" si="10"/>
        <v>yes</v>
      </c>
      <c r="AB40" s="115">
        <f t="shared" si="11"/>
        <v>0.0003046213029</v>
      </c>
      <c r="AC40" s="114">
        <f t="shared" si="35"/>
        <v>26.31928057</v>
      </c>
      <c r="AD40" s="116">
        <f t="shared" si="12"/>
        <v>0.02598778281</v>
      </c>
      <c r="AE40" s="114">
        <f t="shared" si="13"/>
        <v>2245.344434</v>
      </c>
      <c r="AF40" s="116">
        <f t="shared" si="14"/>
        <v>0.02778372208</v>
      </c>
      <c r="AG40" s="114">
        <f t="shared" si="15"/>
        <v>2400.513588</v>
      </c>
      <c r="AH40" s="113" t="str">
        <f t="shared" si="16"/>
        <v>no</v>
      </c>
      <c r="AI40" s="115">
        <f t="shared" si="17"/>
        <v>0</v>
      </c>
      <c r="AJ40" s="113">
        <f t="shared" si="36"/>
        <v>0</v>
      </c>
      <c r="AK40" s="116">
        <f t="shared" si="18"/>
        <v>0</v>
      </c>
      <c r="AL40" s="113">
        <f t="shared" si="19"/>
        <v>0</v>
      </c>
      <c r="AM40" s="115">
        <f t="shared" si="20"/>
        <v>0</v>
      </c>
      <c r="AN40" s="85">
        <f t="shared" si="21"/>
        <v>0</v>
      </c>
      <c r="AO40" s="113" t="str">
        <f t="shared" si="22"/>
        <v>no</v>
      </c>
      <c r="AP40" s="115">
        <f t="shared" si="23"/>
        <v>0</v>
      </c>
      <c r="AQ40" s="113">
        <f t="shared" si="37"/>
        <v>0</v>
      </c>
      <c r="AR40" s="116">
        <f t="shared" si="24"/>
        <v>0</v>
      </c>
      <c r="AS40" s="113">
        <f t="shared" si="25"/>
        <v>0</v>
      </c>
      <c r="AT40" s="116">
        <f t="shared" si="26"/>
        <v>0</v>
      </c>
      <c r="AU40" s="113">
        <f t="shared" si="27"/>
        <v>0</v>
      </c>
      <c r="AV40" s="113" t="str">
        <f t="shared" si="28"/>
        <v>no</v>
      </c>
      <c r="AW40" s="115">
        <f t="shared" si="29"/>
        <v>0</v>
      </c>
      <c r="AX40" s="85">
        <f t="shared" si="38"/>
        <v>0</v>
      </c>
      <c r="AY40" s="116">
        <f t="shared" si="30"/>
        <v>0</v>
      </c>
      <c r="AZ40" s="113">
        <f t="shared" si="31"/>
        <v>0</v>
      </c>
      <c r="BA40" s="116">
        <f t="shared" si="32"/>
        <v>0</v>
      </c>
      <c r="BB40" s="113">
        <f t="shared" si="33"/>
        <v>0</v>
      </c>
      <c r="BC40" s="112">
        <v>0.7869439156164951</v>
      </c>
      <c r="BD40" s="113" t="str">
        <f>ifs(BC40&lt;='Range Tables'!$G$81,'Range Tables'!$B$81,BC40&lt;='Range Tables'!$G$82,'Range Tables'!$B$82)</f>
        <v>Offline*</v>
      </c>
      <c r="BE40" s="112">
        <v>0.24144915699475877</v>
      </c>
      <c r="BF40" s="112" t="str">
        <f>ifs(BE40&lt;='Range Tables'!$G$95,'Range Tables'!$B$95,BE40&lt;='Range Tables'!$G$96,'Range Tables'!$B$96,BE40&lt;='Range Tables'!$G$97,'Range Tables'!$B$97,BE40&lt;='Range Tables'!$G$98,'Range Tables'!$B$98,BE40&lt;='Range Tables'!$G$99,'Range Tables'!$B$99,BE40&lt;='Range Tables'!$G$100,'Range Tables'!$B$100,BE40&lt;='Range Tables'!$G$101,'Range Tables'!$B$101,BE40&lt;='Range Tables'!$G$102,'Range Tables'!$B$102,BE40&lt;='Range Tables'!$G$103,'Range Tables'!$B$103)</f>
        <v>Jammu</v>
      </c>
      <c r="BG40" s="112">
        <v>0.08168527791183433</v>
      </c>
      <c r="BH40" s="113" t="str">
        <f>ifs(BG40&lt;='Range Tables'!$G$112,'Range Tables'!$B$112,BG40&lt;='Range Tables'!$G$113,'Range Tables'!$B$113,BG40&lt;='Range Tables'!$G$114,'Range Tables'!$B$114)</f>
        <v>0</v>
      </c>
      <c r="BI40" s="117">
        <v>0.6563328747697308</v>
      </c>
      <c r="BJ40" s="113" t="str">
        <f>ifs(BI40&lt;='Range Tables'!$G$118,'Range Tables'!$B$118,BI40&lt;='Range Tables'!$G$119,'Range Tables'!$B$119)</f>
        <v>Expired</v>
      </c>
    </row>
    <row r="41">
      <c r="A41" s="85">
        <v>38.0</v>
      </c>
      <c r="B41" s="112">
        <v>0.12625425899908704</v>
      </c>
      <c r="C41" s="113" t="str">
        <f>ifs(B41&lt;='Range Tables'!$G$54,'Range Tables'!$B$54,B41&lt;='Range Tables'!$G$55,'Range Tables'!$B$55,B41&lt;='Range Tables'!$G$56,'Range Tables'!$B$56,B41&lt;='Range Tables'!$G$57,'Range Tables'!$B$57,B41&lt;='Range Tables'!$G$58,'Range Tables'!$B$58,B41&lt;='Range Tables'!$G$59,'Range Tables'!$B$59,B41&lt;='Range Tables'!$G$60,'Range Tables'!$B$60,B41&lt;='Range Tables'!$G$61,'Range Tables'!$B$61,B41&lt;='Range Tables'!$G$63,'Range Tables'!$B$63,B41&lt;='Range Tables'!$G$64,'Range Tables'!$B$64,B41&lt;='Range Tables'!$G$66,'Range Tables'!$B$66)</f>
        <v>0 - 30</v>
      </c>
      <c r="D41" s="113">
        <f>IFERROR(__xludf.DUMMYFUNCTION("SPLIT(C41,""-"")"),0.0)</f>
        <v>0</v>
      </c>
      <c r="E41" s="113">
        <f>IFERROR(__xludf.DUMMYFUNCTION("""COMPUTED_VALUE"""),30.0)</f>
        <v>30</v>
      </c>
      <c r="F41" s="114">
        <f t="shared" si="40"/>
        <v>3.78762777</v>
      </c>
      <c r="G41" s="112">
        <v>0.6740649482896135</v>
      </c>
      <c r="H41" s="113" t="str">
        <f>ifs(G41&lt;='Range Tables'!$G$86,'Range Tables'!$B$86,G41&lt;='Range Tables'!$G$87,'Range Tables'!$B$87,G41&lt;='Range Tables'!$G$88,'Range Tables'!$B$88,G41&lt;='Range Tables'!$G$89,'Range Tables'!$B$89,G41&lt;='Range Tables'!$G$90,'Range Tables'!$B$90,G41&lt;='Range Tables'!$G$91,'Range Tables'!$B$91)</f>
        <v>Bike</v>
      </c>
      <c r="I41" s="112">
        <v>0.058398235495510153</v>
      </c>
      <c r="J41" s="113" t="str">
        <f>IFS(
  H41="Car", IF(I41&lt;='Range Tables'!$G$19, 'Range Tables'!$B$19, 'Range Tables'!$B$20), 
  H41="Bike", IF(I41&lt;='Range Tables'!$G$25, 'Range Tables'!$B$25, 'Range Tables'!$B$26), 
  H41="Scooter", IF(I41&lt;='Range Tables'!$G$31, 'Range Tables'!$B$31, 'Range Tables'!$B$32), 
  H41="Auto", IF(I41&lt;='Range Tables'!$G$37, 'Range Tables'!$B$37, 'Range Tables'!$B$38), 
  H41="Carriers*", IF(I41&lt;='Range Tables'!$G$43, 'Range Tables'!$B$43, 'Range Tables'!$B$44), 
  H41="Van*", IF(I41&lt;='Range Tables'!$G$50, 'Range Tables'!$B$50, 'Range Tables'!$B$49)
)</f>
        <v>Petrol</v>
      </c>
      <c r="K41" s="112">
        <v>0.37487638464123585</v>
      </c>
      <c r="L41" s="113">
        <f>if(J41="Petrol",ifs(K41&lt;='Range Tables'!$G$5,'Range Tables'!$B$5,K41&lt;='Range Tables'!$G$6,'Range Tables'!$B$6,K41&lt;='Range Tables'!$G$7,'Range Tables'!$B$7),ifs(K41&lt;='Range Tables'!$G$13,'Range Tables'!$B$13,K41&lt;='Range Tables'!$G$14,'Range Tables'!$B$14))</f>
        <v>2</v>
      </c>
      <c r="M41" s="112">
        <v>0.83026886732741</v>
      </c>
      <c r="N41" s="113" t="str">
        <f>ifs(H41="Car",ifs(M41&lt;='Range Tables'!$G$125,'Range Tables'!$B$125,M41&lt;='Range Tables'!$G$126,'Range Tables'!$B$126,M41&lt;='Range Tables'!$G$127,'Range Tables'!$B$127,M41&lt;='Range Tables'!$G$128,'Range Tables'!$B$128,M41&lt;='Range Tables'!$G$129,'Range Tables'!$B$129,'Range Tables'!$G$131,'Range Tables'!$B$131),H41="Bike",ifs(M41&lt;='Range Tables'!$G$136,'Range Tables'!$B$136,M41&lt;='Range Tables'!$G$137,'Range Tables'!$B$137,M41&lt;='Range Tables'!$G$138,'Range Tables'!$B$138,M41&lt;='Range Tables'!$G$142,'Range Tables'!$B$142),H41="Scooter",ifs(M41&lt;='Range Tables'!$G$148,'Range Tables'!$B$148,M41&lt;='Range Tables'!$G$149,'Range Tables'!$B$149,M41&lt;='Range Tables'!$G$150,'Range Tables'!$B$150,M41&lt;='Range Tables'!$G$151,'Range Tables'!$B$151),H41="Auto",ifs(M41&lt;='Range Tables'!$G$161,'Range Tables'!$B$161,M41&lt;='Range Tables'!$G$162,'Range Tables'!$B$162,M41&lt;='Range Tables'!$G$163,'Range Tables'!$B$163,M41&lt;='Range Tables'!$G$164,'Range Tables'!$B$164),H41="Carriers*",ifs(M41&lt;='Range Tables'!$G$173,'Range Tables'!$B$173,M41&lt;='Range Tables'!$G$174,'Range Tables'!$B$174,M41&lt;='Range Tables'!$G$175,'Range Tables'!$B$175,M41&lt;='Range Tables'!$G$176,'Range Tables'!$B$176,M41&lt;='Range Tables'!$G$177,'Range Tables'!$B$177,M41&lt;='Range Tables'!$G$179,'Range Tables'!$B$179),H41="Van*",ifs(M41&lt;='Range Tables'!$G$186,'Range Tables'!$B$186))</f>
        <v>120 - 180</v>
      </c>
      <c r="O41" s="113">
        <f>IFERROR(__xludf.DUMMYFUNCTION("SPLIT(N41,""-"")"),120.0)</f>
        <v>120</v>
      </c>
      <c r="P41" s="113">
        <f>IFERROR(__xludf.DUMMYFUNCTION("""COMPUTED_VALUE"""),180.0)</f>
        <v>180</v>
      </c>
      <c r="Q41" s="114">
        <f t="shared" si="2"/>
        <v>169.816132</v>
      </c>
      <c r="R41" s="115">
        <f t="shared" si="3"/>
        <v>0.02734812819</v>
      </c>
      <c r="S41" s="114">
        <f t="shared" si="39"/>
        <v>2362.878276</v>
      </c>
      <c r="T41" s="113" t="str">
        <f t="shared" si="4"/>
        <v>no</v>
      </c>
      <c r="U41" s="115">
        <f t="shared" si="5"/>
        <v>0</v>
      </c>
      <c r="V41" s="113">
        <f t="shared" si="34"/>
        <v>0</v>
      </c>
      <c r="W41" s="115">
        <f t="shared" si="6"/>
        <v>0</v>
      </c>
      <c r="X41" s="85">
        <f t="shared" si="7"/>
        <v>0</v>
      </c>
      <c r="Y41" s="116">
        <f t="shared" si="8"/>
        <v>0</v>
      </c>
      <c r="Z41" s="113">
        <f t="shared" si="9"/>
        <v>0</v>
      </c>
      <c r="AA41" s="113" t="str">
        <f t="shared" si="10"/>
        <v>yes</v>
      </c>
      <c r="AB41" s="115">
        <f t="shared" si="11"/>
        <v>0.0004355938899</v>
      </c>
      <c r="AC41" s="114">
        <f t="shared" si="35"/>
        <v>37.63531208</v>
      </c>
      <c r="AD41" s="116">
        <f t="shared" si="12"/>
        <v>0.02778372208</v>
      </c>
      <c r="AE41" s="114">
        <f t="shared" si="13"/>
        <v>2400.513588</v>
      </c>
      <c r="AF41" s="116">
        <f t="shared" si="14"/>
        <v>0.02974918657</v>
      </c>
      <c r="AG41" s="114">
        <f t="shared" si="15"/>
        <v>2570.32972</v>
      </c>
      <c r="AH41" s="113" t="str">
        <f t="shared" si="16"/>
        <v>no</v>
      </c>
      <c r="AI41" s="115">
        <f t="shared" si="17"/>
        <v>0</v>
      </c>
      <c r="AJ41" s="113">
        <f t="shared" si="36"/>
        <v>0</v>
      </c>
      <c r="AK41" s="116">
        <f t="shared" si="18"/>
        <v>0</v>
      </c>
      <c r="AL41" s="113">
        <f t="shared" si="19"/>
        <v>0</v>
      </c>
      <c r="AM41" s="115">
        <f t="shared" si="20"/>
        <v>0</v>
      </c>
      <c r="AN41" s="85">
        <f t="shared" si="21"/>
        <v>0</v>
      </c>
      <c r="AO41" s="113" t="str">
        <f t="shared" si="22"/>
        <v>no</v>
      </c>
      <c r="AP41" s="115">
        <f t="shared" si="23"/>
        <v>0</v>
      </c>
      <c r="AQ41" s="113">
        <f t="shared" si="37"/>
        <v>0</v>
      </c>
      <c r="AR41" s="116">
        <f t="shared" si="24"/>
        <v>0</v>
      </c>
      <c r="AS41" s="113">
        <f t="shared" si="25"/>
        <v>0</v>
      </c>
      <c r="AT41" s="116">
        <f t="shared" si="26"/>
        <v>0</v>
      </c>
      <c r="AU41" s="113">
        <f t="shared" si="27"/>
        <v>0</v>
      </c>
      <c r="AV41" s="113" t="str">
        <f t="shared" si="28"/>
        <v>no</v>
      </c>
      <c r="AW41" s="115">
        <f t="shared" si="29"/>
        <v>0</v>
      </c>
      <c r="AX41" s="85">
        <f t="shared" si="38"/>
        <v>0</v>
      </c>
      <c r="AY41" s="116">
        <f t="shared" si="30"/>
        <v>0</v>
      </c>
      <c r="AZ41" s="113">
        <f t="shared" si="31"/>
        <v>0</v>
      </c>
      <c r="BA41" s="116">
        <f t="shared" si="32"/>
        <v>0</v>
      </c>
      <c r="BB41" s="113">
        <f t="shared" si="33"/>
        <v>0</v>
      </c>
      <c r="BC41" s="112">
        <v>0.06212925343272646</v>
      </c>
      <c r="BD41" s="113" t="str">
        <f>ifs(BC41&lt;='Range Tables'!$G$81,'Range Tables'!$B$81,BC41&lt;='Range Tables'!$G$82,'Range Tables'!$B$82)</f>
        <v>Online*</v>
      </c>
      <c r="BE41" s="112">
        <v>0.12222331875499315</v>
      </c>
      <c r="BF41" s="112" t="str">
        <f>ifs(BE41&lt;='Range Tables'!$G$95,'Range Tables'!$B$95,BE41&lt;='Range Tables'!$G$96,'Range Tables'!$B$96,BE41&lt;='Range Tables'!$G$97,'Range Tables'!$B$97,BE41&lt;='Range Tables'!$G$98,'Range Tables'!$B$98,BE41&lt;='Range Tables'!$G$99,'Range Tables'!$B$99,BE41&lt;='Range Tables'!$G$100,'Range Tables'!$B$100,BE41&lt;='Range Tables'!$G$101,'Range Tables'!$B$101,BE41&lt;='Range Tables'!$G$102,'Range Tables'!$B$102,BE41&lt;='Range Tables'!$G$103,'Range Tables'!$B$103)</f>
        <v>Jammu</v>
      </c>
      <c r="BG41" s="112">
        <v>0.8352975917104019</v>
      </c>
      <c r="BH41" s="113" t="str">
        <f>ifs(BG41&lt;='Range Tables'!$G$112,'Range Tables'!$B$112,BG41&lt;='Range Tables'!$G$113,'Range Tables'!$B$113,BG41&lt;='Range Tables'!$G$114,'Range Tables'!$B$114)</f>
        <v>1-5</v>
      </c>
      <c r="BI41" s="117">
        <v>0.6648646644260876</v>
      </c>
      <c r="BJ41" s="113" t="str">
        <f>ifs(BI41&lt;='Range Tables'!$G$118,'Range Tables'!$B$118,BI41&lt;='Range Tables'!$G$119,'Range Tables'!$B$119)</f>
        <v>Expired</v>
      </c>
    </row>
    <row r="42">
      <c r="A42" s="85">
        <v>39.0</v>
      </c>
      <c r="B42" s="112">
        <v>0.5972295067371378</v>
      </c>
      <c r="C42" s="113" t="str">
        <f>ifs(B42&lt;='Range Tables'!$G$54,'Range Tables'!$B$54,B42&lt;='Range Tables'!$G$55,'Range Tables'!$B$55,B42&lt;='Range Tables'!$G$56,'Range Tables'!$B$56,B42&lt;='Range Tables'!$G$57,'Range Tables'!$B$57,B42&lt;='Range Tables'!$G$58,'Range Tables'!$B$58,B42&lt;='Range Tables'!$G$59,'Range Tables'!$B$59,B42&lt;='Range Tables'!$G$60,'Range Tables'!$B$60,B42&lt;='Range Tables'!$G$61,'Range Tables'!$B$61,B42&lt;='Range Tables'!$G$63,'Range Tables'!$B$63,B42&lt;='Range Tables'!$G$64,'Range Tables'!$B$64,B42&lt;='Range Tables'!$G$66,'Range Tables'!$B$66)</f>
        <v>60 - 90</v>
      </c>
      <c r="D42" s="113">
        <f>IFERROR(__xludf.DUMMYFUNCTION("SPLIT(C42,""-"")"),60.0)</f>
        <v>60</v>
      </c>
      <c r="E42" s="113">
        <f>IFERROR(__xludf.DUMMYFUNCTION("""COMPUTED_VALUE"""),90.0)</f>
        <v>90</v>
      </c>
      <c r="F42" s="114">
        <f t="shared" si="40"/>
        <v>77.9168852</v>
      </c>
      <c r="G42" s="112">
        <v>0.7677535787610124</v>
      </c>
      <c r="H42" s="113" t="str">
        <f>ifs(G42&lt;='Range Tables'!$G$86,'Range Tables'!$B$86,G42&lt;='Range Tables'!$G$87,'Range Tables'!$B$87,G42&lt;='Range Tables'!$G$88,'Range Tables'!$B$88,G42&lt;='Range Tables'!$G$89,'Range Tables'!$B$89,G42&lt;='Range Tables'!$G$90,'Range Tables'!$B$90,G42&lt;='Range Tables'!$G$91,'Range Tables'!$B$91)</f>
        <v>Scooter</v>
      </c>
      <c r="I42" s="112">
        <v>0.024547143543222738</v>
      </c>
      <c r="J42" s="113" t="str">
        <f>IFS(
  H42="Car", IF(I42&lt;='Range Tables'!$G$19, 'Range Tables'!$B$19, 'Range Tables'!$B$20), 
  H42="Bike", IF(I42&lt;='Range Tables'!$G$25, 'Range Tables'!$B$25, 'Range Tables'!$B$26), 
  H42="Scooter", IF(I42&lt;='Range Tables'!$G$31, 'Range Tables'!$B$31, 'Range Tables'!$B$32), 
  H42="Auto", IF(I42&lt;='Range Tables'!$G$37, 'Range Tables'!$B$37, 'Range Tables'!$B$38), 
  H42="Carriers*", IF(I42&lt;='Range Tables'!$G$43, 'Range Tables'!$B$43, 'Range Tables'!$B$44), 
  H42="Van*", IF(I42&lt;='Range Tables'!$G$50, 'Range Tables'!$B$50, 'Range Tables'!$B$49)
)</f>
        <v>Petrol</v>
      </c>
      <c r="K42" s="112">
        <v>0.9468428972915559</v>
      </c>
      <c r="L42" s="113">
        <f>if(J42="Petrol",ifs(K42&lt;='Range Tables'!$G$5,'Range Tables'!$B$5,K42&lt;='Range Tables'!$G$6,'Range Tables'!$B$6,K42&lt;='Range Tables'!$G$7,'Range Tables'!$B$7),ifs(K42&lt;='Range Tables'!$G$13,'Range Tables'!$B$13,K42&lt;='Range Tables'!$G$14,'Range Tables'!$B$14))</f>
        <v>4</v>
      </c>
      <c r="M42" s="112">
        <v>0.0010994379081005201</v>
      </c>
      <c r="N42" s="113" t="str">
        <f>ifs(H42="Car",ifs(M42&lt;='Range Tables'!$G$125,'Range Tables'!$B$125,M42&lt;='Range Tables'!$G$126,'Range Tables'!$B$126,M42&lt;='Range Tables'!$G$127,'Range Tables'!$B$127,M42&lt;='Range Tables'!$G$128,'Range Tables'!$B$128,M42&lt;='Range Tables'!$G$129,'Range Tables'!$B$129,'Range Tables'!$G$131,'Range Tables'!$B$131),H42="Bike",ifs(M42&lt;='Range Tables'!$G$136,'Range Tables'!$B$136,M42&lt;='Range Tables'!$G$137,'Range Tables'!$B$137,M42&lt;='Range Tables'!$G$138,'Range Tables'!$B$138,M42&lt;='Range Tables'!$G$142,'Range Tables'!$B$142),H42="Scooter",ifs(M42&lt;='Range Tables'!$G$148,'Range Tables'!$B$148,M42&lt;='Range Tables'!$G$149,'Range Tables'!$B$149,M42&lt;='Range Tables'!$G$150,'Range Tables'!$B$150,M42&lt;='Range Tables'!$G$151,'Range Tables'!$B$151),H42="Auto",ifs(M42&lt;='Range Tables'!$G$161,'Range Tables'!$B$161,M42&lt;='Range Tables'!$G$162,'Range Tables'!$B$162,M42&lt;='Range Tables'!$G$163,'Range Tables'!$B$163,M42&lt;='Range Tables'!$G$164,'Range Tables'!$B$164),H42="Carriers*",ifs(M42&lt;='Range Tables'!$G$173,'Range Tables'!$B$173,M42&lt;='Range Tables'!$G$174,'Range Tables'!$B$174,M42&lt;='Range Tables'!$G$175,'Range Tables'!$B$175,M42&lt;='Range Tables'!$G$176,'Range Tables'!$B$176,M42&lt;='Range Tables'!$G$177,'Range Tables'!$B$177,M42&lt;='Range Tables'!$G$179,'Range Tables'!$B$179),H42="Van*",ifs(M42&lt;='Range Tables'!$G$186,'Range Tables'!$B$186))</f>
        <v>30 - 60</v>
      </c>
      <c r="O42" s="113">
        <f>IFERROR(__xludf.DUMMYFUNCTION("SPLIT(N42,""-"")"),30.0)</f>
        <v>30</v>
      </c>
      <c r="P42" s="113">
        <f>IFERROR(__xludf.DUMMYFUNCTION("""COMPUTED_VALUE"""),60.0)</f>
        <v>60</v>
      </c>
      <c r="Q42" s="114">
        <f t="shared" si="2"/>
        <v>30.03298314</v>
      </c>
      <c r="R42" s="115">
        <f t="shared" si="3"/>
        <v>0.02739196648</v>
      </c>
      <c r="S42" s="114">
        <f t="shared" si="39"/>
        <v>2366.665904</v>
      </c>
      <c r="T42" s="113" t="str">
        <f t="shared" si="4"/>
        <v>no</v>
      </c>
      <c r="U42" s="115">
        <f t="shared" si="5"/>
        <v>0</v>
      </c>
      <c r="V42" s="113">
        <f t="shared" si="34"/>
        <v>0</v>
      </c>
      <c r="W42" s="115">
        <f t="shared" si="6"/>
        <v>0</v>
      </c>
      <c r="X42" s="85">
        <f t="shared" si="7"/>
        <v>0</v>
      </c>
      <c r="Y42" s="116">
        <f t="shared" si="8"/>
        <v>0</v>
      </c>
      <c r="Z42" s="113">
        <f t="shared" si="9"/>
        <v>0</v>
      </c>
      <c r="AA42" s="113" t="str">
        <f t="shared" si="10"/>
        <v>no</v>
      </c>
      <c r="AB42" s="115">
        <f t="shared" si="11"/>
        <v>0</v>
      </c>
      <c r="AC42" s="113">
        <f t="shared" si="35"/>
        <v>0</v>
      </c>
      <c r="AD42" s="116">
        <f t="shared" si="12"/>
        <v>0</v>
      </c>
      <c r="AE42" s="113">
        <f t="shared" si="13"/>
        <v>0</v>
      </c>
      <c r="AF42" s="116">
        <f t="shared" si="14"/>
        <v>0</v>
      </c>
      <c r="AG42" s="113">
        <f t="shared" si="15"/>
        <v>0</v>
      </c>
      <c r="AH42" s="113" t="str">
        <f t="shared" si="16"/>
        <v>no</v>
      </c>
      <c r="AI42" s="115">
        <f t="shared" si="17"/>
        <v>0</v>
      </c>
      <c r="AJ42" s="113">
        <f t="shared" si="36"/>
        <v>0</v>
      </c>
      <c r="AK42" s="116">
        <f t="shared" si="18"/>
        <v>0</v>
      </c>
      <c r="AL42" s="113">
        <f t="shared" si="19"/>
        <v>0</v>
      </c>
      <c r="AM42" s="115">
        <f t="shared" si="20"/>
        <v>0</v>
      </c>
      <c r="AN42" s="85">
        <f t="shared" si="21"/>
        <v>0</v>
      </c>
      <c r="AO42" s="113" t="str">
        <f t="shared" si="22"/>
        <v>yes</v>
      </c>
      <c r="AP42" s="115">
        <f t="shared" si="23"/>
        <v>0</v>
      </c>
      <c r="AQ42" s="113">
        <f t="shared" si="37"/>
        <v>0</v>
      </c>
      <c r="AR42" s="116">
        <f t="shared" si="24"/>
        <v>0.02739196648</v>
      </c>
      <c r="AS42" s="114">
        <f t="shared" si="25"/>
        <v>2366.665904</v>
      </c>
      <c r="AT42" s="116">
        <f t="shared" si="26"/>
        <v>0.02773957045</v>
      </c>
      <c r="AU42" s="114">
        <f t="shared" si="27"/>
        <v>2396.698887</v>
      </c>
      <c r="AV42" s="113" t="str">
        <f t="shared" si="28"/>
        <v>no</v>
      </c>
      <c r="AW42" s="115">
        <f t="shared" si="29"/>
        <v>0</v>
      </c>
      <c r="AX42" s="85">
        <f t="shared" si="38"/>
        <v>0</v>
      </c>
      <c r="AY42" s="116">
        <f t="shared" si="30"/>
        <v>0</v>
      </c>
      <c r="AZ42" s="113">
        <f t="shared" si="31"/>
        <v>0</v>
      </c>
      <c r="BA42" s="116">
        <f t="shared" si="32"/>
        <v>0</v>
      </c>
      <c r="BB42" s="113">
        <f t="shared" si="33"/>
        <v>0</v>
      </c>
      <c r="BC42" s="112">
        <v>0.8024645637258</v>
      </c>
      <c r="BD42" s="113" t="str">
        <f>ifs(BC42&lt;='Range Tables'!$G$81,'Range Tables'!$B$81,BC42&lt;='Range Tables'!$G$82,'Range Tables'!$B$82)</f>
        <v>Offline*</v>
      </c>
      <c r="BE42" s="112">
        <v>0.7322024048763877</v>
      </c>
      <c r="BF42" s="112" t="str">
        <f>ifs(BE42&lt;='Range Tables'!$G$95,'Range Tables'!$B$95,BE42&lt;='Range Tables'!$G$96,'Range Tables'!$B$96,BE42&lt;='Range Tables'!$G$97,'Range Tables'!$B$97,BE42&lt;='Range Tables'!$G$98,'Range Tables'!$B$98,BE42&lt;='Range Tables'!$G$99,'Range Tables'!$B$99,BE42&lt;='Range Tables'!$G$100,'Range Tables'!$B$100,BE42&lt;='Range Tables'!$G$101,'Range Tables'!$B$101,BE42&lt;='Range Tables'!$G$102,'Range Tables'!$B$102,BE42&lt;='Range Tables'!$G$103,'Range Tables'!$B$103)</f>
        <v>Jammu</v>
      </c>
      <c r="BG42" s="112">
        <v>0.29160600759708777</v>
      </c>
      <c r="BH42" s="113" t="str">
        <f>ifs(BG42&lt;='Range Tables'!$G$112,'Range Tables'!$B$112,BG42&lt;='Range Tables'!$G$113,'Range Tables'!$B$113,BG42&lt;='Range Tables'!$G$114,'Range Tables'!$B$114)</f>
        <v>0</v>
      </c>
      <c r="BI42" s="117">
        <v>0.9205581670512537</v>
      </c>
      <c r="BJ42" s="113" t="str">
        <f>ifs(BI42&lt;='Range Tables'!$G$118,'Range Tables'!$B$118,BI42&lt;='Range Tables'!$G$119,'Range Tables'!$B$119)</f>
        <v>Expired</v>
      </c>
    </row>
    <row r="43">
      <c r="A43" s="85">
        <v>40.0</v>
      </c>
      <c r="B43" s="112">
        <v>0.3786654637654664</v>
      </c>
      <c r="C43" s="113" t="str">
        <f>ifs(B43&lt;='Range Tables'!$G$54,'Range Tables'!$B$54,B43&lt;='Range Tables'!$G$55,'Range Tables'!$B$55,B43&lt;='Range Tables'!$G$56,'Range Tables'!$B$56,B43&lt;='Range Tables'!$G$57,'Range Tables'!$B$57,B43&lt;='Range Tables'!$G$58,'Range Tables'!$B$58,B43&lt;='Range Tables'!$G$59,'Range Tables'!$B$59,B43&lt;='Range Tables'!$G$60,'Range Tables'!$B$60,B43&lt;='Range Tables'!$G$61,'Range Tables'!$B$61,B43&lt;='Range Tables'!$G$63,'Range Tables'!$B$63,B43&lt;='Range Tables'!$G$64,'Range Tables'!$B$64,B43&lt;='Range Tables'!$G$66,'Range Tables'!$B$66)</f>
        <v>30 - 60 </v>
      </c>
      <c r="D43" s="113">
        <f>IFERROR(__xludf.DUMMYFUNCTION("SPLIT(C43,""-"")"),30.0)</f>
        <v>30</v>
      </c>
      <c r="E43" s="113">
        <f>IFERROR(__xludf.DUMMYFUNCTION("""COMPUTED_VALUE"""),60.0)</f>
        <v>60</v>
      </c>
      <c r="F43" s="114">
        <f t="shared" si="40"/>
        <v>41.35996391</v>
      </c>
      <c r="G43" s="112">
        <v>0.7647492634399041</v>
      </c>
      <c r="H43" s="113" t="str">
        <f>ifs(G43&lt;='Range Tables'!$G$86,'Range Tables'!$B$86,G43&lt;='Range Tables'!$G$87,'Range Tables'!$B$87,G43&lt;='Range Tables'!$G$88,'Range Tables'!$B$88,G43&lt;='Range Tables'!$G$89,'Range Tables'!$B$89,G43&lt;='Range Tables'!$G$90,'Range Tables'!$B$90,G43&lt;='Range Tables'!$G$91,'Range Tables'!$B$91)</f>
        <v>Scooter</v>
      </c>
      <c r="I43" s="112">
        <v>0.9995102900215879</v>
      </c>
      <c r="J43" s="113" t="str">
        <f>IFS(
  H43="Car", IF(I43&lt;='Range Tables'!$G$19, 'Range Tables'!$B$19, 'Range Tables'!$B$20), 
  H43="Bike", IF(I43&lt;='Range Tables'!$G$25, 'Range Tables'!$B$25, 'Range Tables'!$B$26), 
  H43="Scooter", IF(I43&lt;='Range Tables'!$G$31, 'Range Tables'!$B$31, 'Range Tables'!$B$32), 
  H43="Auto", IF(I43&lt;='Range Tables'!$G$37, 'Range Tables'!$B$37, 'Range Tables'!$B$38), 
  H43="Carriers*", IF(I43&lt;='Range Tables'!$G$43, 'Range Tables'!$B$43, 'Range Tables'!$B$44), 
  H43="Van*", IF(I43&lt;='Range Tables'!$G$50, 'Range Tables'!$B$50, 'Range Tables'!$B$49)
)</f>
        <v>Diesel</v>
      </c>
      <c r="K43" s="112">
        <v>0.16165491625168604</v>
      </c>
      <c r="L43" s="113">
        <f>if(J43="Petrol",ifs(K43&lt;='Range Tables'!$G$5,'Range Tables'!$B$5,K43&lt;='Range Tables'!$G$6,'Range Tables'!$B$6,K43&lt;='Range Tables'!$G$7,'Range Tables'!$B$7),ifs(K43&lt;='Range Tables'!$G$13,'Range Tables'!$B$13,K43&lt;='Range Tables'!$G$14,'Range Tables'!$B$14))</f>
        <v>1</v>
      </c>
      <c r="M43" s="112">
        <v>0.15904966399050768</v>
      </c>
      <c r="N43" s="113" t="str">
        <f>ifs(H43="Car",ifs(M43&lt;='Range Tables'!$G$125,'Range Tables'!$B$125,M43&lt;='Range Tables'!$G$126,'Range Tables'!$B$126,M43&lt;='Range Tables'!$G$127,'Range Tables'!$B$127,M43&lt;='Range Tables'!$G$128,'Range Tables'!$B$128,M43&lt;='Range Tables'!$G$129,'Range Tables'!$B$129,'Range Tables'!$G$131,'Range Tables'!$B$131),H43="Bike",ifs(M43&lt;='Range Tables'!$G$136,'Range Tables'!$B$136,M43&lt;='Range Tables'!$G$137,'Range Tables'!$B$137,M43&lt;='Range Tables'!$G$138,'Range Tables'!$B$138,M43&lt;='Range Tables'!$G$142,'Range Tables'!$B$142),H43="Scooter",ifs(M43&lt;='Range Tables'!$G$148,'Range Tables'!$B$148,M43&lt;='Range Tables'!$G$149,'Range Tables'!$B$149,M43&lt;='Range Tables'!$G$150,'Range Tables'!$B$150,M43&lt;='Range Tables'!$G$151,'Range Tables'!$B$151),H43="Auto",ifs(M43&lt;='Range Tables'!$G$161,'Range Tables'!$B$161,M43&lt;='Range Tables'!$G$162,'Range Tables'!$B$162,M43&lt;='Range Tables'!$G$163,'Range Tables'!$B$163,M43&lt;='Range Tables'!$G$164,'Range Tables'!$B$164),H43="Carriers*",ifs(M43&lt;='Range Tables'!$G$173,'Range Tables'!$B$173,M43&lt;='Range Tables'!$G$174,'Range Tables'!$B$174,M43&lt;='Range Tables'!$G$175,'Range Tables'!$B$175,M43&lt;='Range Tables'!$G$176,'Range Tables'!$B$176,M43&lt;='Range Tables'!$G$177,'Range Tables'!$B$177,M43&lt;='Range Tables'!$G$179,'Range Tables'!$B$179),H43="Van*",ifs(M43&lt;='Range Tables'!$G$186,'Range Tables'!$B$186))</f>
        <v>60 - 120</v>
      </c>
      <c r="O43" s="113">
        <f>IFERROR(__xludf.DUMMYFUNCTION("SPLIT(N43,""-"")"),60.0)</f>
        <v>60</v>
      </c>
      <c r="P43" s="113">
        <f>IFERROR(__xludf.DUMMYFUNCTION("""COMPUTED_VALUE"""),120.0)</f>
        <v>120</v>
      </c>
      <c r="Q43" s="114">
        <f t="shared" si="2"/>
        <v>69.54297984</v>
      </c>
      <c r="R43" s="115">
        <f t="shared" si="3"/>
        <v>0.02829378228</v>
      </c>
      <c r="S43" s="114">
        <f t="shared" si="39"/>
        <v>2444.582789</v>
      </c>
      <c r="T43" s="113" t="str">
        <f t="shared" si="4"/>
        <v>yes</v>
      </c>
      <c r="U43" s="115">
        <f t="shared" si="5"/>
        <v>0</v>
      </c>
      <c r="V43" s="113">
        <f t="shared" si="34"/>
        <v>0</v>
      </c>
      <c r="W43" s="115">
        <f t="shared" si="6"/>
        <v>0.02829378228</v>
      </c>
      <c r="X43" s="118">
        <f t="shared" si="7"/>
        <v>2444.582789</v>
      </c>
      <c r="Y43" s="116">
        <f t="shared" si="8"/>
        <v>0.02909867788</v>
      </c>
      <c r="Z43" s="114">
        <f t="shared" si="9"/>
        <v>2514.125769</v>
      </c>
      <c r="AA43" s="113" t="str">
        <f t="shared" si="10"/>
        <v>no</v>
      </c>
      <c r="AB43" s="115">
        <f t="shared" si="11"/>
        <v>0</v>
      </c>
      <c r="AC43" s="113">
        <f t="shared" si="35"/>
        <v>0</v>
      </c>
      <c r="AD43" s="116">
        <f t="shared" si="12"/>
        <v>0</v>
      </c>
      <c r="AE43" s="113">
        <f t="shared" si="13"/>
        <v>0</v>
      </c>
      <c r="AF43" s="116">
        <f t="shared" si="14"/>
        <v>0</v>
      </c>
      <c r="AG43" s="113">
        <f t="shared" si="15"/>
        <v>0</v>
      </c>
      <c r="AH43" s="113" t="str">
        <f t="shared" si="16"/>
        <v>no</v>
      </c>
      <c r="AI43" s="115">
        <f t="shared" si="17"/>
        <v>0</v>
      </c>
      <c r="AJ43" s="113">
        <f t="shared" si="36"/>
        <v>0</v>
      </c>
      <c r="AK43" s="116">
        <f t="shared" si="18"/>
        <v>0</v>
      </c>
      <c r="AL43" s="113">
        <f t="shared" si="19"/>
        <v>0</v>
      </c>
      <c r="AM43" s="115">
        <f t="shared" si="20"/>
        <v>0</v>
      </c>
      <c r="AN43" s="85">
        <f t="shared" si="21"/>
        <v>0</v>
      </c>
      <c r="AO43" s="113" t="str">
        <f t="shared" si="22"/>
        <v>no</v>
      </c>
      <c r="AP43" s="115">
        <f t="shared" si="23"/>
        <v>0</v>
      </c>
      <c r="AQ43" s="113">
        <f t="shared" si="37"/>
        <v>0</v>
      </c>
      <c r="AR43" s="116">
        <f t="shared" si="24"/>
        <v>0</v>
      </c>
      <c r="AS43" s="113">
        <f t="shared" si="25"/>
        <v>0</v>
      </c>
      <c r="AT43" s="116">
        <f t="shared" si="26"/>
        <v>0</v>
      </c>
      <c r="AU43" s="113">
        <f t="shared" si="27"/>
        <v>0</v>
      </c>
      <c r="AV43" s="113" t="str">
        <f t="shared" si="28"/>
        <v>no</v>
      </c>
      <c r="AW43" s="115">
        <f t="shared" si="29"/>
        <v>0</v>
      </c>
      <c r="AX43" s="85">
        <f t="shared" si="38"/>
        <v>0</v>
      </c>
      <c r="AY43" s="116">
        <f t="shared" si="30"/>
        <v>0</v>
      </c>
      <c r="AZ43" s="113">
        <f t="shared" si="31"/>
        <v>0</v>
      </c>
      <c r="BA43" s="116">
        <f t="shared" si="32"/>
        <v>0</v>
      </c>
      <c r="BB43" s="113">
        <f t="shared" si="33"/>
        <v>0</v>
      </c>
      <c r="BC43" s="112">
        <v>0.4566100418900899</v>
      </c>
      <c r="BD43" s="113" t="str">
        <f>ifs(BC43&lt;='Range Tables'!$G$81,'Range Tables'!$B$81,BC43&lt;='Range Tables'!$G$82,'Range Tables'!$B$82)</f>
        <v>Offline*</v>
      </c>
      <c r="BE43" s="112">
        <v>0.5479665701071342</v>
      </c>
      <c r="BF43" s="112" t="str">
        <f>ifs(BE43&lt;='Range Tables'!$G$95,'Range Tables'!$B$95,BE43&lt;='Range Tables'!$G$96,'Range Tables'!$B$96,BE43&lt;='Range Tables'!$G$97,'Range Tables'!$B$97,BE43&lt;='Range Tables'!$G$98,'Range Tables'!$B$98,BE43&lt;='Range Tables'!$G$99,'Range Tables'!$B$99,BE43&lt;='Range Tables'!$G$100,'Range Tables'!$B$100,BE43&lt;='Range Tables'!$G$101,'Range Tables'!$B$101,BE43&lt;='Range Tables'!$G$102,'Range Tables'!$B$102,BE43&lt;='Range Tables'!$G$103,'Range Tables'!$B$103)</f>
        <v>Jammu</v>
      </c>
      <c r="BG43" s="112">
        <v>0.5283616255594316</v>
      </c>
      <c r="BH43" s="113" t="str">
        <f>ifs(BG43&lt;='Range Tables'!$G$112,'Range Tables'!$B$112,BG43&lt;='Range Tables'!$G$113,'Range Tables'!$B$113,BG43&lt;='Range Tables'!$G$114,'Range Tables'!$B$114)</f>
        <v>0</v>
      </c>
      <c r="BI43" s="117">
        <v>0.2470852281909499</v>
      </c>
      <c r="BJ43" s="113" t="str">
        <f>ifs(BI43&lt;='Range Tables'!$G$118,'Range Tables'!$B$118,BI43&lt;='Range Tables'!$G$119,'Range Tables'!$B$119)</f>
        <v>Valid</v>
      </c>
    </row>
    <row r="44">
      <c r="A44" s="85">
        <v>41.0</v>
      </c>
      <c r="B44" s="112">
        <v>0.15272613586764316</v>
      </c>
      <c r="C44" s="113" t="str">
        <f>ifs(B44&lt;='Range Tables'!$G$54,'Range Tables'!$B$54,B44&lt;='Range Tables'!$G$55,'Range Tables'!$B$55,B44&lt;='Range Tables'!$G$56,'Range Tables'!$B$56,B44&lt;='Range Tables'!$G$57,'Range Tables'!$B$57,B44&lt;='Range Tables'!$G$58,'Range Tables'!$B$58,B44&lt;='Range Tables'!$G$59,'Range Tables'!$B$59,B44&lt;='Range Tables'!$G$60,'Range Tables'!$B$60,B44&lt;='Range Tables'!$G$61,'Range Tables'!$B$61,B44&lt;='Range Tables'!$G$63,'Range Tables'!$B$63,B44&lt;='Range Tables'!$G$64,'Range Tables'!$B$64,B44&lt;='Range Tables'!$G$66,'Range Tables'!$B$66)</f>
        <v>0 - 30</v>
      </c>
      <c r="D44" s="113">
        <f>IFERROR(__xludf.DUMMYFUNCTION("SPLIT(C44,""-"")"),0.0)</f>
        <v>0</v>
      </c>
      <c r="E44" s="113">
        <f>IFERROR(__xludf.DUMMYFUNCTION("""COMPUTED_VALUE"""),30.0)</f>
        <v>30</v>
      </c>
      <c r="F44" s="114">
        <f t="shared" si="40"/>
        <v>4.581784076</v>
      </c>
      <c r="G44" s="112">
        <v>0.6400883064117341</v>
      </c>
      <c r="H44" s="113" t="str">
        <f>ifs(G44&lt;='Range Tables'!$G$86,'Range Tables'!$B$86,G44&lt;='Range Tables'!$G$87,'Range Tables'!$B$87,G44&lt;='Range Tables'!$G$88,'Range Tables'!$B$88,G44&lt;='Range Tables'!$G$89,'Range Tables'!$B$89,G44&lt;='Range Tables'!$G$90,'Range Tables'!$B$90,G44&lt;='Range Tables'!$G$91,'Range Tables'!$B$91)</f>
        <v>Bike</v>
      </c>
      <c r="I44" s="112">
        <v>0.34350194927442945</v>
      </c>
      <c r="J44" s="113" t="str">
        <f>IFS(
  H44="Car", IF(I44&lt;='Range Tables'!$G$19, 'Range Tables'!$B$19, 'Range Tables'!$B$20), 
  H44="Bike", IF(I44&lt;='Range Tables'!$G$25, 'Range Tables'!$B$25, 'Range Tables'!$B$26), 
  H44="Scooter", IF(I44&lt;='Range Tables'!$G$31, 'Range Tables'!$B$31, 'Range Tables'!$B$32), 
  H44="Auto", IF(I44&lt;='Range Tables'!$G$37, 'Range Tables'!$B$37, 'Range Tables'!$B$38), 
  H44="Carriers*", IF(I44&lt;='Range Tables'!$G$43, 'Range Tables'!$B$43, 'Range Tables'!$B$44), 
  H44="Van*", IF(I44&lt;='Range Tables'!$G$50, 'Range Tables'!$B$50, 'Range Tables'!$B$49)
)</f>
        <v>Petrol</v>
      </c>
      <c r="K44" s="112">
        <v>0.9927315712693411</v>
      </c>
      <c r="L44" s="113">
        <f>if(J44="Petrol",ifs(K44&lt;='Range Tables'!$G$5,'Range Tables'!$B$5,K44&lt;='Range Tables'!$G$6,'Range Tables'!$B$6,K44&lt;='Range Tables'!$G$7,'Range Tables'!$B$7),ifs(K44&lt;='Range Tables'!$G$13,'Range Tables'!$B$13,K44&lt;='Range Tables'!$G$14,'Range Tables'!$B$14))</f>
        <v>4</v>
      </c>
      <c r="M44" s="112">
        <v>0.5373006545039749</v>
      </c>
      <c r="N44" s="113" t="str">
        <f>ifs(H44="Car",ifs(M44&lt;='Range Tables'!$G$125,'Range Tables'!$B$125,M44&lt;='Range Tables'!$G$126,'Range Tables'!$B$126,M44&lt;='Range Tables'!$G$127,'Range Tables'!$B$127,M44&lt;='Range Tables'!$G$128,'Range Tables'!$B$128,M44&lt;='Range Tables'!$G$129,'Range Tables'!$B$129,'Range Tables'!$G$131,'Range Tables'!$B$131),H44="Bike",ifs(M44&lt;='Range Tables'!$G$136,'Range Tables'!$B$136,M44&lt;='Range Tables'!$G$137,'Range Tables'!$B$137,M44&lt;='Range Tables'!$G$138,'Range Tables'!$B$138,M44&lt;='Range Tables'!$G$142,'Range Tables'!$B$142),H44="Scooter",ifs(M44&lt;='Range Tables'!$G$148,'Range Tables'!$B$148,M44&lt;='Range Tables'!$G$149,'Range Tables'!$B$149,M44&lt;='Range Tables'!$G$150,'Range Tables'!$B$150,M44&lt;='Range Tables'!$G$151,'Range Tables'!$B$151),H44="Auto",ifs(M44&lt;='Range Tables'!$G$161,'Range Tables'!$B$161,M44&lt;='Range Tables'!$G$162,'Range Tables'!$B$162,M44&lt;='Range Tables'!$G$163,'Range Tables'!$B$163,M44&lt;='Range Tables'!$G$164,'Range Tables'!$B$164),H44="Carriers*",ifs(M44&lt;='Range Tables'!$G$173,'Range Tables'!$B$173,M44&lt;='Range Tables'!$G$174,'Range Tables'!$B$174,M44&lt;='Range Tables'!$G$175,'Range Tables'!$B$175,M44&lt;='Range Tables'!$G$176,'Range Tables'!$B$176,M44&lt;='Range Tables'!$G$177,'Range Tables'!$B$177,M44&lt;='Range Tables'!$G$179,'Range Tables'!$B$179),H44="Van*",ifs(M44&lt;='Range Tables'!$G$186,'Range Tables'!$B$186))</f>
        <v>60 - 120</v>
      </c>
      <c r="O44" s="113">
        <f>IFERROR(__xludf.DUMMYFUNCTION("SPLIT(N44,""-"")"),60.0)</f>
        <v>60</v>
      </c>
      <c r="P44" s="113">
        <f>IFERROR(__xludf.DUMMYFUNCTION("""COMPUTED_VALUE"""),120.0)</f>
        <v>120</v>
      </c>
      <c r="Q44" s="114">
        <f t="shared" si="2"/>
        <v>92.23803927</v>
      </c>
      <c r="R44" s="115">
        <f t="shared" si="3"/>
        <v>0.02877248556</v>
      </c>
      <c r="S44" s="114">
        <f t="shared" si="39"/>
        <v>2485.942753</v>
      </c>
      <c r="T44" s="113" t="str">
        <f t="shared" si="4"/>
        <v>no</v>
      </c>
      <c r="U44" s="115">
        <f t="shared" si="5"/>
        <v>0</v>
      </c>
      <c r="V44" s="113">
        <f t="shared" si="34"/>
        <v>0</v>
      </c>
      <c r="W44" s="115">
        <f t="shared" si="6"/>
        <v>0</v>
      </c>
      <c r="X44" s="85">
        <f t="shared" si="7"/>
        <v>0</v>
      </c>
      <c r="Y44" s="116">
        <f t="shared" si="8"/>
        <v>0</v>
      </c>
      <c r="Z44" s="113">
        <f t="shared" si="9"/>
        <v>0</v>
      </c>
      <c r="AA44" s="113" t="str">
        <f t="shared" si="10"/>
        <v>no</v>
      </c>
      <c r="AB44" s="115">
        <f t="shared" si="11"/>
        <v>0</v>
      </c>
      <c r="AC44" s="113">
        <f t="shared" si="35"/>
        <v>0</v>
      </c>
      <c r="AD44" s="116">
        <f t="shared" si="12"/>
        <v>0</v>
      </c>
      <c r="AE44" s="113">
        <f t="shared" si="13"/>
        <v>0</v>
      </c>
      <c r="AF44" s="116">
        <f t="shared" si="14"/>
        <v>0</v>
      </c>
      <c r="AG44" s="113">
        <f t="shared" si="15"/>
        <v>0</v>
      </c>
      <c r="AH44" s="113" t="str">
        <f t="shared" si="16"/>
        <v>no</v>
      </c>
      <c r="AI44" s="115">
        <f t="shared" si="17"/>
        <v>0</v>
      </c>
      <c r="AJ44" s="113">
        <f t="shared" si="36"/>
        <v>0</v>
      </c>
      <c r="AK44" s="116">
        <f t="shared" si="18"/>
        <v>0</v>
      </c>
      <c r="AL44" s="113">
        <f t="shared" si="19"/>
        <v>0</v>
      </c>
      <c r="AM44" s="115">
        <f t="shared" si="20"/>
        <v>0</v>
      </c>
      <c r="AN44" s="85">
        <f t="shared" si="21"/>
        <v>0</v>
      </c>
      <c r="AO44" s="113" t="str">
        <f t="shared" si="22"/>
        <v>yes</v>
      </c>
      <c r="AP44" s="115">
        <f t="shared" si="23"/>
        <v>0</v>
      </c>
      <c r="AQ44" s="113">
        <f t="shared" si="37"/>
        <v>0</v>
      </c>
      <c r="AR44" s="116">
        <f t="shared" si="24"/>
        <v>0.02877248556</v>
      </c>
      <c r="AS44" s="114">
        <f t="shared" si="25"/>
        <v>2485.942753</v>
      </c>
      <c r="AT44" s="116">
        <f t="shared" si="26"/>
        <v>0.02984005546</v>
      </c>
      <c r="AU44" s="114">
        <f t="shared" si="27"/>
        <v>2578.180792</v>
      </c>
      <c r="AV44" s="113" t="str">
        <f t="shared" si="28"/>
        <v>no</v>
      </c>
      <c r="AW44" s="115">
        <f t="shared" si="29"/>
        <v>0</v>
      </c>
      <c r="AX44" s="85">
        <f t="shared" si="38"/>
        <v>0</v>
      </c>
      <c r="AY44" s="116">
        <f t="shared" si="30"/>
        <v>0</v>
      </c>
      <c r="AZ44" s="113">
        <f t="shared" si="31"/>
        <v>0</v>
      </c>
      <c r="BA44" s="116">
        <f t="shared" si="32"/>
        <v>0</v>
      </c>
      <c r="BB44" s="113">
        <f t="shared" si="33"/>
        <v>0</v>
      </c>
      <c r="BC44" s="112">
        <v>0.10505147913775958</v>
      </c>
      <c r="BD44" s="113" t="str">
        <f>ifs(BC44&lt;='Range Tables'!$G$81,'Range Tables'!$B$81,BC44&lt;='Range Tables'!$G$82,'Range Tables'!$B$82)</f>
        <v>Online*</v>
      </c>
      <c r="BE44" s="112">
        <v>0.18896103322267765</v>
      </c>
      <c r="BF44" s="112" t="str">
        <f>ifs(BE44&lt;='Range Tables'!$G$95,'Range Tables'!$B$95,BE44&lt;='Range Tables'!$G$96,'Range Tables'!$B$96,BE44&lt;='Range Tables'!$G$97,'Range Tables'!$B$97,BE44&lt;='Range Tables'!$G$98,'Range Tables'!$B$98,BE44&lt;='Range Tables'!$G$99,'Range Tables'!$B$99,BE44&lt;='Range Tables'!$G$100,'Range Tables'!$B$100,BE44&lt;='Range Tables'!$G$101,'Range Tables'!$B$101,BE44&lt;='Range Tables'!$G$102,'Range Tables'!$B$102,BE44&lt;='Range Tables'!$G$103,'Range Tables'!$B$103)</f>
        <v>Jammu</v>
      </c>
      <c r="BG44" s="112">
        <v>0.8905201123758578</v>
      </c>
      <c r="BH44" s="113" t="str">
        <f>ifs(BG44&lt;='Range Tables'!$G$112,'Range Tables'!$B$112,BG44&lt;='Range Tables'!$G$113,'Range Tables'!$B$113,BG44&lt;='Range Tables'!$G$114,'Range Tables'!$B$114)</f>
        <v>1-5</v>
      </c>
      <c r="BI44" s="117">
        <v>0.28358258235765965</v>
      </c>
      <c r="BJ44" s="113" t="str">
        <f>ifs(BI44&lt;='Range Tables'!$G$118,'Range Tables'!$B$118,BI44&lt;='Range Tables'!$G$119,'Range Tables'!$B$119)</f>
        <v>Valid</v>
      </c>
    </row>
    <row r="45">
      <c r="A45" s="85">
        <v>42.0</v>
      </c>
      <c r="B45" s="112">
        <v>0.029351942686764554</v>
      </c>
      <c r="C45" s="113" t="str">
        <f>ifs(B45&lt;='Range Tables'!$G$54,'Range Tables'!$B$54,B45&lt;='Range Tables'!$G$55,'Range Tables'!$B$55,B45&lt;='Range Tables'!$G$56,'Range Tables'!$B$56,B45&lt;='Range Tables'!$G$57,'Range Tables'!$B$57,B45&lt;='Range Tables'!$G$58,'Range Tables'!$B$58,B45&lt;='Range Tables'!$G$59,'Range Tables'!$B$59,B45&lt;='Range Tables'!$G$60,'Range Tables'!$B$60,B45&lt;='Range Tables'!$G$61,'Range Tables'!$B$61,B45&lt;='Range Tables'!$G$63,'Range Tables'!$B$63,B45&lt;='Range Tables'!$G$64,'Range Tables'!$B$64,B45&lt;='Range Tables'!$G$66,'Range Tables'!$B$66)</f>
        <v>0 - 30</v>
      </c>
      <c r="D45" s="113">
        <f>IFERROR(__xludf.DUMMYFUNCTION("SPLIT(C45,""-"")"),0.0)</f>
        <v>0</v>
      </c>
      <c r="E45" s="113">
        <f>IFERROR(__xludf.DUMMYFUNCTION("""COMPUTED_VALUE"""),30.0)</f>
        <v>30</v>
      </c>
      <c r="F45" s="114">
        <f t="shared" si="40"/>
        <v>0.8805582806</v>
      </c>
      <c r="G45" s="112">
        <v>0.38203780177937463</v>
      </c>
      <c r="H45" s="113" t="str">
        <f>ifs(G45&lt;='Range Tables'!$G$86,'Range Tables'!$B$86,G45&lt;='Range Tables'!$G$87,'Range Tables'!$B$87,G45&lt;='Range Tables'!$G$88,'Range Tables'!$B$88,G45&lt;='Range Tables'!$G$89,'Range Tables'!$B$89,G45&lt;='Range Tables'!$G$90,'Range Tables'!$B$90,G45&lt;='Range Tables'!$G$91,'Range Tables'!$B$91)</f>
        <v>Car</v>
      </c>
      <c r="I45" s="112">
        <v>0.05818782195862138</v>
      </c>
      <c r="J45" s="113" t="str">
        <f>IFS(
  H45="Car", IF(I45&lt;='Range Tables'!$G$19, 'Range Tables'!$B$19, 'Range Tables'!$B$20), 
  H45="Bike", IF(I45&lt;='Range Tables'!$G$25, 'Range Tables'!$B$25, 'Range Tables'!$B$26), 
  H45="Scooter", IF(I45&lt;='Range Tables'!$G$31, 'Range Tables'!$B$31, 'Range Tables'!$B$32), 
  H45="Auto", IF(I45&lt;='Range Tables'!$G$37, 'Range Tables'!$B$37, 'Range Tables'!$B$38), 
  H45="Carriers*", IF(I45&lt;='Range Tables'!$G$43, 'Range Tables'!$B$43, 'Range Tables'!$B$44), 
  H45="Van*", IF(I45&lt;='Range Tables'!$G$50, 'Range Tables'!$B$50, 'Range Tables'!$B$49)
)</f>
        <v>Petrol</v>
      </c>
      <c r="K45" s="112">
        <v>0.4491609529691588</v>
      </c>
      <c r="L45" s="113">
        <f>if(J45="Petrol",ifs(K45&lt;='Range Tables'!$G$5,'Range Tables'!$B$5,K45&lt;='Range Tables'!$G$6,'Range Tables'!$B$6,K45&lt;='Range Tables'!$G$7,'Range Tables'!$B$7),ifs(K45&lt;='Range Tables'!$G$13,'Range Tables'!$B$13,K45&lt;='Range Tables'!$G$14,'Range Tables'!$B$14))</f>
        <v>2</v>
      </c>
      <c r="M45" s="112">
        <v>0.6695072588716915</v>
      </c>
      <c r="N45" s="113" t="str">
        <f>ifs(H45="Car",ifs(M45&lt;='Range Tables'!$G$125,'Range Tables'!$B$125,M45&lt;='Range Tables'!$G$126,'Range Tables'!$B$126,M45&lt;='Range Tables'!$G$127,'Range Tables'!$B$127,M45&lt;='Range Tables'!$G$128,'Range Tables'!$B$128,M45&lt;='Range Tables'!$G$129,'Range Tables'!$B$129,'Range Tables'!$G$131,'Range Tables'!$B$131),H45="Bike",ifs(M45&lt;='Range Tables'!$G$136,'Range Tables'!$B$136,M45&lt;='Range Tables'!$G$137,'Range Tables'!$B$137,M45&lt;='Range Tables'!$G$138,'Range Tables'!$B$138,M45&lt;='Range Tables'!$G$142,'Range Tables'!$B$142),H45="Scooter",ifs(M45&lt;='Range Tables'!$G$148,'Range Tables'!$B$148,M45&lt;='Range Tables'!$G$149,'Range Tables'!$B$149,M45&lt;='Range Tables'!$G$150,'Range Tables'!$B$150,M45&lt;='Range Tables'!$G$151,'Range Tables'!$B$151),H45="Auto",ifs(M45&lt;='Range Tables'!$G$161,'Range Tables'!$B$161,M45&lt;='Range Tables'!$G$162,'Range Tables'!$B$162,M45&lt;='Range Tables'!$G$163,'Range Tables'!$B$163,M45&lt;='Range Tables'!$G$164,'Range Tables'!$B$164),H45="Carriers*",ifs(M45&lt;='Range Tables'!$G$173,'Range Tables'!$B$173,M45&lt;='Range Tables'!$G$174,'Range Tables'!$B$174,M45&lt;='Range Tables'!$G$175,'Range Tables'!$B$175,M45&lt;='Range Tables'!$G$176,'Range Tables'!$B$176,M45&lt;='Range Tables'!$G$177,'Range Tables'!$B$177,M45&lt;='Range Tables'!$G$179,'Range Tables'!$B$179),H45="Van*",ifs(M45&lt;='Range Tables'!$G$186,'Range Tables'!$B$186))</f>
        <v>120 - 180</v>
      </c>
      <c r="O45" s="113">
        <f>IFERROR(__xludf.DUMMYFUNCTION("SPLIT(N45,""-"")"),120.0)</f>
        <v>120</v>
      </c>
      <c r="P45" s="113">
        <f>IFERROR(__xludf.DUMMYFUNCTION("""COMPUTED_VALUE"""),180.0)</f>
        <v>180</v>
      </c>
      <c r="Q45" s="114">
        <f t="shared" si="2"/>
        <v>160.1704355</v>
      </c>
      <c r="R45" s="115">
        <f t="shared" si="3"/>
        <v>0.02882551547</v>
      </c>
      <c r="S45" s="114">
        <f t="shared" si="39"/>
        <v>2490.524537</v>
      </c>
      <c r="T45" s="113" t="str">
        <f t="shared" si="4"/>
        <v>no</v>
      </c>
      <c r="U45" s="115">
        <f t="shared" si="5"/>
        <v>0</v>
      </c>
      <c r="V45" s="113">
        <f t="shared" si="34"/>
        <v>0</v>
      </c>
      <c r="W45" s="115">
        <f t="shared" si="6"/>
        <v>0</v>
      </c>
      <c r="X45" s="85">
        <f t="shared" si="7"/>
        <v>0</v>
      </c>
      <c r="Y45" s="116">
        <f t="shared" si="8"/>
        <v>0</v>
      </c>
      <c r="Z45" s="113">
        <f t="shared" si="9"/>
        <v>0</v>
      </c>
      <c r="AA45" s="113" t="str">
        <f t="shared" si="10"/>
        <v>yes</v>
      </c>
      <c r="AB45" s="115">
        <f t="shared" si="11"/>
        <v>0</v>
      </c>
      <c r="AC45" s="113">
        <f t="shared" si="35"/>
        <v>0</v>
      </c>
      <c r="AD45" s="116">
        <f t="shared" si="12"/>
        <v>0.02882551547</v>
      </c>
      <c r="AE45" s="114">
        <f t="shared" si="13"/>
        <v>2490.524537</v>
      </c>
      <c r="AF45" s="116">
        <f t="shared" si="14"/>
        <v>0.03067933996</v>
      </c>
      <c r="AG45" s="114">
        <f t="shared" si="15"/>
        <v>2650.694972</v>
      </c>
      <c r="AH45" s="113" t="str">
        <f t="shared" si="16"/>
        <v>no</v>
      </c>
      <c r="AI45" s="115">
        <f t="shared" si="17"/>
        <v>0</v>
      </c>
      <c r="AJ45" s="113">
        <f t="shared" si="36"/>
        <v>0</v>
      </c>
      <c r="AK45" s="116">
        <f t="shared" si="18"/>
        <v>0</v>
      </c>
      <c r="AL45" s="113">
        <f t="shared" si="19"/>
        <v>0</v>
      </c>
      <c r="AM45" s="115">
        <f t="shared" si="20"/>
        <v>0</v>
      </c>
      <c r="AN45" s="85">
        <f t="shared" si="21"/>
        <v>0</v>
      </c>
      <c r="AO45" s="113" t="str">
        <f t="shared" si="22"/>
        <v>no</v>
      </c>
      <c r="AP45" s="115">
        <f t="shared" si="23"/>
        <v>0</v>
      </c>
      <c r="AQ45" s="113">
        <f t="shared" si="37"/>
        <v>0</v>
      </c>
      <c r="AR45" s="116">
        <f t="shared" si="24"/>
        <v>0</v>
      </c>
      <c r="AS45" s="113">
        <f t="shared" si="25"/>
        <v>0</v>
      </c>
      <c r="AT45" s="116">
        <f t="shared" si="26"/>
        <v>0</v>
      </c>
      <c r="AU45" s="113">
        <f t="shared" si="27"/>
        <v>0</v>
      </c>
      <c r="AV45" s="113" t="str">
        <f t="shared" si="28"/>
        <v>no</v>
      </c>
      <c r="AW45" s="115">
        <f t="shared" si="29"/>
        <v>0</v>
      </c>
      <c r="AX45" s="85">
        <f t="shared" si="38"/>
        <v>0</v>
      </c>
      <c r="AY45" s="116">
        <f t="shared" si="30"/>
        <v>0</v>
      </c>
      <c r="AZ45" s="113">
        <f t="shared" si="31"/>
        <v>0</v>
      </c>
      <c r="BA45" s="116">
        <f t="shared" si="32"/>
        <v>0</v>
      </c>
      <c r="BB45" s="113">
        <f t="shared" si="33"/>
        <v>0</v>
      </c>
      <c r="BC45" s="112">
        <v>0.18193900350159675</v>
      </c>
      <c r="BD45" s="113" t="str">
        <f>ifs(BC45&lt;='Range Tables'!$G$81,'Range Tables'!$B$81,BC45&lt;='Range Tables'!$G$82,'Range Tables'!$B$82)</f>
        <v>Online*</v>
      </c>
      <c r="BE45" s="112">
        <v>0.5519241917915494</v>
      </c>
      <c r="BF45" s="112" t="str">
        <f>ifs(BE45&lt;='Range Tables'!$G$95,'Range Tables'!$B$95,BE45&lt;='Range Tables'!$G$96,'Range Tables'!$B$96,BE45&lt;='Range Tables'!$G$97,'Range Tables'!$B$97,BE45&lt;='Range Tables'!$G$98,'Range Tables'!$B$98,BE45&lt;='Range Tables'!$G$99,'Range Tables'!$B$99,BE45&lt;='Range Tables'!$G$100,'Range Tables'!$B$100,BE45&lt;='Range Tables'!$G$101,'Range Tables'!$B$101,BE45&lt;='Range Tables'!$G$102,'Range Tables'!$B$102,BE45&lt;='Range Tables'!$G$103,'Range Tables'!$B$103)</f>
        <v>Jammu</v>
      </c>
      <c r="BG45" s="112">
        <v>0.25680625240627375</v>
      </c>
      <c r="BH45" s="113" t="str">
        <f>ifs(BG45&lt;='Range Tables'!$G$112,'Range Tables'!$B$112,BG45&lt;='Range Tables'!$G$113,'Range Tables'!$B$113,BG45&lt;='Range Tables'!$G$114,'Range Tables'!$B$114)</f>
        <v>0</v>
      </c>
      <c r="BI45" s="117">
        <v>0.844573639256694</v>
      </c>
      <c r="BJ45" s="113" t="str">
        <f>ifs(BI45&lt;='Range Tables'!$G$118,'Range Tables'!$B$118,BI45&lt;='Range Tables'!$G$119,'Range Tables'!$B$119)</f>
        <v>Expired</v>
      </c>
    </row>
    <row r="46">
      <c r="A46" s="85">
        <v>43.0</v>
      </c>
      <c r="B46" s="112">
        <v>0.7608570566785098</v>
      </c>
      <c r="C46" s="113" t="str">
        <f>ifs(B46&lt;='Range Tables'!$G$54,'Range Tables'!$B$54,B46&lt;='Range Tables'!$G$55,'Range Tables'!$B$55,B46&lt;='Range Tables'!$G$56,'Range Tables'!$B$56,B46&lt;='Range Tables'!$G$57,'Range Tables'!$B$57,B46&lt;='Range Tables'!$G$58,'Range Tables'!$B$58,B46&lt;='Range Tables'!$G$59,'Range Tables'!$B$59,B46&lt;='Range Tables'!$G$60,'Range Tables'!$B$60,B46&lt;='Range Tables'!$G$61,'Range Tables'!$B$61,B46&lt;='Range Tables'!$G$63,'Range Tables'!$B$63,B46&lt;='Range Tables'!$G$64,'Range Tables'!$B$64,B46&lt;='Range Tables'!$G$66,'Range Tables'!$B$66)</f>
        <v>90 - 120</v>
      </c>
      <c r="D46" s="113">
        <f>IFERROR(__xludf.DUMMYFUNCTION("SPLIT(C46,""-"")"),90.0)</f>
        <v>90</v>
      </c>
      <c r="E46" s="113">
        <f>IFERROR(__xludf.DUMMYFUNCTION("""COMPUTED_VALUE"""),120.0)</f>
        <v>120</v>
      </c>
      <c r="F46" s="114">
        <f t="shared" si="40"/>
        <v>112.8257117</v>
      </c>
      <c r="G46" s="112">
        <v>0.3003626652706487</v>
      </c>
      <c r="H46" s="113" t="str">
        <f>ifs(G46&lt;='Range Tables'!$G$86,'Range Tables'!$B$86,G46&lt;='Range Tables'!$G$87,'Range Tables'!$B$87,G46&lt;='Range Tables'!$G$88,'Range Tables'!$B$88,G46&lt;='Range Tables'!$G$89,'Range Tables'!$B$89,G46&lt;='Range Tables'!$G$90,'Range Tables'!$B$90,G46&lt;='Range Tables'!$G$91,'Range Tables'!$B$91)</f>
        <v>Car</v>
      </c>
      <c r="I46" s="112">
        <v>0.31610503985170857</v>
      </c>
      <c r="J46" s="113" t="str">
        <f>IFS(
  H46="Car", IF(I46&lt;='Range Tables'!$G$19, 'Range Tables'!$B$19, 'Range Tables'!$B$20), 
  H46="Bike", IF(I46&lt;='Range Tables'!$G$25, 'Range Tables'!$B$25, 'Range Tables'!$B$26), 
  H46="Scooter", IF(I46&lt;='Range Tables'!$G$31, 'Range Tables'!$B$31, 'Range Tables'!$B$32), 
  H46="Auto", IF(I46&lt;='Range Tables'!$G$37, 'Range Tables'!$B$37, 'Range Tables'!$B$38), 
  H46="Carriers*", IF(I46&lt;='Range Tables'!$G$43, 'Range Tables'!$B$43, 'Range Tables'!$B$44), 
  H46="Van*", IF(I46&lt;='Range Tables'!$G$50, 'Range Tables'!$B$50, 'Range Tables'!$B$49)
)</f>
        <v>Petrol</v>
      </c>
      <c r="K46" s="112">
        <v>0.07461608726524582</v>
      </c>
      <c r="L46" s="113">
        <f>if(J46="Petrol",ifs(K46&lt;='Range Tables'!$G$5,'Range Tables'!$B$5,K46&lt;='Range Tables'!$G$6,'Range Tables'!$B$6,K46&lt;='Range Tables'!$G$7,'Range Tables'!$B$7),ifs(K46&lt;='Range Tables'!$G$13,'Range Tables'!$B$13,K46&lt;='Range Tables'!$G$14,'Range Tables'!$B$14))</f>
        <v>2</v>
      </c>
      <c r="M46" s="112">
        <v>0.9865923703284095</v>
      </c>
      <c r="N46" s="113" t="str">
        <f>ifs(H46="Car",ifs(M46&lt;='Range Tables'!$G$125,'Range Tables'!$B$125,M46&lt;='Range Tables'!$G$126,'Range Tables'!$B$126,M46&lt;='Range Tables'!$G$127,'Range Tables'!$B$127,M46&lt;='Range Tables'!$G$128,'Range Tables'!$B$128,M46&lt;='Range Tables'!$G$129,'Range Tables'!$B$129,'Range Tables'!$G$131,'Range Tables'!$B$131),H46="Bike",ifs(M46&lt;='Range Tables'!$G$136,'Range Tables'!$B$136,M46&lt;='Range Tables'!$G$137,'Range Tables'!$B$137,M46&lt;='Range Tables'!$G$138,'Range Tables'!$B$138,M46&lt;='Range Tables'!$G$142,'Range Tables'!$B$142),H46="Scooter",ifs(M46&lt;='Range Tables'!$G$148,'Range Tables'!$B$148,M46&lt;='Range Tables'!$G$149,'Range Tables'!$B$149,M46&lt;='Range Tables'!$G$150,'Range Tables'!$B$150,M46&lt;='Range Tables'!$G$151,'Range Tables'!$B$151),H46="Auto",ifs(M46&lt;='Range Tables'!$G$161,'Range Tables'!$B$161,M46&lt;='Range Tables'!$G$162,'Range Tables'!$B$162,M46&lt;='Range Tables'!$G$163,'Range Tables'!$B$163,M46&lt;='Range Tables'!$G$164,'Range Tables'!$B$164),H46="Carriers*",ifs(M46&lt;='Range Tables'!$G$173,'Range Tables'!$B$173,M46&lt;='Range Tables'!$G$174,'Range Tables'!$B$174,M46&lt;='Range Tables'!$G$175,'Range Tables'!$B$175,M46&lt;='Range Tables'!$G$176,'Range Tables'!$B$176,M46&lt;='Range Tables'!$G$177,'Range Tables'!$B$177,M46&lt;='Range Tables'!$G$179,'Range Tables'!$B$179),H46="Van*",ifs(M46&lt;='Range Tables'!$G$186,'Range Tables'!$B$186))</f>
        <v>420 - 480</v>
      </c>
      <c r="O46" s="113">
        <f>IFERROR(__xludf.DUMMYFUNCTION("SPLIT(N46,""-"")"),420.0)</f>
        <v>420</v>
      </c>
      <c r="P46" s="113">
        <f>IFERROR(__xludf.DUMMYFUNCTION("""COMPUTED_VALUE"""),480.0)</f>
        <v>480</v>
      </c>
      <c r="Q46" s="114">
        <f t="shared" si="2"/>
        <v>479.1955422</v>
      </c>
      <c r="R46" s="115">
        <f t="shared" si="3"/>
        <v>0.02883570712</v>
      </c>
      <c r="S46" s="114">
        <f t="shared" si="39"/>
        <v>2491.405095</v>
      </c>
      <c r="T46" s="113" t="str">
        <f t="shared" si="4"/>
        <v>no</v>
      </c>
      <c r="U46" s="115">
        <f t="shared" si="5"/>
        <v>0</v>
      </c>
      <c r="V46" s="113">
        <f t="shared" si="34"/>
        <v>0</v>
      </c>
      <c r="W46" s="115">
        <f t="shared" si="6"/>
        <v>0</v>
      </c>
      <c r="X46" s="85">
        <f t="shared" si="7"/>
        <v>0</v>
      </c>
      <c r="Y46" s="116">
        <f t="shared" si="8"/>
        <v>0</v>
      </c>
      <c r="Z46" s="113">
        <f t="shared" si="9"/>
        <v>0</v>
      </c>
      <c r="AA46" s="113" t="str">
        <f t="shared" si="10"/>
        <v>yes</v>
      </c>
      <c r="AB46" s="115">
        <f t="shared" si="11"/>
        <v>0.001843632839</v>
      </c>
      <c r="AC46" s="114">
        <f t="shared" si="35"/>
        <v>159.2898773</v>
      </c>
      <c r="AD46" s="116">
        <f t="shared" si="12"/>
        <v>0.03067933996</v>
      </c>
      <c r="AE46" s="114">
        <f t="shared" si="13"/>
        <v>2650.694972</v>
      </c>
      <c r="AF46" s="116">
        <f t="shared" si="14"/>
        <v>0.03622558466</v>
      </c>
      <c r="AG46" s="114">
        <f t="shared" si="15"/>
        <v>3129.890515</v>
      </c>
      <c r="AH46" s="113" t="str">
        <f t="shared" si="16"/>
        <v>no</v>
      </c>
      <c r="AI46" s="115">
        <f t="shared" si="17"/>
        <v>0</v>
      </c>
      <c r="AJ46" s="113">
        <f t="shared" si="36"/>
        <v>0</v>
      </c>
      <c r="AK46" s="116">
        <f t="shared" si="18"/>
        <v>0</v>
      </c>
      <c r="AL46" s="113">
        <f t="shared" si="19"/>
        <v>0</v>
      </c>
      <c r="AM46" s="115">
        <f t="shared" si="20"/>
        <v>0</v>
      </c>
      <c r="AN46" s="85">
        <f t="shared" si="21"/>
        <v>0</v>
      </c>
      <c r="AO46" s="113" t="str">
        <f t="shared" si="22"/>
        <v>no</v>
      </c>
      <c r="AP46" s="115">
        <f t="shared" si="23"/>
        <v>0</v>
      </c>
      <c r="AQ46" s="113">
        <f t="shared" si="37"/>
        <v>0</v>
      </c>
      <c r="AR46" s="116">
        <f t="shared" si="24"/>
        <v>0</v>
      </c>
      <c r="AS46" s="113">
        <f t="shared" si="25"/>
        <v>0</v>
      </c>
      <c r="AT46" s="116">
        <f t="shared" si="26"/>
        <v>0</v>
      </c>
      <c r="AU46" s="113">
        <f t="shared" si="27"/>
        <v>0</v>
      </c>
      <c r="AV46" s="113" t="str">
        <f t="shared" si="28"/>
        <v>no</v>
      </c>
      <c r="AW46" s="115">
        <f t="shared" si="29"/>
        <v>0</v>
      </c>
      <c r="AX46" s="85">
        <f t="shared" si="38"/>
        <v>0</v>
      </c>
      <c r="AY46" s="116">
        <f t="shared" si="30"/>
        <v>0</v>
      </c>
      <c r="AZ46" s="113">
        <f t="shared" si="31"/>
        <v>0</v>
      </c>
      <c r="BA46" s="116">
        <f t="shared" si="32"/>
        <v>0</v>
      </c>
      <c r="BB46" s="113">
        <f t="shared" si="33"/>
        <v>0</v>
      </c>
      <c r="BC46" s="112">
        <v>0.5915942428070572</v>
      </c>
      <c r="BD46" s="113" t="str">
        <f>ifs(BC46&lt;='Range Tables'!$G$81,'Range Tables'!$B$81,BC46&lt;='Range Tables'!$G$82,'Range Tables'!$B$82)</f>
        <v>Offline*</v>
      </c>
      <c r="BE46" s="112">
        <v>0.07152251934593956</v>
      </c>
      <c r="BF46" s="112" t="str">
        <f>ifs(BE46&lt;='Range Tables'!$G$95,'Range Tables'!$B$95,BE46&lt;='Range Tables'!$G$96,'Range Tables'!$B$96,BE46&lt;='Range Tables'!$G$97,'Range Tables'!$B$97,BE46&lt;='Range Tables'!$G$98,'Range Tables'!$B$98,BE46&lt;='Range Tables'!$G$99,'Range Tables'!$B$99,BE46&lt;='Range Tables'!$G$100,'Range Tables'!$B$100,BE46&lt;='Range Tables'!$G$101,'Range Tables'!$B$101,BE46&lt;='Range Tables'!$G$102,'Range Tables'!$B$102,BE46&lt;='Range Tables'!$G$103,'Range Tables'!$B$103)</f>
        <v>Jammu</v>
      </c>
      <c r="BG46" s="112">
        <v>0.5076137704897719</v>
      </c>
      <c r="BH46" s="113" t="str">
        <f>ifs(BG46&lt;='Range Tables'!$G$112,'Range Tables'!$B$112,BG46&lt;='Range Tables'!$G$113,'Range Tables'!$B$113,BG46&lt;='Range Tables'!$G$114,'Range Tables'!$B$114)</f>
        <v>0</v>
      </c>
      <c r="BI46" s="117">
        <v>0.4107895680168253</v>
      </c>
      <c r="BJ46" s="113" t="str">
        <f>ifs(BI46&lt;='Range Tables'!$G$118,'Range Tables'!$B$118,BI46&lt;='Range Tables'!$G$119,'Range Tables'!$B$119)</f>
        <v>Valid</v>
      </c>
    </row>
    <row r="47">
      <c r="A47" s="85">
        <v>44.0</v>
      </c>
      <c r="B47" s="112">
        <v>0.6565439969838234</v>
      </c>
      <c r="C47" s="113" t="str">
        <f>ifs(B47&lt;='Range Tables'!$G$54,'Range Tables'!$B$54,B47&lt;='Range Tables'!$G$55,'Range Tables'!$B$55,B47&lt;='Range Tables'!$G$56,'Range Tables'!$B$56,B47&lt;='Range Tables'!$G$57,'Range Tables'!$B$57,B47&lt;='Range Tables'!$G$58,'Range Tables'!$B$58,B47&lt;='Range Tables'!$G$59,'Range Tables'!$B$59,B47&lt;='Range Tables'!$G$60,'Range Tables'!$B$60,B47&lt;='Range Tables'!$G$61,'Range Tables'!$B$61,B47&lt;='Range Tables'!$G$63,'Range Tables'!$B$63,B47&lt;='Range Tables'!$G$64,'Range Tables'!$B$64,B47&lt;='Range Tables'!$G$66,'Range Tables'!$B$66)</f>
        <v>60 - 90</v>
      </c>
      <c r="D47" s="113">
        <f>IFERROR(__xludf.DUMMYFUNCTION("SPLIT(C47,""-"")"),60.0)</f>
        <v>60</v>
      </c>
      <c r="E47" s="113">
        <f>IFERROR(__xludf.DUMMYFUNCTION("""COMPUTED_VALUE"""),90.0)</f>
        <v>90</v>
      </c>
      <c r="F47" s="114">
        <f t="shared" si="40"/>
        <v>79.69631991</v>
      </c>
      <c r="G47" s="112">
        <v>0.19225849581732857</v>
      </c>
      <c r="H47" s="113" t="str">
        <f>ifs(G47&lt;='Range Tables'!$G$86,'Range Tables'!$B$86,G47&lt;='Range Tables'!$G$87,'Range Tables'!$B$87,G47&lt;='Range Tables'!$G$88,'Range Tables'!$B$88,G47&lt;='Range Tables'!$G$89,'Range Tables'!$B$89,G47&lt;='Range Tables'!$G$90,'Range Tables'!$B$90,G47&lt;='Range Tables'!$G$91,'Range Tables'!$B$91)</f>
        <v>Car</v>
      </c>
      <c r="I47" s="112">
        <v>0.5753614270900412</v>
      </c>
      <c r="J47" s="113" t="str">
        <f>IFS(
  H47="Car", IF(I47&lt;='Range Tables'!$G$19, 'Range Tables'!$B$19, 'Range Tables'!$B$20), 
  H47="Bike", IF(I47&lt;='Range Tables'!$G$25, 'Range Tables'!$B$25, 'Range Tables'!$B$26), 
  H47="Scooter", IF(I47&lt;='Range Tables'!$G$31, 'Range Tables'!$B$31, 'Range Tables'!$B$32), 
  H47="Auto", IF(I47&lt;='Range Tables'!$G$37, 'Range Tables'!$B$37, 'Range Tables'!$B$38), 
  H47="Carriers*", IF(I47&lt;='Range Tables'!$G$43, 'Range Tables'!$B$43, 'Range Tables'!$B$44), 
  H47="Van*", IF(I47&lt;='Range Tables'!$G$50, 'Range Tables'!$B$50, 'Range Tables'!$B$49)
)</f>
        <v>Petrol</v>
      </c>
      <c r="K47" s="112">
        <v>0.07630620431445434</v>
      </c>
      <c r="L47" s="113">
        <f>if(J47="Petrol",ifs(K47&lt;='Range Tables'!$G$5,'Range Tables'!$B$5,K47&lt;='Range Tables'!$G$6,'Range Tables'!$B$6,K47&lt;='Range Tables'!$G$7,'Range Tables'!$B$7),ifs(K47&lt;='Range Tables'!$G$13,'Range Tables'!$B$13,K47&lt;='Range Tables'!$G$14,'Range Tables'!$B$14))</f>
        <v>2</v>
      </c>
      <c r="M47" s="112">
        <v>0.5943022974757086</v>
      </c>
      <c r="N47" s="113" t="str">
        <f>ifs(H47="Car",ifs(M47&lt;='Range Tables'!$G$125,'Range Tables'!$B$125,M47&lt;='Range Tables'!$G$126,'Range Tables'!$B$126,M47&lt;='Range Tables'!$G$127,'Range Tables'!$B$127,M47&lt;='Range Tables'!$G$128,'Range Tables'!$B$128,M47&lt;='Range Tables'!$G$129,'Range Tables'!$B$129,'Range Tables'!$G$131,'Range Tables'!$B$131),H47="Bike",ifs(M47&lt;='Range Tables'!$G$136,'Range Tables'!$B$136,M47&lt;='Range Tables'!$G$137,'Range Tables'!$B$137,M47&lt;='Range Tables'!$G$138,'Range Tables'!$B$138,M47&lt;='Range Tables'!$G$142,'Range Tables'!$B$142),H47="Scooter",ifs(M47&lt;='Range Tables'!$G$148,'Range Tables'!$B$148,M47&lt;='Range Tables'!$G$149,'Range Tables'!$B$149,M47&lt;='Range Tables'!$G$150,'Range Tables'!$B$150,M47&lt;='Range Tables'!$G$151,'Range Tables'!$B$151),H47="Auto",ifs(M47&lt;='Range Tables'!$G$161,'Range Tables'!$B$161,M47&lt;='Range Tables'!$G$162,'Range Tables'!$B$162,M47&lt;='Range Tables'!$G$163,'Range Tables'!$B$163,M47&lt;='Range Tables'!$G$164,'Range Tables'!$B$164),H47="Carriers*",ifs(M47&lt;='Range Tables'!$G$173,'Range Tables'!$B$173,M47&lt;='Range Tables'!$G$174,'Range Tables'!$B$174,M47&lt;='Range Tables'!$G$175,'Range Tables'!$B$175,M47&lt;='Range Tables'!$G$176,'Range Tables'!$B$176,M47&lt;='Range Tables'!$G$177,'Range Tables'!$B$177,M47&lt;='Range Tables'!$G$179,'Range Tables'!$B$179),H47="Van*",ifs(M47&lt;='Range Tables'!$G$186,'Range Tables'!$B$186))</f>
        <v>120 - 180</v>
      </c>
      <c r="O47" s="113">
        <f>IFERROR(__xludf.DUMMYFUNCTION("SPLIT(N47,""-"")"),120.0)</f>
        <v>120</v>
      </c>
      <c r="P47" s="113">
        <f>IFERROR(__xludf.DUMMYFUNCTION("""COMPUTED_VALUE"""),180.0)</f>
        <v>180</v>
      </c>
      <c r="Q47" s="114">
        <f t="shared" si="2"/>
        <v>155.6581378</v>
      </c>
      <c r="R47" s="115">
        <f t="shared" si="3"/>
        <v>0.03014156026</v>
      </c>
      <c r="S47" s="114">
        <f t="shared" si="39"/>
        <v>2604.230807</v>
      </c>
      <c r="T47" s="113" t="str">
        <f t="shared" si="4"/>
        <v>no</v>
      </c>
      <c r="U47" s="115">
        <f t="shared" si="5"/>
        <v>0</v>
      </c>
      <c r="V47" s="113">
        <f t="shared" si="34"/>
        <v>0</v>
      </c>
      <c r="W47" s="115">
        <f t="shared" si="6"/>
        <v>0</v>
      </c>
      <c r="X47" s="85">
        <f t="shared" si="7"/>
        <v>0</v>
      </c>
      <c r="Y47" s="116">
        <f t="shared" si="8"/>
        <v>0</v>
      </c>
      <c r="Z47" s="113">
        <f t="shared" si="9"/>
        <v>0</v>
      </c>
      <c r="AA47" s="113" t="str">
        <f t="shared" si="10"/>
        <v>yes</v>
      </c>
      <c r="AB47" s="115">
        <f t="shared" si="11"/>
        <v>0.006084024395</v>
      </c>
      <c r="AC47" s="114">
        <f t="shared" si="35"/>
        <v>525.6597078</v>
      </c>
      <c r="AD47" s="116">
        <f t="shared" si="12"/>
        <v>0.03622558466</v>
      </c>
      <c r="AE47" s="114">
        <f t="shared" si="13"/>
        <v>3129.890515</v>
      </c>
      <c r="AF47" s="116">
        <f t="shared" si="14"/>
        <v>0.03802718348</v>
      </c>
      <c r="AG47" s="114">
        <f t="shared" si="15"/>
        <v>3285.548652</v>
      </c>
      <c r="AH47" s="113" t="str">
        <f t="shared" si="16"/>
        <v>no</v>
      </c>
      <c r="AI47" s="115">
        <f t="shared" si="17"/>
        <v>0</v>
      </c>
      <c r="AJ47" s="113">
        <f t="shared" si="36"/>
        <v>0</v>
      </c>
      <c r="AK47" s="116">
        <f t="shared" si="18"/>
        <v>0</v>
      </c>
      <c r="AL47" s="113">
        <f t="shared" si="19"/>
        <v>0</v>
      </c>
      <c r="AM47" s="115">
        <f t="shared" si="20"/>
        <v>0</v>
      </c>
      <c r="AN47" s="85">
        <f t="shared" si="21"/>
        <v>0</v>
      </c>
      <c r="AO47" s="113" t="str">
        <f t="shared" si="22"/>
        <v>no</v>
      </c>
      <c r="AP47" s="115">
        <f t="shared" si="23"/>
        <v>0</v>
      </c>
      <c r="AQ47" s="113">
        <f t="shared" si="37"/>
        <v>0</v>
      </c>
      <c r="AR47" s="116">
        <f t="shared" si="24"/>
        <v>0</v>
      </c>
      <c r="AS47" s="113">
        <f t="shared" si="25"/>
        <v>0</v>
      </c>
      <c r="AT47" s="116">
        <f t="shared" si="26"/>
        <v>0</v>
      </c>
      <c r="AU47" s="113">
        <f t="shared" si="27"/>
        <v>0</v>
      </c>
      <c r="AV47" s="113" t="str">
        <f t="shared" si="28"/>
        <v>no</v>
      </c>
      <c r="AW47" s="115">
        <f t="shared" si="29"/>
        <v>0</v>
      </c>
      <c r="AX47" s="85">
        <f t="shared" si="38"/>
        <v>0</v>
      </c>
      <c r="AY47" s="116">
        <f t="shared" si="30"/>
        <v>0</v>
      </c>
      <c r="AZ47" s="113">
        <f t="shared" si="31"/>
        <v>0</v>
      </c>
      <c r="BA47" s="116">
        <f t="shared" si="32"/>
        <v>0</v>
      </c>
      <c r="BB47" s="113">
        <f t="shared" si="33"/>
        <v>0</v>
      </c>
      <c r="BC47" s="112">
        <v>0.36961110522797247</v>
      </c>
      <c r="BD47" s="113" t="str">
        <f>ifs(BC47&lt;='Range Tables'!$G$81,'Range Tables'!$B$81,BC47&lt;='Range Tables'!$G$82,'Range Tables'!$B$82)</f>
        <v>Offline*</v>
      </c>
      <c r="BE47" s="112">
        <v>0.5242815078508645</v>
      </c>
      <c r="BF47" s="112" t="str">
        <f>ifs(BE47&lt;='Range Tables'!$G$95,'Range Tables'!$B$95,BE47&lt;='Range Tables'!$G$96,'Range Tables'!$B$96,BE47&lt;='Range Tables'!$G$97,'Range Tables'!$B$97,BE47&lt;='Range Tables'!$G$98,'Range Tables'!$B$98,BE47&lt;='Range Tables'!$G$99,'Range Tables'!$B$99,BE47&lt;='Range Tables'!$G$100,'Range Tables'!$B$100,BE47&lt;='Range Tables'!$G$101,'Range Tables'!$B$101,BE47&lt;='Range Tables'!$G$102,'Range Tables'!$B$102,BE47&lt;='Range Tables'!$G$103,'Range Tables'!$B$103)</f>
        <v>Jammu</v>
      </c>
      <c r="BG47" s="112">
        <v>0.15668624401217923</v>
      </c>
      <c r="BH47" s="113" t="str">
        <f>ifs(BG47&lt;='Range Tables'!$G$112,'Range Tables'!$B$112,BG47&lt;='Range Tables'!$G$113,'Range Tables'!$B$113,BG47&lt;='Range Tables'!$G$114,'Range Tables'!$B$114)</f>
        <v>0</v>
      </c>
      <c r="BI47" s="117">
        <v>0.6828070530364659</v>
      </c>
      <c r="BJ47" s="113" t="str">
        <f>ifs(BI47&lt;='Range Tables'!$G$118,'Range Tables'!$B$118,BI47&lt;='Range Tables'!$G$119,'Range Tables'!$B$119)</f>
        <v>Expired</v>
      </c>
    </row>
    <row r="48">
      <c r="A48" s="85">
        <v>45.0</v>
      </c>
      <c r="B48" s="112">
        <v>0.700888666041829</v>
      </c>
      <c r="C48" s="113" t="str">
        <f>ifs(B48&lt;='Range Tables'!$G$54,'Range Tables'!$B$54,B48&lt;='Range Tables'!$G$55,'Range Tables'!$B$55,B48&lt;='Range Tables'!$G$56,'Range Tables'!$B$56,B48&lt;='Range Tables'!$G$57,'Range Tables'!$B$57,B48&lt;='Range Tables'!$G$58,'Range Tables'!$B$58,B48&lt;='Range Tables'!$G$59,'Range Tables'!$B$59,B48&lt;='Range Tables'!$G$60,'Range Tables'!$B$60,B48&lt;='Range Tables'!$G$61,'Range Tables'!$B$61,B48&lt;='Range Tables'!$G$63,'Range Tables'!$B$63,B48&lt;='Range Tables'!$G$64,'Range Tables'!$B$64,B48&lt;='Range Tables'!$G$66,'Range Tables'!$B$66)</f>
        <v>60 - 90</v>
      </c>
      <c r="D48" s="113">
        <f>IFERROR(__xludf.DUMMYFUNCTION("SPLIT(C48,""-"")"),60.0)</f>
        <v>60</v>
      </c>
      <c r="E48" s="113">
        <f>IFERROR(__xludf.DUMMYFUNCTION("""COMPUTED_VALUE"""),90.0)</f>
        <v>90</v>
      </c>
      <c r="F48" s="114">
        <f t="shared" si="40"/>
        <v>81.02665998</v>
      </c>
      <c r="G48" s="112">
        <v>0.7396038082582803</v>
      </c>
      <c r="H48" s="113" t="str">
        <f>ifs(G48&lt;='Range Tables'!$G$86,'Range Tables'!$B$86,G48&lt;='Range Tables'!$G$87,'Range Tables'!$B$87,G48&lt;='Range Tables'!$G$88,'Range Tables'!$B$88,G48&lt;='Range Tables'!$G$89,'Range Tables'!$B$89,G48&lt;='Range Tables'!$G$90,'Range Tables'!$B$90,G48&lt;='Range Tables'!$G$91,'Range Tables'!$B$91)</f>
        <v>Bike</v>
      </c>
      <c r="I48" s="112">
        <v>0.937549757120651</v>
      </c>
      <c r="J48" s="113" t="str">
        <f>IFS(
  H48="Car", IF(I48&lt;='Range Tables'!$G$19, 'Range Tables'!$B$19, 'Range Tables'!$B$20), 
  H48="Bike", IF(I48&lt;='Range Tables'!$G$25, 'Range Tables'!$B$25, 'Range Tables'!$B$26), 
  H48="Scooter", IF(I48&lt;='Range Tables'!$G$31, 'Range Tables'!$B$31, 'Range Tables'!$B$32), 
  H48="Auto", IF(I48&lt;='Range Tables'!$G$37, 'Range Tables'!$B$37, 'Range Tables'!$B$38), 
  H48="Carriers*", IF(I48&lt;='Range Tables'!$G$43, 'Range Tables'!$B$43, 'Range Tables'!$B$44), 
  H48="Van*", IF(I48&lt;='Range Tables'!$G$50, 'Range Tables'!$B$50, 'Range Tables'!$B$49)
)</f>
        <v>Petrol</v>
      </c>
      <c r="K48" s="112">
        <v>0.8138387034368231</v>
      </c>
      <c r="L48" s="113">
        <f>if(J48="Petrol",ifs(K48&lt;='Range Tables'!$G$5,'Range Tables'!$B$5,K48&lt;='Range Tables'!$G$6,'Range Tables'!$B$6,K48&lt;='Range Tables'!$G$7,'Range Tables'!$B$7),ifs(K48&lt;='Range Tables'!$G$13,'Range Tables'!$B$13,K48&lt;='Range Tables'!$G$14,'Range Tables'!$B$14))</f>
        <v>3</v>
      </c>
      <c r="M48" s="112">
        <v>0.5788156803394545</v>
      </c>
      <c r="N48" s="113" t="str">
        <f>ifs(H48="Car",ifs(M48&lt;='Range Tables'!$G$125,'Range Tables'!$B$125,M48&lt;='Range Tables'!$G$126,'Range Tables'!$B$126,M48&lt;='Range Tables'!$G$127,'Range Tables'!$B$127,M48&lt;='Range Tables'!$G$128,'Range Tables'!$B$128,M48&lt;='Range Tables'!$G$129,'Range Tables'!$B$129,'Range Tables'!$G$131,'Range Tables'!$B$131),H48="Bike",ifs(M48&lt;='Range Tables'!$G$136,'Range Tables'!$B$136,M48&lt;='Range Tables'!$G$137,'Range Tables'!$B$137,M48&lt;='Range Tables'!$G$138,'Range Tables'!$B$138,M48&lt;='Range Tables'!$G$142,'Range Tables'!$B$142),H48="Scooter",ifs(M48&lt;='Range Tables'!$G$148,'Range Tables'!$B$148,M48&lt;='Range Tables'!$G$149,'Range Tables'!$B$149,M48&lt;='Range Tables'!$G$150,'Range Tables'!$B$150,M48&lt;='Range Tables'!$G$151,'Range Tables'!$B$151),H48="Auto",ifs(M48&lt;='Range Tables'!$G$161,'Range Tables'!$B$161,M48&lt;='Range Tables'!$G$162,'Range Tables'!$B$162,M48&lt;='Range Tables'!$G$163,'Range Tables'!$B$163,M48&lt;='Range Tables'!$G$164,'Range Tables'!$B$164),H48="Carriers*",ifs(M48&lt;='Range Tables'!$G$173,'Range Tables'!$B$173,M48&lt;='Range Tables'!$G$174,'Range Tables'!$B$174,M48&lt;='Range Tables'!$G$175,'Range Tables'!$B$175,M48&lt;='Range Tables'!$G$176,'Range Tables'!$B$176,M48&lt;='Range Tables'!$G$177,'Range Tables'!$B$177,M48&lt;='Range Tables'!$G$179,'Range Tables'!$B$179),H48="Van*",ifs(M48&lt;='Range Tables'!$G$186,'Range Tables'!$B$186))</f>
        <v>60 - 120</v>
      </c>
      <c r="O48" s="113">
        <f>IFERROR(__xludf.DUMMYFUNCTION("SPLIT(N48,""-"")"),60.0)</f>
        <v>60</v>
      </c>
      <c r="P48" s="113">
        <f>IFERROR(__xludf.DUMMYFUNCTION("""COMPUTED_VALUE"""),120.0)</f>
        <v>120</v>
      </c>
      <c r="Q48" s="114">
        <f t="shared" si="2"/>
        <v>94.72894082</v>
      </c>
      <c r="R48" s="115">
        <f t="shared" si="3"/>
        <v>0.03106397137</v>
      </c>
      <c r="S48" s="114">
        <f t="shared" si="39"/>
        <v>2683.927127</v>
      </c>
      <c r="T48" s="113" t="str">
        <f t="shared" si="4"/>
        <v>no</v>
      </c>
      <c r="U48" s="115">
        <f t="shared" si="5"/>
        <v>0</v>
      </c>
      <c r="V48" s="113">
        <f t="shared" si="34"/>
        <v>0</v>
      </c>
      <c r="W48" s="115">
        <f t="shared" si="6"/>
        <v>0</v>
      </c>
      <c r="X48" s="85">
        <f t="shared" si="7"/>
        <v>0</v>
      </c>
      <c r="Y48" s="116">
        <f t="shared" si="8"/>
        <v>0</v>
      </c>
      <c r="Z48" s="113">
        <f t="shared" si="9"/>
        <v>0</v>
      </c>
      <c r="AA48" s="113" t="str">
        <f t="shared" si="10"/>
        <v>no</v>
      </c>
      <c r="AB48" s="115">
        <f t="shared" si="11"/>
        <v>0</v>
      </c>
      <c r="AC48" s="113">
        <f t="shared" si="35"/>
        <v>0</v>
      </c>
      <c r="AD48" s="116">
        <f t="shared" si="12"/>
        <v>0</v>
      </c>
      <c r="AE48" s="113">
        <f t="shared" si="13"/>
        <v>0</v>
      </c>
      <c r="AF48" s="116">
        <f t="shared" si="14"/>
        <v>0</v>
      </c>
      <c r="AG48" s="113">
        <f t="shared" si="15"/>
        <v>0</v>
      </c>
      <c r="AH48" s="113" t="str">
        <f t="shared" si="16"/>
        <v>yes</v>
      </c>
      <c r="AI48" s="115">
        <f t="shared" si="17"/>
        <v>0</v>
      </c>
      <c r="AJ48" s="113">
        <f t="shared" si="36"/>
        <v>0</v>
      </c>
      <c r="AK48" s="116">
        <f t="shared" si="18"/>
        <v>0.03106397137</v>
      </c>
      <c r="AL48" s="114">
        <f t="shared" si="19"/>
        <v>2683.927127</v>
      </c>
      <c r="AM48" s="115">
        <f t="shared" si="20"/>
        <v>0.03216037115</v>
      </c>
      <c r="AN48" s="118">
        <f t="shared" si="21"/>
        <v>2778.656068</v>
      </c>
      <c r="AO48" s="113" t="str">
        <f t="shared" si="22"/>
        <v>no</v>
      </c>
      <c r="AP48" s="115">
        <f t="shared" si="23"/>
        <v>0</v>
      </c>
      <c r="AQ48" s="113">
        <f t="shared" si="37"/>
        <v>0</v>
      </c>
      <c r="AR48" s="116">
        <f t="shared" si="24"/>
        <v>0</v>
      </c>
      <c r="AS48" s="113">
        <f t="shared" si="25"/>
        <v>0</v>
      </c>
      <c r="AT48" s="116">
        <f t="shared" si="26"/>
        <v>0</v>
      </c>
      <c r="AU48" s="113">
        <f t="shared" si="27"/>
        <v>0</v>
      </c>
      <c r="AV48" s="113" t="str">
        <f t="shared" si="28"/>
        <v>no</v>
      </c>
      <c r="AW48" s="115">
        <f t="shared" si="29"/>
        <v>0</v>
      </c>
      <c r="AX48" s="85">
        <f t="shared" si="38"/>
        <v>0</v>
      </c>
      <c r="AY48" s="116">
        <f t="shared" si="30"/>
        <v>0</v>
      </c>
      <c r="AZ48" s="113">
        <f t="shared" si="31"/>
        <v>0</v>
      </c>
      <c r="BA48" s="116">
        <f t="shared" si="32"/>
        <v>0</v>
      </c>
      <c r="BB48" s="113">
        <f t="shared" si="33"/>
        <v>0</v>
      </c>
      <c r="BC48" s="112">
        <v>0.54496561004372</v>
      </c>
      <c r="BD48" s="113" t="str">
        <f>ifs(BC48&lt;='Range Tables'!$G$81,'Range Tables'!$B$81,BC48&lt;='Range Tables'!$G$82,'Range Tables'!$B$82)</f>
        <v>Offline*</v>
      </c>
      <c r="BE48" s="112">
        <v>0.7435328057139137</v>
      </c>
      <c r="BF48" s="112" t="str">
        <f>ifs(BE48&lt;='Range Tables'!$G$95,'Range Tables'!$B$95,BE48&lt;='Range Tables'!$G$96,'Range Tables'!$B$96,BE48&lt;='Range Tables'!$G$97,'Range Tables'!$B$97,BE48&lt;='Range Tables'!$G$98,'Range Tables'!$B$98,BE48&lt;='Range Tables'!$G$99,'Range Tables'!$B$99,BE48&lt;='Range Tables'!$G$100,'Range Tables'!$B$100,BE48&lt;='Range Tables'!$G$101,'Range Tables'!$B$101,BE48&lt;='Range Tables'!$G$102,'Range Tables'!$B$102,BE48&lt;='Range Tables'!$G$103,'Range Tables'!$B$103)</f>
        <v>Jammu</v>
      </c>
      <c r="BG48" s="112">
        <v>0.7316044706010459</v>
      </c>
      <c r="BH48" s="113" t="str">
        <f>ifs(BG48&lt;='Range Tables'!$G$112,'Range Tables'!$B$112,BG48&lt;='Range Tables'!$G$113,'Range Tables'!$B$113,BG48&lt;='Range Tables'!$G$114,'Range Tables'!$B$114)</f>
        <v>0</v>
      </c>
      <c r="BI48" s="117">
        <v>0.003807937297940489</v>
      </c>
      <c r="BJ48" s="113" t="str">
        <f>ifs(BI48&lt;='Range Tables'!$G$118,'Range Tables'!$B$118,BI48&lt;='Range Tables'!$G$119,'Range Tables'!$B$119)</f>
        <v>Valid</v>
      </c>
    </row>
    <row r="49">
      <c r="A49" s="85">
        <v>46.0</v>
      </c>
      <c r="B49" s="112">
        <v>0.9970132053573941</v>
      </c>
      <c r="C49" s="113" t="str">
        <f>ifs(B49&lt;='Range Tables'!$G$54,'Range Tables'!$B$54,B49&lt;='Range Tables'!$G$55,'Range Tables'!$B$55,B49&lt;='Range Tables'!$G$56,'Range Tables'!$B$56,B49&lt;='Range Tables'!$G$57,'Range Tables'!$B$57,B49&lt;='Range Tables'!$G$58,'Range Tables'!$B$58,B49&lt;='Range Tables'!$G$59,'Range Tables'!$B$59,B49&lt;='Range Tables'!$G$60,'Range Tables'!$B$60,B49&lt;='Range Tables'!$G$61,'Range Tables'!$B$61,B49&lt;='Range Tables'!$G$63,'Range Tables'!$B$63,B49&lt;='Range Tables'!$G$64,'Range Tables'!$B$64,B49&lt;='Range Tables'!$G$66,'Range Tables'!$B$66)</f>
        <v>360 - 390</v>
      </c>
      <c r="D49" s="113">
        <f>IFERROR(__xludf.DUMMYFUNCTION("SPLIT(C49,""-"")"),360.0)</f>
        <v>360</v>
      </c>
      <c r="E49" s="113">
        <f>IFERROR(__xludf.DUMMYFUNCTION("""COMPUTED_VALUE"""),390.0)</f>
        <v>390</v>
      </c>
      <c r="F49" s="114">
        <f t="shared" si="40"/>
        <v>389.9103962</v>
      </c>
      <c r="G49" s="112">
        <v>0.10876396854992121</v>
      </c>
      <c r="H49" s="113" t="str">
        <f>ifs(G49&lt;='Range Tables'!$G$86,'Range Tables'!$B$86,G49&lt;='Range Tables'!$G$87,'Range Tables'!$B$87,G49&lt;='Range Tables'!$G$88,'Range Tables'!$B$88,G49&lt;='Range Tables'!$G$89,'Range Tables'!$B$89,G49&lt;='Range Tables'!$G$90,'Range Tables'!$B$90,G49&lt;='Range Tables'!$G$91,'Range Tables'!$B$91)</f>
        <v>Car</v>
      </c>
      <c r="I49" s="112">
        <v>0.20671573587534886</v>
      </c>
      <c r="J49" s="113" t="str">
        <f>IFS(
  H49="Car", IF(I49&lt;='Range Tables'!$G$19, 'Range Tables'!$B$19, 'Range Tables'!$B$20), 
  H49="Bike", IF(I49&lt;='Range Tables'!$G$25, 'Range Tables'!$B$25, 'Range Tables'!$B$26), 
  H49="Scooter", IF(I49&lt;='Range Tables'!$G$31, 'Range Tables'!$B$31, 'Range Tables'!$B$32), 
  H49="Auto", IF(I49&lt;='Range Tables'!$G$37, 'Range Tables'!$B$37, 'Range Tables'!$B$38), 
  H49="Carriers*", IF(I49&lt;='Range Tables'!$G$43, 'Range Tables'!$B$43, 'Range Tables'!$B$44), 
  H49="Van*", IF(I49&lt;='Range Tables'!$G$50, 'Range Tables'!$B$50, 'Range Tables'!$B$49)
)</f>
        <v>Petrol</v>
      </c>
      <c r="K49" s="112">
        <v>0.3714083158187067</v>
      </c>
      <c r="L49" s="113">
        <f>if(J49="Petrol",ifs(K49&lt;='Range Tables'!$G$5,'Range Tables'!$B$5,K49&lt;='Range Tables'!$G$6,'Range Tables'!$B$6,K49&lt;='Range Tables'!$G$7,'Range Tables'!$B$7),ifs(K49&lt;='Range Tables'!$G$13,'Range Tables'!$B$13,K49&lt;='Range Tables'!$G$14,'Range Tables'!$B$14))</f>
        <v>2</v>
      </c>
      <c r="M49" s="112">
        <v>0.3561805226391145</v>
      </c>
      <c r="N49" s="113" t="str">
        <f>ifs(H49="Car",ifs(M49&lt;='Range Tables'!$G$125,'Range Tables'!$B$125,M49&lt;='Range Tables'!$G$126,'Range Tables'!$B$126,M49&lt;='Range Tables'!$G$127,'Range Tables'!$B$127,M49&lt;='Range Tables'!$G$128,'Range Tables'!$B$128,M49&lt;='Range Tables'!$G$129,'Range Tables'!$B$129,'Range Tables'!$G$131,'Range Tables'!$B$131),H49="Bike",ifs(M49&lt;='Range Tables'!$G$136,'Range Tables'!$B$136,M49&lt;='Range Tables'!$G$137,'Range Tables'!$B$137,M49&lt;='Range Tables'!$G$138,'Range Tables'!$B$138,M49&lt;='Range Tables'!$G$142,'Range Tables'!$B$142),H49="Scooter",ifs(M49&lt;='Range Tables'!$G$148,'Range Tables'!$B$148,M49&lt;='Range Tables'!$G$149,'Range Tables'!$B$149,M49&lt;='Range Tables'!$G$150,'Range Tables'!$B$150,M49&lt;='Range Tables'!$G$151,'Range Tables'!$B$151),H49="Auto",ifs(M49&lt;='Range Tables'!$G$161,'Range Tables'!$B$161,M49&lt;='Range Tables'!$G$162,'Range Tables'!$B$162,M49&lt;='Range Tables'!$G$163,'Range Tables'!$B$163,M49&lt;='Range Tables'!$G$164,'Range Tables'!$B$164),H49="Carriers*",ifs(M49&lt;='Range Tables'!$G$173,'Range Tables'!$B$173,M49&lt;='Range Tables'!$G$174,'Range Tables'!$B$174,M49&lt;='Range Tables'!$G$175,'Range Tables'!$B$175,M49&lt;='Range Tables'!$G$176,'Range Tables'!$B$176,M49&lt;='Range Tables'!$G$177,'Range Tables'!$B$177,M49&lt;='Range Tables'!$G$179,'Range Tables'!$B$179),H49="Van*",ifs(M49&lt;='Range Tables'!$G$186,'Range Tables'!$B$186))</f>
        <v>60 - 120</v>
      </c>
      <c r="O49" s="113">
        <f>IFERROR(__xludf.DUMMYFUNCTION("SPLIT(N49,""-"")"),60.0)</f>
        <v>60</v>
      </c>
      <c r="P49" s="113">
        <f>IFERROR(__xludf.DUMMYFUNCTION("""COMPUTED_VALUE"""),120.0)</f>
        <v>120</v>
      </c>
      <c r="Q49" s="114">
        <f t="shared" si="2"/>
        <v>81.37083136</v>
      </c>
      <c r="R49" s="115">
        <f t="shared" si="3"/>
        <v>0.03200177994</v>
      </c>
      <c r="S49" s="114">
        <f t="shared" si="39"/>
        <v>2764.953787</v>
      </c>
      <c r="T49" s="113" t="str">
        <f t="shared" si="4"/>
        <v>no</v>
      </c>
      <c r="U49" s="115">
        <f t="shared" si="5"/>
        <v>0</v>
      </c>
      <c r="V49" s="113">
        <f t="shared" si="34"/>
        <v>0</v>
      </c>
      <c r="W49" s="115">
        <f t="shared" si="6"/>
        <v>0</v>
      </c>
      <c r="X49" s="85">
        <f t="shared" si="7"/>
        <v>0</v>
      </c>
      <c r="Y49" s="116">
        <f t="shared" si="8"/>
        <v>0</v>
      </c>
      <c r="Z49" s="113">
        <f t="shared" si="9"/>
        <v>0</v>
      </c>
      <c r="AA49" s="113" t="str">
        <f t="shared" si="10"/>
        <v>yes</v>
      </c>
      <c r="AB49" s="115">
        <f t="shared" si="11"/>
        <v>0</v>
      </c>
      <c r="AC49" s="113">
        <f t="shared" si="35"/>
        <v>0</v>
      </c>
      <c r="AD49" s="116">
        <f t="shared" si="12"/>
        <v>0.03200177994</v>
      </c>
      <c r="AE49" s="114">
        <f t="shared" si="13"/>
        <v>2764.953787</v>
      </c>
      <c r="AF49" s="116">
        <f t="shared" si="14"/>
        <v>0.03294357197</v>
      </c>
      <c r="AG49" s="114">
        <f t="shared" si="15"/>
        <v>2846.324618</v>
      </c>
      <c r="AH49" s="113" t="str">
        <f t="shared" si="16"/>
        <v>no</v>
      </c>
      <c r="AI49" s="115">
        <f t="shared" si="17"/>
        <v>0</v>
      </c>
      <c r="AJ49" s="113">
        <f t="shared" si="36"/>
        <v>0</v>
      </c>
      <c r="AK49" s="116">
        <f t="shared" si="18"/>
        <v>0</v>
      </c>
      <c r="AL49" s="113">
        <f t="shared" si="19"/>
        <v>0</v>
      </c>
      <c r="AM49" s="115">
        <f t="shared" si="20"/>
        <v>0</v>
      </c>
      <c r="AN49" s="85">
        <f t="shared" si="21"/>
        <v>0</v>
      </c>
      <c r="AO49" s="113" t="str">
        <f t="shared" si="22"/>
        <v>no</v>
      </c>
      <c r="AP49" s="115">
        <f t="shared" si="23"/>
        <v>0</v>
      </c>
      <c r="AQ49" s="113">
        <f t="shared" si="37"/>
        <v>0</v>
      </c>
      <c r="AR49" s="116">
        <f t="shared" si="24"/>
        <v>0</v>
      </c>
      <c r="AS49" s="113">
        <f t="shared" si="25"/>
        <v>0</v>
      </c>
      <c r="AT49" s="116">
        <f t="shared" si="26"/>
        <v>0</v>
      </c>
      <c r="AU49" s="113">
        <f t="shared" si="27"/>
        <v>0</v>
      </c>
      <c r="AV49" s="113" t="str">
        <f t="shared" si="28"/>
        <v>no</v>
      </c>
      <c r="AW49" s="115">
        <f t="shared" si="29"/>
        <v>0</v>
      </c>
      <c r="AX49" s="85">
        <f t="shared" si="38"/>
        <v>0</v>
      </c>
      <c r="AY49" s="116">
        <f t="shared" si="30"/>
        <v>0</v>
      </c>
      <c r="AZ49" s="113">
        <f t="shared" si="31"/>
        <v>0</v>
      </c>
      <c r="BA49" s="116">
        <f t="shared" si="32"/>
        <v>0</v>
      </c>
      <c r="BB49" s="113">
        <f t="shared" si="33"/>
        <v>0</v>
      </c>
      <c r="BC49" s="112">
        <v>0.6243277557927102</v>
      </c>
      <c r="BD49" s="113" t="str">
        <f>ifs(BC49&lt;='Range Tables'!$G$81,'Range Tables'!$B$81,BC49&lt;='Range Tables'!$G$82,'Range Tables'!$B$82)</f>
        <v>Offline*</v>
      </c>
      <c r="BE49" s="112">
        <v>0.7624504225436022</v>
      </c>
      <c r="BF49" s="112" t="str">
        <f>ifs(BE49&lt;='Range Tables'!$G$95,'Range Tables'!$B$95,BE49&lt;='Range Tables'!$G$96,'Range Tables'!$B$96,BE49&lt;='Range Tables'!$G$97,'Range Tables'!$B$97,BE49&lt;='Range Tables'!$G$98,'Range Tables'!$B$98,BE49&lt;='Range Tables'!$G$99,'Range Tables'!$B$99,BE49&lt;='Range Tables'!$G$100,'Range Tables'!$B$100,BE49&lt;='Range Tables'!$G$101,'Range Tables'!$B$101,BE49&lt;='Range Tables'!$G$102,'Range Tables'!$B$102,BE49&lt;='Range Tables'!$G$103,'Range Tables'!$B$103)</f>
        <v>Other State Cities</v>
      </c>
      <c r="BG49" s="112">
        <v>0.13416339724158344</v>
      </c>
      <c r="BH49" s="113" t="str">
        <f>ifs(BG49&lt;='Range Tables'!$G$112,'Range Tables'!$B$112,BG49&lt;='Range Tables'!$G$113,'Range Tables'!$B$113,BG49&lt;='Range Tables'!$G$114,'Range Tables'!$B$114)</f>
        <v>0</v>
      </c>
      <c r="BI49" s="117">
        <v>0.29425015365105944</v>
      </c>
      <c r="BJ49" s="113" t="str">
        <f>ifs(BI49&lt;='Range Tables'!$G$118,'Range Tables'!$B$118,BI49&lt;='Range Tables'!$G$119,'Range Tables'!$B$119)</f>
        <v>Valid</v>
      </c>
    </row>
    <row r="50">
      <c r="A50" s="85">
        <v>47.0</v>
      </c>
      <c r="B50" s="112">
        <v>0.9084981810638951</v>
      </c>
      <c r="C50" s="113" t="str">
        <f>ifs(B50&lt;='Range Tables'!$G$54,'Range Tables'!$B$54,B50&lt;='Range Tables'!$G$55,'Range Tables'!$B$55,B50&lt;='Range Tables'!$G$56,'Range Tables'!$B$56,B50&lt;='Range Tables'!$G$57,'Range Tables'!$B$57,B50&lt;='Range Tables'!$G$58,'Range Tables'!$B$58,B50&lt;='Range Tables'!$G$59,'Range Tables'!$B$59,B50&lt;='Range Tables'!$G$60,'Range Tables'!$B$60,B50&lt;='Range Tables'!$G$61,'Range Tables'!$B$61,B50&lt;='Range Tables'!$G$63,'Range Tables'!$B$63,B50&lt;='Range Tables'!$G$64,'Range Tables'!$B$64,B50&lt;='Range Tables'!$G$66,'Range Tables'!$B$66)</f>
        <v>210 - 240</v>
      </c>
      <c r="D50" s="113">
        <f>IFERROR(__xludf.DUMMYFUNCTION("SPLIT(C50,""-"")"),210.0)</f>
        <v>210</v>
      </c>
      <c r="E50" s="113">
        <f>IFERROR(__xludf.DUMMYFUNCTION("""COMPUTED_VALUE"""),240.0)</f>
        <v>240</v>
      </c>
      <c r="F50" s="114">
        <f t="shared" si="40"/>
        <v>237.2549454</v>
      </c>
      <c r="G50" s="112">
        <v>0.3634681284546937</v>
      </c>
      <c r="H50" s="113" t="str">
        <f>ifs(G50&lt;='Range Tables'!$G$86,'Range Tables'!$B$86,G50&lt;='Range Tables'!$G$87,'Range Tables'!$B$87,G50&lt;='Range Tables'!$G$88,'Range Tables'!$B$88,G50&lt;='Range Tables'!$G$89,'Range Tables'!$B$89,G50&lt;='Range Tables'!$G$90,'Range Tables'!$B$90,G50&lt;='Range Tables'!$G$91,'Range Tables'!$B$91)</f>
        <v>Car</v>
      </c>
      <c r="I50" s="112">
        <v>0.9410076861208322</v>
      </c>
      <c r="J50" s="113" t="str">
        <f>IFS(
  H50="Car", IF(I50&lt;='Range Tables'!$G$19, 'Range Tables'!$B$19, 'Range Tables'!$B$20), 
  H50="Bike", IF(I50&lt;='Range Tables'!$G$25, 'Range Tables'!$B$25, 'Range Tables'!$B$26), 
  H50="Scooter", IF(I50&lt;='Range Tables'!$G$31, 'Range Tables'!$B$31, 'Range Tables'!$B$32), 
  H50="Auto", IF(I50&lt;='Range Tables'!$G$37, 'Range Tables'!$B$37, 'Range Tables'!$B$38), 
  H50="Carriers*", IF(I50&lt;='Range Tables'!$G$43, 'Range Tables'!$B$43, 'Range Tables'!$B$44), 
  H50="Van*", IF(I50&lt;='Range Tables'!$G$50, 'Range Tables'!$B$50, 'Range Tables'!$B$49)
)</f>
        <v>Diesel</v>
      </c>
      <c r="K50" s="112">
        <v>0.6924494210740133</v>
      </c>
      <c r="L50" s="113">
        <f>if(J50="Petrol",ifs(K50&lt;='Range Tables'!$G$5,'Range Tables'!$B$5,K50&lt;='Range Tables'!$G$6,'Range Tables'!$B$6,K50&lt;='Range Tables'!$G$7,'Range Tables'!$B$7),ifs(K50&lt;='Range Tables'!$G$13,'Range Tables'!$B$13,K50&lt;='Range Tables'!$G$14,'Range Tables'!$B$14))</f>
        <v>1</v>
      </c>
      <c r="M50" s="112">
        <v>0.5537355875747612</v>
      </c>
      <c r="N50" s="113" t="str">
        <f>ifs(H50="Car",ifs(M50&lt;='Range Tables'!$G$125,'Range Tables'!$B$125,M50&lt;='Range Tables'!$G$126,'Range Tables'!$B$126,M50&lt;='Range Tables'!$G$127,'Range Tables'!$B$127,M50&lt;='Range Tables'!$G$128,'Range Tables'!$B$128,M50&lt;='Range Tables'!$G$129,'Range Tables'!$B$129,'Range Tables'!$G$131,'Range Tables'!$B$131),H50="Bike",ifs(M50&lt;='Range Tables'!$G$136,'Range Tables'!$B$136,M50&lt;='Range Tables'!$G$137,'Range Tables'!$B$137,M50&lt;='Range Tables'!$G$138,'Range Tables'!$B$138,M50&lt;='Range Tables'!$G$142,'Range Tables'!$B$142),H50="Scooter",ifs(M50&lt;='Range Tables'!$G$148,'Range Tables'!$B$148,M50&lt;='Range Tables'!$G$149,'Range Tables'!$B$149,M50&lt;='Range Tables'!$G$150,'Range Tables'!$B$150,M50&lt;='Range Tables'!$G$151,'Range Tables'!$B$151),H50="Auto",ifs(M50&lt;='Range Tables'!$G$161,'Range Tables'!$B$161,M50&lt;='Range Tables'!$G$162,'Range Tables'!$B$162,M50&lt;='Range Tables'!$G$163,'Range Tables'!$B$163,M50&lt;='Range Tables'!$G$164,'Range Tables'!$B$164),H50="Carriers*",ifs(M50&lt;='Range Tables'!$G$173,'Range Tables'!$B$173,M50&lt;='Range Tables'!$G$174,'Range Tables'!$B$174,M50&lt;='Range Tables'!$G$175,'Range Tables'!$B$175,M50&lt;='Range Tables'!$G$176,'Range Tables'!$B$176,M50&lt;='Range Tables'!$G$177,'Range Tables'!$B$177,M50&lt;='Range Tables'!$G$179,'Range Tables'!$B$179),H50="Van*",ifs(M50&lt;='Range Tables'!$G$186,'Range Tables'!$B$186))</f>
        <v>120 - 180</v>
      </c>
      <c r="O50" s="113">
        <f>IFERROR(__xludf.DUMMYFUNCTION("SPLIT(N50,""-"")"),120.0)</f>
        <v>120</v>
      </c>
      <c r="P50" s="113">
        <f>IFERROR(__xludf.DUMMYFUNCTION("""COMPUTED_VALUE"""),180.0)</f>
        <v>180</v>
      </c>
      <c r="Q50" s="114">
        <f t="shared" si="2"/>
        <v>153.2241353</v>
      </c>
      <c r="R50" s="115">
        <f t="shared" si="3"/>
        <v>0.03651463175</v>
      </c>
      <c r="S50" s="114">
        <f t="shared" si="39"/>
        <v>3154.864183</v>
      </c>
      <c r="T50" s="113" t="str">
        <f t="shared" si="4"/>
        <v>yes</v>
      </c>
      <c r="U50" s="115">
        <f t="shared" si="5"/>
        <v>0</v>
      </c>
      <c r="V50" s="113">
        <f t="shared" si="34"/>
        <v>0</v>
      </c>
      <c r="W50" s="115">
        <f t="shared" si="6"/>
        <v>0.03651463175</v>
      </c>
      <c r="X50" s="118">
        <f t="shared" si="7"/>
        <v>3154.864183</v>
      </c>
      <c r="Y50" s="116">
        <f t="shared" si="8"/>
        <v>0.03828805924</v>
      </c>
      <c r="Z50" s="114">
        <f t="shared" si="9"/>
        <v>3308.088318</v>
      </c>
      <c r="AA50" s="113" t="str">
        <f t="shared" si="10"/>
        <v>no</v>
      </c>
      <c r="AB50" s="115">
        <f t="shared" si="11"/>
        <v>0</v>
      </c>
      <c r="AC50" s="113">
        <f t="shared" si="35"/>
        <v>0</v>
      </c>
      <c r="AD50" s="116">
        <f t="shared" si="12"/>
        <v>0</v>
      </c>
      <c r="AE50" s="113">
        <f t="shared" si="13"/>
        <v>0</v>
      </c>
      <c r="AF50" s="116">
        <f t="shared" si="14"/>
        <v>0</v>
      </c>
      <c r="AG50" s="113">
        <f t="shared" si="15"/>
        <v>0</v>
      </c>
      <c r="AH50" s="113" t="str">
        <f t="shared" si="16"/>
        <v>no</v>
      </c>
      <c r="AI50" s="115">
        <f t="shared" si="17"/>
        <v>0</v>
      </c>
      <c r="AJ50" s="113">
        <f t="shared" si="36"/>
        <v>0</v>
      </c>
      <c r="AK50" s="116">
        <f t="shared" si="18"/>
        <v>0</v>
      </c>
      <c r="AL50" s="113">
        <f t="shared" si="19"/>
        <v>0</v>
      </c>
      <c r="AM50" s="115">
        <f t="shared" si="20"/>
        <v>0</v>
      </c>
      <c r="AN50" s="85">
        <f t="shared" si="21"/>
        <v>0</v>
      </c>
      <c r="AO50" s="113" t="str">
        <f t="shared" si="22"/>
        <v>no</v>
      </c>
      <c r="AP50" s="115">
        <f t="shared" si="23"/>
        <v>0</v>
      </c>
      <c r="AQ50" s="113">
        <f t="shared" si="37"/>
        <v>0</v>
      </c>
      <c r="AR50" s="116">
        <f t="shared" si="24"/>
        <v>0</v>
      </c>
      <c r="AS50" s="113">
        <f t="shared" si="25"/>
        <v>0</v>
      </c>
      <c r="AT50" s="116">
        <f t="shared" si="26"/>
        <v>0</v>
      </c>
      <c r="AU50" s="113">
        <f t="shared" si="27"/>
        <v>0</v>
      </c>
      <c r="AV50" s="113" t="str">
        <f t="shared" si="28"/>
        <v>no</v>
      </c>
      <c r="AW50" s="115">
        <f t="shared" si="29"/>
        <v>0</v>
      </c>
      <c r="AX50" s="85">
        <f t="shared" si="38"/>
        <v>0</v>
      </c>
      <c r="AY50" s="116">
        <f t="shared" si="30"/>
        <v>0</v>
      </c>
      <c r="AZ50" s="113">
        <f t="shared" si="31"/>
        <v>0</v>
      </c>
      <c r="BA50" s="116">
        <f t="shared" si="32"/>
        <v>0</v>
      </c>
      <c r="BB50" s="113">
        <f t="shared" si="33"/>
        <v>0</v>
      </c>
      <c r="BC50" s="112">
        <v>0.9708641462810629</v>
      </c>
      <c r="BD50" s="113" t="str">
        <f>ifs(BC50&lt;='Range Tables'!$G$81,'Range Tables'!$B$81,BC50&lt;='Range Tables'!$G$82,'Range Tables'!$B$82)</f>
        <v>Offline*</v>
      </c>
      <c r="BE50" s="112">
        <v>0.3957443054402562</v>
      </c>
      <c r="BF50" s="112" t="str">
        <f>ifs(BE50&lt;='Range Tables'!$G$95,'Range Tables'!$B$95,BE50&lt;='Range Tables'!$G$96,'Range Tables'!$B$96,BE50&lt;='Range Tables'!$G$97,'Range Tables'!$B$97,BE50&lt;='Range Tables'!$G$98,'Range Tables'!$B$98,BE50&lt;='Range Tables'!$G$99,'Range Tables'!$B$99,BE50&lt;='Range Tables'!$G$100,'Range Tables'!$B$100,BE50&lt;='Range Tables'!$G$101,'Range Tables'!$B$101,BE50&lt;='Range Tables'!$G$102,'Range Tables'!$B$102,BE50&lt;='Range Tables'!$G$103,'Range Tables'!$B$103)</f>
        <v>Jammu</v>
      </c>
      <c r="BG50" s="112">
        <v>0.1706937268101304</v>
      </c>
      <c r="BH50" s="113" t="str">
        <f>ifs(BG50&lt;='Range Tables'!$G$112,'Range Tables'!$B$112,BG50&lt;='Range Tables'!$G$113,'Range Tables'!$B$113,BG50&lt;='Range Tables'!$G$114,'Range Tables'!$B$114)</f>
        <v>0</v>
      </c>
      <c r="BI50" s="117">
        <v>0.7157229248650497</v>
      </c>
      <c r="BJ50" s="113" t="str">
        <f>ifs(BI50&lt;='Range Tables'!$G$118,'Range Tables'!$B$118,BI50&lt;='Range Tables'!$G$119,'Range Tables'!$B$119)</f>
        <v>Expired</v>
      </c>
    </row>
    <row r="51">
      <c r="A51" s="85">
        <v>48.0</v>
      </c>
      <c r="B51" s="112">
        <v>0.6713570285987752</v>
      </c>
      <c r="C51" s="113" t="str">
        <f>ifs(B51&lt;='Range Tables'!$G$54,'Range Tables'!$B$54,B51&lt;='Range Tables'!$G$55,'Range Tables'!$B$55,B51&lt;='Range Tables'!$G$56,'Range Tables'!$B$56,B51&lt;='Range Tables'!$G$57,'Range Tables'!$B$57,B51&lt;='Range Tables'!$G$58,'Range Tables'!$B$58,B51&lt;='Range Tables'!$G$59,'Range Tables'!$B$59,B51&lt;='Range Tables'!$G$60,'Range Tables'!$B$60,B51&lt;='Range Tables'!$G$61,'Range Tables'!$B$61,B51&lt;='Range Tables'!$G$63,'Range Tables'!$B$63,B51&lt;='Range Tables'!$G$64,'Range Tables'!$B$64,B51&lt;='Range Tables'!$G$66,'Range Tables'!$B$66)</f>
        <v>60 - 90</v>
      </c>
      <c r="D51" s="113">
        <f>IFERROR(__xludf.DUMMYFUNCTION("SPLIT(C51,""-"")"),60.0)</f>
        <v>60</v>
      </c>
      <c r="E51" s="113">
        <f>IFERROR(__xludf.DUMMYFUNCTION("""COMPUTED_VALUE"""),90.0)</f>
        <v>90</v>
      </c>
      <c r="F51" s="114">
        <f t="shared" si="40"/>
        <v>80.14071086</v>
      </c>
      <c r="G51" s="112">
        <v>0.8515834498478118</v>
      </c>
      <c r="H51" s="113" t="str">
        <f>ifs(G51&lt;='Range Tables'!$G$86,'Range Tables'!$B$86,G51&lt;='Range Tables'!$G$87,'Range Tables'!$B$87,G51&lt;='Range Tables'!$G$88,'Range Tables'!$B$88,G51&lt;='Range Tables'!$G$89,'Range Tables'!$B$89,G51&lt;='Range Tables'!$G$90,'Range Tables'!$B$90,G51&lt;='Range Tables'!$G$91,'Range Tables'!$B$91)</f>
        <v>Auto</v>
      </c>
      <c r="I51" s="112">
        <v>0.6826285852529225</v>
      </c>
      <c r="J51" s="113" t="str">
        <f>IFS(
  H51="Car", IF(I51&lt;='Range Tables'!$G$19, 'Range Tables'!$B$19, 'Range Tables'!$B$20), 
  H51="Bike", IF(I51&lt;='Range Tables'!$G$25, 'Range Tables'!$B$25, 'Range Tables'!$B$26), 
  H51="Scooter", IF(I51&lt;='Range Tables'!$G$31, 'Range Tables'!$B$31, 'Range Tables'!$B$32), 
  H51="Auto", IF(I51&lt;='Range Tables'!$G$37, 'Range Tables'!$B$37, 'Range Tables'!$B$38), 
  H51="Carriers*", IF(I51&lt;='Range Tables'!$G$43, 'Range Tables'!$B$43, 'Range Tables'!$B$44), 
  H51="Van*", IF(I51&lt;='Range Tables'!$G$50, 'Range Tables'!$B$50, 'Range Tables'!$B$49)
)</f>
        <v>Diesel</v>
      </c>
      <c r="K51" s="112">
        <v>0.46741706289960205</v>
      </c>
      <c r="L51" s="113">
        <f>if(J51="Petrol",ifs(K51&lt;='Range Tables'!$G$5,'Range Tables'!$B$5,K51&lt;='Range Tables'!$G$6,'Range Tables'!$B$6,K51&lt;='Range Tables'!$G$7,'Range Tables'!$B$7),ifs(K51&lt;='Range Tables'!$G$13,'Range Tables'!$B$13,K51&lt;='Range Tables'!$G$14,'Range Tables'!$B$14))</f>
        <v>1</v>
      </c>
      <c r="M51" s="112">
        <v>0.02724474430420354</v>
      </c>
      <c r="N51" s="113" t="str">
        <f>ifs(H51="Car",ifs(M51&lt;='Range Tables'!$G$125,'Range Tables'!$B$125,M51&lt;='Range Tables'!$G$126,'Range Tables'!$B$126,M51&lt;='Range Tables'!$G$127,'Range Tables'!$B$127,M51&lt;='Range Tables'!$G$128,'Range Tables'!$B$128,M51&lt;='Range Tables'!$G$129,'Range Tables'!$B$129,'Range Tables'!$G$131,'Range Tables'!$B$131),H51="Bike",ifs(M51&lt;='Range Tables'!$G$136,'Range Tables'!$B$136,M51&lt;='Range Tables'!$G$137,'Range Tables'!$B$137,M51&lt;='Range Tables'!$G$138,'Range Tables'!$B$138,M51&lt;='Range Tables'!$G$142,'Range Tables'!$B$142),H51="Scooter",ifs(M51&lt;='Range Tables'!$G$148,'Range Tables'!$B$148,M51&lt;='Range Tables'!$G$149,'Range Tables'!$B$149,M51&lt;='Range Tables'!$G$150,'Range Tables'!$B$150,M51&lt;='Range Tables'!$G$151,'Range Tables'!$B$151),H51="Auto",ifs(M51&lt;='Range Tables'!$G$161,'Range Tables'!$B$161,M51&lt;='Range Tables'!$G$162,'Range Tables'!$B$162,M51&lt;='Range Tables'!$G$163,'Range Tables'!$B$163,M51&lt;='Range Tables'!$G$164,'Range Tables'!$B$164),H51="Carriers*",ifs(M51&lt;='Range Tables'!$G$173,'Range Tables'!$B$173,M51&lt;='Range Tables'!$G$174,'Range Tables'!$B$174,M51&lt;='Range Tables'!$G$175,'Range Tables'!$B$175,M51&lt;='Range Tables'!$G$176,'Range Tables'!$B$176,M51&lt;='Range Tables'!$G$177,'Range Tables'!$B$177,M51&lt;='Range Tables'!$G$179,'Range Tables'!$B$179),H51="Van*",ifs(M51&lt;='Range Tables'!$G$186,'Range Tables'!$B$186))</f>
        <v>60 - 120</v>
      </c>
      <c r="O51" s="113">
        <f>IFERROR(__xludf.DUMMYFUNCTION("SPLIT(N51,""-"")"),60.0)</f>
        <v>60</v>
      </c>
      <c r="P51" s="113">
        <f>IFERROR(__xludf.DUMMYFUNCTION("""COMPUTED_VALUE"""),120.0)</f>
        <v>120</v>
      </c>
      <c r="Q51" s="114">
        <f t="shared" si="2"/>
        <v>61.63468466</v>
      </c>
      <c r="R51" s="115">
        <f t="shared" si="3"/>
        <v>0.03926063806</v>
      </c>
      <c r="S51" s="114">
        <f t="shared" si="39"/>
        <v>3392.119128</v>
      </c>
      <c r="T51" s="113" t="str">
        <f t="shared" si="4"/>
        <v>yes</v>
      </c>
      <c r="U51" s="115">
        <f t="shared" si="5"/>
        <v>0</v>
      </c>
      <c r="V51" s="113">
        <f t="shared" si="34"/>
        <v>0</v>
      </c>
      <c r="W51" s="115">
        <f t="shared" si="6"/>
        <v>0.03926063806</v>
      </c>
      <c r="X51" s="118">
        <f t="shared" si="7"/>
        <v>3392.119128</v>
      </c>
      <c r="Y51" s="116">
        <f t="shared" si="8"/>
        <v>0.03997400246</v>
      </c>
      <c r="Z51" s="114">
        <f t="shared" si="9"/>
        <v>3453.753813</v>
      </c>
      <c r="AA51" s="113" t="str">
        <f t="shared" si="10"/>
        <v>no</v>
      </c>
      <c r="AB51" s="115">
        <f t="shared" si="11"/>
        <v>0</v>
      </c>
      <c r="AC51" s="113">
        <f t="shared" si="35"/>
        <v>0</v>
      </c>
      <c r="AD51" s="116">
        <f t="shared" si="12"/>
        <v>0</v>
      </c>
      <c r="AE51" s="113">
        <f t="shared" si="13"/>
        <v>0</v>
      </c>
      <c r="AF51" s="116">
        <f t="shared" si="14"/>
        <v>0</v>
      </c>
      <c r="AG51" s="113">
        <f t="shared" si="15"/>
        <v>0</v>
      </c>
      <c r="AH51" s="113" t="str">
        <f t="shared" si="16"/>
        <v>no</v>
      </c>
      <c r="AI51" s="115">
        <f t="shared" si="17"/>
        <v>0</v>
      </c>
      <c r="AJ51" s="113">
        <f t="shared" si="36"/>
        <v>0</v>
      </c>
      <c r="AK51" s="116">
        <f t="shared" si="18"/>
        <v>0</v>
      </c>
      <c r="AL51" s="113">
        <f t="shared" si="19"/>
        <v>0</v>
      </c>
      <c r="AM51" s="115">
        <f t="shared" si="20"/>
        <v>0</v>
      </c>
      <c r="AN51" s="85">
        <f t="shared" si="21"/>
        <v>0</v>
      </c>
      <c r="AO51" s="113" t="str">
        <f t="shared" si="22"/>
        <v>no</v>
      </c>
      <c r="AP51" s="115">
        <f t="shared" si="23"/>
        <v>0</v>
      </c>
      <c r="AQ51" s="113">
        <f t="shared" si="37"/>
        <v>0</v>
      </c>
      <c r="AR51" s="116">
        <f t="shared" si="24"/>
        <v>0</v>
      </c>
      <c r="AS51" s="113">
        <f t="shared" si="25"/>
        <v>0</v>
      </c>
      <c r="AT51" s="116">
        <f t="shared" si="26"/>
        <v>0</v>
      </c>
      <c r="AU51" s="113">
        <f t="shared" si="27"/>
        <v>0</v>
      </c>
      <c r="AV51" s="113" t="str">
        <f t="shared" si="28"/>
        <v>no</v>
      </c>
      <c r="AW51" s="115">
        <f t="shared" si="29"/>
        <v>0</v>
      </c>
      <c r="AX51" s="85">
        <f t="shared" si="38"/>
        <v>0</v>
      </c>
      <c r="AY51" s="116">
        <f t="shared" si="30"/>
        <v>0</v>
      </c>
      <c r="AZ51" s="113">
        <f t="shared" si="31"/>
        <v>0</v>
      </c>
      <c r="BA51" s="116">
        <f t="shared" si="32"/>
        <v>0</v>
      </c>
      <c r="BB51" s="113">
        <f t="shared" si="33"/>
        <v>0</v>
      </c>
      <c r="BC51" s="112">
        <v>0.9887463474799362</v>
      </c>
      <c r="BD51" s="113" t="str">
        <f>ifs(BC51&lt;='Range Tables'!$G$81,'Range Tables'!$B$81,BC51&lt;='Range Tables'!$G$82,'Range Tables'!$B$82)</f>
        <v>Offline*</v>
      </c>
      <c r="BE51" s="112">
        <v>0.6552582165508017</v>
      </c>
      <c r="BF51" s="112" t="str">
        <f>ifs(BE51&lt;='Range Tables'!$G$95,'Range Tables'!$B$95,BE51&lt;='Range Tables'!$G$96,'Range Tables'!$B$96,BE51&lt;='Range Tables'!$G$97,'Range Tables'!$B$97,BE51&lt;='Range Tables'!$G$98,'Range Tables'!$B$98,BE51&lt;='Range Tables'!$G$99,'Range Tables'!$B$99,BE51&lt;='Range Tables'!$G$100,'Range Tables'!$B$100,BE51&lt;='Range Tables'!$G$101,'Range Tables'!$B$101,BE51&lt;='Range Tables'!$G$102,'Range Tables'!$B$102,BE51&lt;='Range Tables'!$G$103,'Range Tables'!$B$103)</f>
        <v>Jammu</v>
      </c>
      <c r="BG51" s="112">
        <v>0.07482893609562813</v>
      </c>
      <c r="BH51" s="113" t="str">
        <f>ifs(BG51&lt;='Range Tables'!$G$112,'Range Tables'!$B$112,BG51&lt;='Range Tables'!$G$113,'Range Tables'!$B$113,BG51&lt;='Range Tables'!$G$114,'Range Tables'!$B$114)</f>
        <v>0</v>
      </c>
      <c r="BI51" s="117">
        <v>0.3745670405839584</v>
      </c>
      <c r="BJ51" s="113" t="str">
        <f>ifs(BI51&lt;='Range Tables'!$G$118,'Range Tables'!$B$118,BI51&lt;='Range Tables'!$G$119,'Range Tables'!$B$119)</f>
        <v>Valid</v>
      </c>
    </row>
    <row r="52">
      <c r="A52" s="85">
        <v>49.0</v>
      </c>
      <c r="B52" s="112">
        <v>0.31821606964059157</v>
      </c>
      <c r="C52" s="113" t="str">
        <f>ifs(B52&lt;='Range Tables'!$G$54,'Range Tables'!$B$54,B52&lt;='Range Tables'!$G$55,'Range Tables'!$B$55,B52&lt;='Range Tables'!$G$56,'Range Tables'!$B$56,B52&lt;='Range Tables'!$G$57,'Range Tables'!$B$57,B52&lt;='Range Tables'!$G$58,'Range Tables'!$B$58,B52&lt;='Range Tables'!$G$59,'Range Tables'!$B$59,B52&lt;='Range Tables'!$G$60,'Range Tables'!$B$60,B52&lt;='Range Tables'!$G$61,'Range Tables'!$B$61,B52&lt;='Range Tables'!$G$63,'Range Tables'!$B$63,B52&lt;='Range Tables'!$G$64,'Range Tables'!$B$64,B52&lt;='Range Tables'!$G$66,'Range Tables'!$B$66)</f>
        <v>30 - 60 </v>
      </c>
      <c r="D52" s="113">
        <f>IFERROR(__xludf.DUMMYFUNCTION("SPLIT(C52,""-"")"),30.0)</f>
        <v>30</v>
      </c>
      <c r="E52" s="113">
        <f>IFERROR(__xludf.DUMMYFUNCTION("""COMPUTED_VALUE"""),60.0)</f>
        <v>60</v>
      </c>
      <c r="F52" s="114">
        <f t="shared" si="40"/>
        <v>39.54648209</v>
      </c>
      <c r="G52" s="112">
        <v>0.8772129106587878</v>
      </c>
      <c r="H52" s="113" t="str">
        <f>ifs(G52&lt;='Range Tables'!$G$86,'Range Tables'!$B$86,G52&lt;='Range Tables'!$G$87,'Range Tables'!$B$87,G52&lt;='Range Tables'!$G$88,'Range Tables'!$B$88,G52&lt;='Range Tables'!$G$89,'Range Tables'!$B$89,G52&lt;='Range Tables'!$G$90,'Range Tables'!$B$90,G52&lt;='Range Tables'!$G$91,'Range Tables'!$B$91)</f>
        <v>Auto</v>
      </c>
      <c r="I52" s="112">
        <v>0.6346755551056467</v>
      </c>
      <c r="J52" s="113" t="str">
        <f>IFS(
  H52="Car", IF(I52&lt;='Range Tables'!$G$19, 'Range Tables'!$B$19, 'Range Tables'!$B$20), 
  H52="Bike", IF(I52&lt;='Range Tables'!$G$25, 'Range Tables'!$B$25, 'Range Tables'!$B$26), 
  H52="Scooter", IF(I52&lt;='Range Tables'!$G$31, 'Range Tables'!$B$31, 'Range Tables'!$B$32), 
  H52="Auto", IF(I52&lt;='Range Tables'!$G$37, 'Range Tables'!$B$37, 'Range Tables'!$B$38), 
  H52="Carriers*", IF(I52&lt;='Range Tables'!$G$43, 'Range Tables'!$B$43, 'Range Tables'!$B$44), 
  H52="Van*", IF(I52&lt;='Range Tables'!$G$50, 'Range Tables'!$B$50, 'Range Tables'!$B$49)
)</f>
        <v>Diesel</v>
      </c>
      <c r="K52" s="112">
        <v>0.6597750304993525</v>
      </c>
      <c r="L52" s="113">
        <f>if(J52="Petrol",ifs(K52&lt;='Range Tables'!$G$5,'Range Tables'!$B$5,K52&lt;='Range Tables'!$G$6,'Range Tables'!$B$6,K52&lt;='Range Tables'!$G$7,'Range Tables'!$B$7),ifs(K52&lt;='Range Tables'!$G$13,'Range Tables'!$B$13,K52&lt;='Range Tables'!$G$14,'Range Tables'!$B$14))</f>
        <v>1</v>
      </c>
      <c r="M52" s="112">
        <v>0.0882789008485646</v>
      </c>
      <c r="N52" s="113" t="str">
        <f>ifs(H52="Car",ifs(M52&lt;='Range Tables'!$G$125,'Range Tables'!$B$125,M52&lt;='Range Tables'!$G$126,'Range Tables'!$B$126,M52&lt;='Range Tables'!$G$127,'Range Tables'!$B$127,M52&lt;='Range Tables'!$G$128,'Range Tables'!$B$128,M52&lt;='Range Tables'!$G$129,'Range Tables'!$B$129,'Range Tables'!$G$131,'Range Tables'!$B$131),H52="Bike",ifs(M52&lt;='Range Tables'!$G$136,'Range Tables'!$B$136,M52&lt;='Range Tables'!$G$137,'Range Tables'!$B$137,M52&lt;='Range Tables'!$G$138,'Range Tables'!$B$138,M52&lt;='Range Tables'!$G$142,'Range Tables'!$B$142),H52="Scooter",ifs(M52&lt;='Range Tables'!$G$148,'Range Tables'!$B$148,M52&lt;='Range Tables'!$G$149,'Range Tables'!$B$149,M52&lt;='Range Tables'!$G$150,'Range Tables'!$B$150,M52&lt;='Range Tables'!$G$151,'Range Tables'!$B$151),H52="Auto",ifs(M52&lt;='Range Tables'!$G$161,'Range Tables'!$B$161,M52&lt;='Range Tables'!$G$162,'Range Tables'!$B$162,M52&lt;='Range Tables'!$G$163,'Range Tables'!$B$163,M52&lt;='Range Tables'!$G$164,'Range Tables'!$B$164),H52="Carriers*",ifs(M52&lt;='Range Tables'!$G$173,'Range Tables'!$B$173,M52&lt;='Range Tables'!$G$174,'Range Tables'!$B$174,M52&lt;='Range Tables'!$G$175,'Range Tables'!$B$175,M52&lt;='Range Tables'!$G$176,'Range Tables'!$B$176,M52&lt;='Range Tables'!$G$177,'Range Tables'!$B$177,M52&lt;='Range Tables'!$G$179,'Range Tables'!$B$179),H52="Van*",ifs(M52&lt;='Range Tables'!$G$186,'Range Tables'!$B$186))</f>
        <v>60 - 120</v>
      </c>
      <c r="O52" s="113">
        <f>IFERROR(__xludf.DUMMYFUNCTION("SPLIT(N52,""-"")"),60.0)</f>
        <v>60</v>
      </c>
      <c r="P52" s="113">
        <f>IFERROR(__xludf.DUMMYFUNCTION("""COMPUTED_VALUE"""),120.0)</f>
        <v>120</v>
      </c>
      <c r="Q52" s="114">
        <f t="shared" si="2"/>
        <v>65.29673405</v>
      </c>
      <c r="R52" s="115">
        <f t="shared" si="3"/>
        <v>0.04018819258</v>
      </c>
      <c r="S52" s="114">
        <f t="shared" si="39"/>
        <v>3472.259839</v>
      </c>
      <c r="T52" s="113" t="str">
        <f t="shared" si="4"/>
        <v>yes</v>
      </c>
      <c r="U52" s="115">
        <f t="shared" si="5"/>
        <v>0</v>
      </c>
      <c r="V52" s="113">
        <f t="shared" si="34"/>
        <v>0</v>
      </c>
      <c r="W52" s="115">
        <f t="shared" si="6"/>
        <v>0.04018819258</v>
      </c>
      <c r="X52" s="118">
        <f t="shared" si="7"/>
        <v>3472.259839</v>
      </c>
      <c r="Y52" s="116">
        <f t="shared" si="8"/>
        <v>0.04094394182</v>
      </c>
      <c r="Z52" s="114">
        <f t="shared" si="9"/>
        <v>3537.556573</v>
      </c>
      <c r="AA52" s="113" t="str">
        <f t="shared" si="10"/>
        <v>no</v>
      </c>
      <c r="AB52" s="115">
        <f t="shared" si="11"/>
        <v>0</v>
      </c>
      <c r="AC52" s="113">
        <f t="shared" si="35"/>
        <v>0</v>
      </c>
      <c r="AD52" s="116">
        <f t="shared" si="12"/>
        <v>0</v>
      </c>
      <c r="AE52" s="113">
        <f t="shared" si="13"/>
        <v>0</v>
      </c>
      <c r="AF52" s="116">
        <f t="shared" si="14"/>
        <v>0</v>
      </c>
      <c r="AG52" s="113">
        <f t="shared" si="15"/>
        <v>0</v>
      </c>
      <c r="AH52" s="113" t="str">
        <f t="shared" si="16"/>
        <v>no</v>
      </c>
      <c r="AI52" s="115">
        <f t="shared" si="17"/>
        <v>0</v>
      </c>
      <c r="AJ52" s="113">
        <f t="shared" si="36"/>
        <v>0</v>
      </c>
      <c r="AK52" s="116">
        <f t="shared" si="18"/>
        <v>0</v>
      </c>
      <c r="AL52" s="113">
        <f t="shared" si="19"/>
        <v>0</v>
      </c>
      <c r="AM52" s="115">
        <f t="shared" si="20"/>
        <v>0</v>
      </c>
      <c r="AN52" s="85">
        <f t="shared" si="21"/>
        <v>0</v>
      </c>
      <c r="AO52" s="113" t="str">
        <f t="shared" si="22"/>
        <v>no</v>
      </c>
      <c r="AP52" s="115">
        <f t="shared" si="23"/>
        <v>0</v>
      </c>
      <c r="AQ52" s="113">
        <f t="shared" si="37"/>
        <v>0</v>
      </c>
      <c r="AR52" s="116">
        <f t="shared" si="24"/>
        <v>0</v>
      </c>
      <c r="AS52" s="113">
        <f t="shared" si="25"/>
        <v>0</v>
      </c>
      <c r="AT52" s="116">
        <f t="shared" si="26"/>
        <v>0</v>
      </c>
      <c r="AU52" s="113">
        <f t="shared" si="27"/>
        <v>0</v>
      </c>
      <c r="AV52" s="113" t="str">
        <f t="shared" si="28"/>
        <v>no</v>
      </c>
      <c r="AW52" s="115">
        <f t="shared" si="29"/>
        <v>0</v>
      </c>
      <c r="AX52" s="85">
        <f t="shared" si="38"/>
        <v>0</v>
      </c>
      <c r="AY52" s="116">
        <f t="shared" si="30"/>
        <v>0</v>
      </c>
      <c r="AZ52" s="113">
        <f t="shared" si="31"/>
        <v>0</v>
      </c>
      <c r="BA52" s="116">
        <f t="shared" si="32"/>
        <v>0</v>
      </c>
      <c r="BB52" s="113">
        <f t="shared" si="33"/>
        <v>0</v>
      </c>
      <c r="BC52" s="112">
        <v>0.9817141407410784</v>
      </c>
      <c r="BD52" s="113" t="str">
        <f>ifs(BC52&lt;='Range Tables'!$G$81,'Range Tables'!$B$81,BC52&lt;='Range Tables'!$G$82,'Range Tables'!$B$82)</f>
        <v>Offline*</v>
      </c>
      <c r="BE52" s="112">
        <v>0.5321427969953006</v>
      </c>
      <c r="BF52" s="112" t="str">
        <f>ifs(BE52&lt;='Range Tables'!$G$95,'Range Tables'!$B$95,BE52&lt;='Range Tables'!$G$96,'Range Tables'!$B$96,BE52&lt;='Range Tables'!$G$97,'Range Tables'!$B$97,BE52&lt;='Range Tables'!$G$98,'Range Tables'!$B$98,BE52&lt;='Range Tables'!$G$99,'Range Tables'!$B$99,BE52&lt;='Range Tables'!$G$100,'Range Tables'!$B$100,BE52&lt;='Range Tables'!$G$101,'Range Tables'!$B$101,BE52&lt;='Range Tables'!$G$102,'Range Tables'!$B$102,BE52&lt;='Range Tables'!$G$103,'Range Tables'!$B$103)</f>
        <v>Jammu</v>
      </c>
      <c r="BG52" s="112">
        <v>0.02939694531725956</v>
      </c>
      <c r="BH52" s="113" t="str">
        <f>ifs(BG52&lt;='Range Tables'!$G$112,'Range Tables'!$B$112,BG52&lt;='Range Tables'!$G$113,'Range Tables'!$B$113,BG52&lt;='Range Tables'!$G$114,'Range Tables'!$B$114)</f>
        <v>0</v>
      </c>
      <c r="BI52" s="117">
        <v>0.8831513307224829</v>
      </c>
      <c r="BJ52" s="113" t="str">
        <f>ifs(BI52&lt;='Range Tables'!$G$118,'Range Tables'!$B$118,BI52&lt;='Range Tables'!$G$119,'Range Tables'!$B$119)</f>
        <v>Expired</v>
      </c>
    </row>
    <row r="53">
      <c r="A53" s="85">
        <v>50.0</v>
      </c>
      <c r="B53" s="112">
        <v>0.9868153272177794</v>
      </c>
      <c r="C53" s="113" t="str">
        <f>ifs(B53&lt;='Range Tables'!$G$54,'Range Tables'!$B$54,B53&lt;='Range Tables'!$G$55,'Range Tables'!$B$55,B53&lt;='Range Tables'!$G$56,'Range Tables'!$B$56,B53&lt;='Range Tables'!$G$57,'Range Tables'!$B$57,B53&lt;='Range Tables'!$G$58,'Range Tables'!$B$58,B53&lt;='Range Tables'!$G$59,'Range Tables'!$B$59,B53&lt;='Range Tables'!$G$60,'Range Tables'!$B$60,B53&lt;='Range Tables'!$G$61,'Range Tables'!$B$61,B53&lt;='Range Tables'!$G$63,'Range Tables'!$B$63,B53&lt;='Range Tables'!$G$64,'Range Tables'!$B$64,B53&lt;='Range Tables'!$G$66,'Range Tables'!$B$66)</f>
        <v>360 - 390</v>
      </c>
      <c r="D53" s="113">
        <f>IFERROR(__xludf.DUMMYFUNCTION("SPLIT(C53,""-"")"),360.0)</f>
        <v>360</v>
      </c>
      <c r="E53" s="113">
        <f>IFERROR(__xludf.DUMMYFUNCTION("""COMPUTED_VALUE"""),390.0)</f>
        <v>390</v>
      </c>
      <c r="F53" s="114">
        <f t="shared" si="40"/>
        <v>389.6044598</v>
      </c>
      <c r="G53" s="112">
        <v>0.6682535573098626</v>
      </c>
      <c r="H53" s="113" t="str">
        <f>ifs(G53&lt;='Range Tables'!$G$86,'Range Tables'!$B$86,G53&lt;='Range Tables'!$G$87,'Range Tables'!$B$87,G53&lt;='Range Tables'!$G$88,'Range Tables'!$B$88,G53&lt;='Range Tables'!$G$89,'Range Tables'!$B$89,G53&lt;='Range Tables'!$G$90,'Range Tables'!$B$90,G53&lt;='Range Tables'!$G$91,'Range Tables'!$B$91)</f>
        <v>Bike</v>
      </c>
      <c r="I53" s="112">
        <v>0.4971034679304458</v>
      </c>
      <c r="J53" s="113" t="str">
        <f>IFS(
  H53="Car", IF(I53&lt;='Range Tables'!$G$19, 'Range Tables'!$B$19, 'Range Tables'!$B$20), 
  H53="Bike", IF(I53&lt;='Range Tables'!$G$25, 'Range Tables'!$B$25, 'Range Tables'!$B$26), 
  H53="Scooter", IF(I53&lt;='Range Tables'!$G$31, 'Range Tables'!$B$31, 'Range Tables'!$B$32), 
  H53="Auto", IF(I53&lt;='Range Tables'!$G$37, 'Range Tables'!$B$37, 'Range Tables'!$B$38), 
  H53="Carriers*", IF(I53&lt;='Range Tables'!$G$43, 'Range Tables'!$B$43, 'Range Tables'!$B$44), 
  H53="Van*", IF(I53&lt;='Range Tables'!$G$50, 'Range Tables'!$B$50, 'Range Tables'!$B$49)
)</f>
        <v>Petrol</v>
      </c>
      <c r="K53" s="112">
        <v>0.3844029611224884</v>
      </c>
      <c r="L53" s="113">
        <f>if(J53="Petrol",ifs(K53&lt;='Range Tables'!$G$5,'Range Tables'!$B$5,K53&lt;='Range Tables'!$G$6,'Range Tables'!$B$6,K53&lt;='Range Tables'!$G$7,'Range Tables'!$B$7),ifs(K53&lt;='Range Tables'!$G$13,'Range Tables'!$B$13,K53&lt;='Range Tables'!$G$14,'Range Tables'!$B$14))</f>
        <v>2</v>
      </c>
      <c r="M53" s="112">
        <v>0.9314193199759383</v>
      </c>
      <c r="N53" s="113" t="str">
        <f>ifs(H53="Car",ifs(M53&lt;='Range Tables'!$G$125,'Range Tables'!$B$125,M53&lt;='Range Tables'!$G$126,'Range Tables'!$B$126,M53&lt;='Range Tables'!$G$127,'Range Tables'!$B$127,M53&lt;='Range Tables'!$G$128,'Range Tables'!$B$128,M53&lt;='Range Tables'!$G$129,'Range Tables'!$B$129,'Range Tables'!$G$131,'Range Tables'!$B$131),H53="Bike",ifs(M53&lt;='Range Tables'!$G$136,'Range Tables'!$B$136,M53&lt;='Range Tables'!$G$137,'Range Tables'!$B$137,M53&lt;='Range Tables'!$G$138,'Range Tables'!$B$138,M53&lt;='Range Tables'!$G$142,'Range Tables'!$B$142),H53="Scooter",ifs(M53&lt;='Range Tables'!$G$148,'Range Tables'!$B$148,M53&lt;='Range Tables'!$G$149,'Range Tables'!$B$149,M53&lt;='Range Tables'!$G$150,'Range Tables'!$B$150,M53&lt;='Range Tables'!$G$151,'Range Tables'!$B$151),H53="Auto",ifs(M53&lt;='Range Tables'!$G$161,'Range Tables'!$B$161,M53&lt;='Range Tables'!$G$162,'Range Tables'!$B$162,M53&lt;='Range Tables'!$G$163,'Range Tables'!$B$163,M53&lt;='Range Tables'!$G$164,'Range Tables'!$B$164),H53="Carriers*",ifs(M53&lt;='Range Tables'!$G$173,'Range Tables'!$B$173,M53&lt;='Range Tables'!$G$174,'Range Tables'!$B$174,M53&lt;='Range Tables'!$G$175,'Range Tables'!$B$175,M53&lt;='Range Tables'!$G$176,'Range Tables'!$B$176,M53&lt;='Range Tables'!$G$177,'Range Tables'!$B$177,M53&lt;='Range Tables'!$G$179,'Range Tables'!$B$179),H53="Van*",ifs(M53&lt;='Range Tables'!$G$186,'Range Tables'!$B$186))</f>
        <v>120 - 180</v>
      </c>
      <c r="O53" s="113">
        <f>IFERROR(__xludf.DUMMYFUNCTION("SPLIT(N53,""-"")"),120.0)</f>
        <v>120</v>
      </c>
      <c r="P53" s="113">
        <f>IFERROR(__xludf.DUMMYFUNCTION("""COMPUTED_VALUE"""),180.0)</f>
        <v>180</v>
      </c>
      <c r="Q53" s="114">
        <f t="shared" si="2"/>
        <v>175.8851592</v>
      </c>
      <c r="R53" s="115">
        <f t="shared" si="3"/>
        <v>0.0406459065</v>
      </c>
      <c r="S53" s="114">
        <f t="shared" si="39"/>
        <v>3511.806321</v>
      </c>
      <c r="T53" s="113" t="str">
        <f t="shared" si="4"/>
        <v>no</v>
      </c>
      <c r="U53" s="115">
        <f t="shared" si="5"/>
        <v>0</v>
      </c>
      <c r="V53" s="113">
        <f t="shared" si="34"/>
        <v>0</v>
      </c>
      <c r="W53" s="115">
        <f t="shared" si="6"/>
        <v>0</v>
      </c>
      <c r="X53" s="85">
        <f t="shared" si="7"/>
        <v>0</v>
      </c>
      <c r="Y53" s="116">
        <f t="shared" si="8"/>
        <v>0</v>
      </c>
      <c r="Z53" s="113">
        <f t="shared" si="9"/>
        <v>0</v>
      </c>
      <c r="AA53" s="113" t="str">
        <f t="shared" si="10"/>
        <v>yes</v>
      </c>
      <c r="AB53" s="115">
        <f t="shared" si="11"/>
        <v>0</v>
      </c>
      <c r="AC53" s="113">
        <f t="shared" si="35"/>
        <v>0</v>
      </c>
      <c r="AD53" s="116">
        <f t="shared" si="12"/>
        <v>0.0406459065</v>
      </c>
      <c r="AE53" s="114">
        <f t="shared" si="13"/>
        <v>3511.806321</v>
      </c>
      <c r="AF53" s="116">
        <f t="shared" si="14"/>
        <v>0.04268161436</v>
      </c>
      <c r="AG53" s="114">
        <f t="shared" si="15"/>
        <v>3687.69148</v>
      </c>
      <c r="AH53" s="113" t="str">
        <f t="shared" si="16"/>
        <v>no</v>
      </c>
      <c r="AI53" s="115">
        <f t="shared" si="17"/>
        <v>0</v>
      </c>
      <c r="AJ53" s="113">
        <f t="shared" si="36"/>
        <v>0</v>
      </c>
      <c r="AK53" s="116">
        <f t="shared" si="18"/>
        <v>0</v>
      </c>
      <c r="AL53" s="113">
        <f t="shared" si="19"/>
        <v>0</v>
      </c>
      <c r="AM53" s="115">
        <f t="shared" si="20"/>
        <v>0</v>
      </c>
      <c r="AN53" s="85">
        <f t="shared" si="21"/>
        <v>0</v>
      </c>
      <c r="AO53" s="113" t="str">
        <f t="shared" si="22"/>
        <v>no</v>
      </c>
      <c r="AP53" s="115">
        <f t="shared" si="23"/>
        <v>0</v>
      </c>
      <c r="AQ53" s="113">
        <f t="shared" si="37"/>
        <v>0</v>
      </c>
      <c r="AR53" s="116">
        <f t="shared" si="24"/>
        <v>0</v>
      </c>
      <c r="AS53" s="113">
        <f t="shared" si="25"/>
        <v>0</v>
      </c>
      <c r="AT53" s="116">
        <f t="shared" si="26"/>
        <v>0</v>
      </c>
      <c r="AU53" s="113">
        <f t="shared" si="27"/>
        <v>0</v>
      </c>
      <c r="AV53" s="113" t="str">
        <f t="shared" si="28"/>
        <v>no</v>
      </c>
      <c r="AW53" s="115">
        <f t="shared" si="29"/>
        <v>0</v>
      </c>
      <c r="AX53" s="85">
        <f t="shared" si="38"/>
        <v>0</v>
      </c>
      <c r="AY53" s="116">
        <f t="shared" si="30"/>
        <v>0</v>
      </c>
      <c r="AZ53" s="113">
        <f t="shared" si="31"/>
        <v>0</v>
      </c>
      <c r="BA53" s="116">
        <f t="shared" si="32"/>
        <v>0</v>
      </c>
      <c r="BB53" s="113">
        <f t="shared" si="33"/>
        <v>0</v>
      </c>
      <c r="BC53" s="112">
        <v>0.28512337048371894</v>
      </c>
      <c r="BD53" s="113" t="str">
        <f>ifs(BC53&lt;='Range Tables'!$G$81,'Range Tables'!$B$81,BC53&lt;='Range Tables'!$G$82,'Range Tables'!$B$82)</f>
        <v>Online*</v>
      </c>
      <c r="BE53" s="112">
        <v>0.6305731695726164</v>
      </c>
      <c r="BF53" s="112" t="str">
        <f>ifs(BE53&lt;='Range Tables'!$G$95,'Range Tables'!$B$95,BE53&lt;='Range Tables'!$G$96,'Range Tables'!$B$96,BE53&lt;='Range Tables'!$G$97,'Range Tables'!$B$97,BE53&lt;='Range Tables'!$G$98,'Range Tables'!$B$98,BE53&lt;='Range Tables'!$G$99,'Range Tables'!$B$99,BE53&lt;='Range Tables'!$G$100,'Range Tables'!$B$100,BE53&lt;='Range Tables'!$G$101,'Range Tables'!$B$101,BE53&lt;='Range Tables'!$G$102,'Range Tables'!$B$102,BE53&lt;='Range Tables'!$G$103,'Range Tables'!$B$103)</f>
        <v>Jammu</v>
      </c>
      <c r="BG53" s="84">
        <v>0.998644236944392</v>
      </c>
      <c r="BH53" s="113" t="str">
        <f>ifs(BG53&lt;='Range Tables'!$G$112,'Range Tables'!$B$112,BG53&lt;='Range Tables'!$G$113,'Range Tables'!$B$113,BG53&lt;='Range Tables'!$G$114,'Range Tables'!$B$114)</f>
        <v>6+</v>
      </c>
      <c r="BI53" s="117">
        <v>0.17458371176126208</v>
      </c>
      <c r="BJ53" s="113" t="str">
        <f>ifs(BI53&lt;='Range Tables'!$G$118,'Range Tables'!$B$118,BI53&lt;='Range Tables'!$G$119,'Range Tables'!$B$119)</f>
        <v>Valid</v>
      </c>
    </row>
    <row r="54">
      <c r="A54" s="85">
        <v>51.0</v>
      </c>
      <c r="B54" s="112">
        <v>0.6722619646549763</v>
      </c>
      <c r="C54" s="113" t="str">
        <f>ifs(B54&lt;='Range Tables'!$G$54,'Range Tables'!$B$54,B54&lt;='Range Tables'!$G$55,'Range Tables'!$B$55,B54&lt;='Range Tables'!$G$56,'Range Tables'!$B$56,B54&lt;='Range Tables'!$G$57,'Range Tables'!$B$57,B54&lt;='Range Tables'!$G$58,'Range Tables'!$B$58,B54&lt;='Range Tables'!$G$59,'Range Tables'!$B$59,B54&lt;='Range Tables'!$G$60,'Range Tables'!$B$60,B54&lt;='Range Tables'!$G$61,'Range Tables'!$B$61,B54&lt;='Range Tables'!$G$63,'Range Tables'!$B$63,B54&lt;='Range Tables'!$G$64,'Range Tables'!$B$64,B54&lt;='Range Tables'!$G$66,'Range Tables'!$B$66)</f>
        <v>60 - 90</v>
      </c>
      <c r="D54" s="113">
        <f>IFERROR(__xludf.DUMMYFUNCTION("SPLIT(C54,""-"")"),60.0)</f>
        <v>60</v>
      </c>
      <c r="E54" s="113">
        <f>IFERROR(__xludf.DUMMYFUNCTION("""COMPUTED_VALUE"""),90.0)</f>
        <v>90</v>
      </c>
      <c r="F54" s="114">
        <f t="shared" si="40"/>
        <v>80.16785894</v>
      </c>
      <c r="G54" s="112">
        <v>0.8053969321772414</v>
      </c>
      <c r="H54" s="113" t="str">
        <f>ifs(G54&lt;='Range Tables'!$G$86,'Range Tables'!$B$86,G54&lt;='Range Tables'!$G$87,'Range Tables'!$B$87,G54&lt;='Range Tables'!$G$88,'Range Tables'!$B$88,G54&lt;='Range Tables'!$G$89,'Range Tables'!$B$89,G54&lt;='Range Tables'!$G$90,'Range Tables'!$B$90,G54&lt;='Range Tables'!$G$91,'Range Tables'!$B$91)</f>
        <v>Scooter</v>
      </c>
      <c r="I54" s="112">
        <v>0.6008274424745691</v>
      </c>
      <c r="J54" s="113" t="str">
        <f>IFS(
  H54="Car", IF(I54&lt;='Range Tables'!$G$19, 'Range Tables'!$B$19, 'Range Tables'!$B$20), 
  H54="Bike", IF(I54&lt;='Range Tables'!$G$25, 'Range Tables'!$B$25, 'Range Tables'!$B$26), 
  H54="Scooter", IF(I54&lt;='Range Tables'!$G$31, 'Range Tables'!$B$31, 'Range Tables'!$B$32), 
  H54="Auto", IF(I54&lt;='Range Tables'!$G$37, 'Range Tables'!$B$37, 'Range Tables'!$B$38), 
  H54="Carriers*", IF(I54&lt;='Range Tables'!$G$43, 'Range Tables'!$B$43, 'Range Tables'!$B$44), 
  H54="Van*", IF(I54&lt;='Range Tables'!$G$50, 'Range Tables'!$B$50, 'Range Tables'!$B$49)
)</f>
        <v>Petrol</v>
      </c>
      <c r="K54" s="112">
        <v>0.4630246215322924</v>
      </c>
      <c r="L54" s="113">
        <f>if(J54="Petrol",ifs(K54&lt;='Range Tables'!$G$5,'Range Tables'!$B$5,K54&lt;='Range Tables'!$G$6,'Range Tables'!$B$6,K54&lt;='Range Tables'!$G$7,'Range Tables'!$B$7),ifs(K54&lt;='Range Tables'!$G$13,'Range Tables'!$B$13,K54&lt;='Range Tables'!$G$14,'Range Tables'!$B$14))</f>
        <v>2</v>
      </c>
      <c r="M54" s="112">
        <v>0.799541383564807</v>
      </c>
      <c r="N54" s="113" t="str">
        <f>ifs(H54="Car",ifs(M54&lt;='Range Tables'!$G$125,'Range Tables'!$B$125,M54&lt;='Range Tables'!$G$126,'Range Tables'!$B$126,M54&lt;='Range Tables'!$G$127,'Range Tables'!$B$127,M54&lt;='Range Tables'!$G$128,'Range Tables'!$B$128,M54&lt;='Range Tables'!$G$129,'Range Tables'!$B$129,'Range Tables'!$G$131,'Range Tables'!$B$131),H54="Bike",ifs(M54&lt;='Range Tables'!$G$136,'Range Tables'!$B$136,M54&lt;='Range Tables'!$G$137,'Range Tables'!$B$137,M54&lt;='Range Tables'!$G$138,'Range Tables'!$B$138,M54&lt;='Range Tables'!$G$142,'Range Tables'!$B$142),H54="Scooter",ifs(M54&lt;='Range Tables'!$G$148,'Range Tables'!$B$148,M54&lt;='Range Tables'!$G$149,'Range Tables'!$B$149,M54&lt;='Range Tables'!$G$150,'Range Tables'!$B$150,M54&lt;='Range Tables'!$G$151,'Range Tables'!$B$151),H54="Auto",ifs(M54&lt;='Range Tables'!$G$161,'Range Tables'!$B$161,M54&lt;='Range Tables'!$G$162,'Range Tables'!$B$162,M54&lt;='Range Tables'!$G$163,'Range Tables'!$B$163,M54&lt;='Range Tables'!$G$164,'Range Tables'!$B$164),H54="Carriers*",ifs(M54&lt;='Range Tables'!$G$173,'Range Tables'!$B$173,M54&lt;='Range Tables'!$G$174,'Range Tables'!$B$174,M54&lt;='Range Tables'!$G$175,'Range Tables'!$B$175,M54&lt;='Range Tables'!$G$176,'Range Tables'!$B$176,M54&lt;='Range Tables'!$G$177,'Range Tables'!$B$177,M54&lt;='Range Tables'!$G$179,'Range Tables'!$B$179),H54="Van*",ifs(M54&lt;='Range Tables'!$G$186,'Range Tables'!$B$186))</f>
        <v>180 - 240</v>
      </c>
      <c r="O54" s="113">
        <f>IFERROR(__xludf.DUMMYFUNCTION("SPLIT(N54,""-"")"),180.0)</f>
        <v>180</v>
      </c>
      <c r="P54" s="113">
        <f>IFERROR(__xludf.DUMMYFUNCTION("""COMPUTED_VALUE"""),240.0)</f>
        <v>240</v>
      </c>
      <c r="Q54" s="114">
        <f t="shared" si="2"/>
        <v>227.972483</v>
      </c>
      <c r="R54" s="115">
        <f t="shared" si="3"/>
        <v>0.04515521737</v>
      </c>
      <c r="S54" s="114">
        <f t="shared" si="39"/>
        <v>3901.410781</v>
      </c>
      <c r="T54" s="113" t="str">
        <f t="shared" si="4"/>
        <v>no</v>
      </c>
      <c r="U54" s="115">
        <f t="shared" si="5"/>
        <v>0</v>
      </c>
      <c r="V54" s="113">
        <f t="shared" si="34"/>
        <v>0</v>
      </c>
      <c r="W54" s="115">
        <f t="shared" si="6"/>
        <v>0</v>
      </c>
      <c r="X54" s="85">
        <f t="shared" si="7"/>
        <v>0</v>
      </c>
      <c r="Y54" s="116">
        <f t="shared" si="8"/>
        <v>0</v>
      </c>
      <c r="Z54" s="113">
        <f t="shared" si="9"/>
        <v>0</v>
      </c>
      <c r="AA54" s="113" t="str">
        <f t="shared" si="10"/>
        <v>yes</v>
      </c>
      <c r="AB54" s="115">
        <f t="shared" si="11"/>
        <v>0</v>
      </c>
      <c r="AC54" s="113">
        <f t="shared" si="35"/>
        <v>0</v>
      </c>
      <c r="AD54" s="116">
        <f t="shared" si="12"/>
        <v>0.04515521737</v>
      </c>
      <c r="AE54" s="114">
        <f t="shared" si="13"/>
        <v>3901.410781</v>
      </c>
      <c r="AF54" s="116">
        <f t="shared" si="14"/>
        <v>0.04779378778</v>
      </c>
      <c r="AG54" s="114">
        <f t="shared" si="15"/>
        <v>4129.383264</v>
      </c>
      <c r="AH54" s="113" t="str">
        <f t="shared" si="16"/>
        <v>no</v>
      </c>
      <c r="AI54" s="115">
        <f t="shared" si="17"/>
        <v>0</v>
      </c>
      <c r="AJ54" s="113">
        <f t="shared" si="36"/>
        <v>0</v>
      </c>
      <c r="AK54" s="116">
        <f t="shared" si="18"/>
        <v>0</v>
      </c>
      <c r="AL54" s="113">
        <f t="shared" si="19"/>
        <v>0</v>
      </c>
      <c r="AM54" s="115">
        <f t="shared" si="20"/>
        <v>0</v>
      </c>
      <c r="AN54" s="85">
        <f t="shared" si="21"/>
        <v>0</v>
      </c>
      <c r="AO54" s="113" t="str">
        <f t="shared" si="22"/>
        <v>no</v>
      </c>
      <c r="AP54" s="115">
        <f t="shared" si="23"/>
        <v>0</v>
      </c>
      <c r="AQ54" s="113">
        <f t="shared" si="37"/>
        <v>0</v>
      </c>
      <c r="AR54" s="116">
        <f t="shared" si="24"/>
        <v>0</v>
      </c>
      <c r="AS54" s="113">
        <f t="shared" si="25"/>
        <v>0</v>
      </c>
      <c r="AT54" s="116">
        <f t="shared" si="26"/>
        <v>0</v>
      </c>
      <c r="AU54" s="113">
        <f t="shared" si="27"/>
        <v>0</v>
      </c>
      <c r="AV54" s="113" t="str">
        <f t="shared" si="28"/>
        <v>no</v>
      </c>
      <c r="AW54" s="115">
        <f t="shared" si="29"/>
        <v>0</v>
      </c>
      <c r="AX54" s="85">
        <f t="shared" si="38"/>
        <v>0</v>
      </c>
      <c r="AY54" s="116">
        <f t="shared" si="30"/>
        <v>0</v>
      </c>
      <c r="AZ54" s="113">
        <f t="shared" si="31"/>
        <v>0</v>
      </c>
      <c r="BA54" s="116">
        <f t="shared" si="32"/>
        <v>0</v>
      </c>
      <c r="BB54" s="113">
        <f t="shared" si="33"/>
        <v>0</v>
      </c>
      <c r="BC54" s="112">
        <v>0.32042839101590515</v>
      </c>
      <c r="BD54" s="113" t="str">
        <f>ifs(BC54&lt;='Range Tables'!$G$81,'Range Tables'!$B$81,BC54&lt;='Range Tables'!$G$82,'Range Tables'!$B$82)</f>
        <v>Online*</v>
      </c>
      <c r="BE54" s="112">
        <v>0.48407933218495536</v>
      </c>
      <c r="BF54" s="112" t="str">
        <f>ifs(BE54&lt;='Range Tables'!$G$95,'Range Tables'!$B$95,BE54&lt;='Range Tables'!$G$96,'Range Tables'!$B$96,BE54&lt;='Range Tables'!$G$97,'Range Tables'!$B$97,BE54&lt;='Range Tables'!$G$98,'Range Tables'!$B$98,BE54&lt;='Range Tables'!$G$99,'Range Tables'!$B$99,BE54&lt;='Range Tables'!$G$100,'Range Tables'!$B$100,BE54&lt;='Range Tables'!$G$101,'Range Tables'!$B$101,BE54&lt;='Range Tables'!$G$102,'Range Tables'!$B$102,BE54&lt;='Range Tables'!$G$103,'Range Tables'!$B$103)</f>
        <v>Jammu</v>
      </c>
      <c r="BG54" s="112">
        <v>0.6418231254660827</v>
      </c>
      <c r="BH54" s="113" t="str">
        <f>ifs(BG54&lt;='Range Tables'!$G$112,'Range Tables'!$B$112,BG54&lt;='Range Tables'!$G$113,'Range Tables'!$B$113,BG54&lt;='Range Tables'!$G$114,'Range Tables'!$B$114)</f>
        <v>0</v>
      </c>
      <c r="BI54" s="117">
        <v>0.3778461300478909</v>
      </c>
      <c r="BJ54" s="113" t="str">
        <f>ifs(BI54&lt;='Range Tables'!$G$118,'Range Tables'!$B$118,BI54&lt;='Range Tables'!$G$119,'Range Tables'!$B$119)</f>
        <v>Valid</v>
      </c>
    </row>
    <row r="55">
      <c r="A55" s="85">
        <v>52.0</v>
      </c>
      <c r="B55" s="112">
        <v>0.27184086455415657</v>
      </c>
      <c r="C55" s="113" t="str">
        <f>ifs(B55&lt;='Range Tables'!$G$54,'Range Tables'!$B$54,B55&lt;='Range Tables'!$G$55,'Range Tables'!$B$55,B55&lt;='Range Tables'!$G$56,'Range Tables'!$B$56,B55&lt;='Range Tables'!$G$57,'Range Tables'!$B$57,B55&lt;='Range Tables'!$G$58,'Range Tables'!$B$58,B55&lt;='Range Tables'!$G$59,'Range Tables'!$B$59,B55&lt;='Range Tables'!$G$60,'Range Tables'!$B$60,B55&lt;='Range Tables'!$G$61,'Range Tables'!$B$61,B55&lt;='Range Tables'!$G$63,'Range Tables'!$B$63,B55&lt;='Range Tables'!$G$64,'Range Tables'!$B$64,B55&lt;='Range Tables'!$G$66,'Range Tables'!$B$66)</f>
        <v>0 - 30</v>
      </c>
      <c r="D55" s="113">
        <f>IFERROR(__xludf.DUMMYFUNCTION("SPLIT(C55,""-"")"),0.0)</f>
        <v>0</v>
      </c>
      <c r="E55" s="113">
        <f>IFERROR(__xludf.DUMMYFUNCTION("""COMPUTED_VALUE"""),30.0)</f>
        <v>30</v>
      </c>
      <c r="F55" s="114">
        <f t="shared" si="40"/>
        <v>8.155225937</v>
      </c>
      <c r="G55" s="112">
        <v>0.451297772075992</v>
      </c>
      <c r="H55" s="113" t="str">
        <f>ifs(G55&lt;='Range Tables'!$G$86,'Range Tables'!$B$86,G55&lt;='Range Tables'!$G$87,'Range Tables'!$B$87,G55&lt;='Range Tables'!$G$88,'Range Tables'!$B$88,G55&lt;='Range Tables'!$G$89,'Range Tables'!$B$89,G55&lt;='Range Tables'!$G$90,'Range Tables'!$B$90,G55&lt;='Range Tables'!$G$91,'Range Tables'!$B$91)</f>
        <v>Car</v>
      </c>
      <c r="I55" s="112">
        <v>0.6847579066303582</v>
      </c>
      <c r="J55" s="113" t="str">
        <f>IFS(
  H55="Car", IF(I55&lt;='Range Tables'!$G$19, 'Range Tables'!$B$19, 'Range Tables'!$B$20), 
  H55="Bike", IF(I55&lt;='Range Tables'!$G$25, 'Range Tables'!$B$25, 'Range Tables'!$B$26), 
  H55="Scooter", IF(I55&lt;='Range Tables'!$G$31, 'Range Tables'!$B$31, 'Range Tables'!$B$32), 
  H55="Auto", IF(I55&lt;='Range Tables'!$G$37, 'Range Tables'!$B$37, 'Range Tables'!$B$38), 
  H55="Carriers*", IF(I55&lt;='Range Tables'!$G$43, 'Range Tables'!$B$43, 'Range Tables'!$B$44), 
  H55="Van*", IF(I55&lt;='Range Tables'!$G$50, 'Range Tables'!$B$50, 'Range Tables'!$B$49)
)</f>
        <v>Petrol</v>
      </c>
      <c r="K55" s="112">
        <v>0.388465325637831</v>
      </c>
      <c r="L55" s="113">
        <f>if(J55="Petrol",ifs(K55&lt;='Range Tables'!$G$5,'Range Tables'!$B$5,K55&lt;='Range Tables'!$G$6,'Range Tables'!$B$6,K55&lt;='Range Tables'!$G$7,'Range Tables'!$B$7),ifs(K55&lt;='Range Tables'!$G$13,'Range Tables'!$B$13,K55&lt;='Range Tables'!$G$14,'Range Tables'!$B$14))</f>
        <v>2</v>
      </c>
      <c r="M55" s="112">
        <v>0.39106151701789127</v>
      </c>
      <c r="N55" s="113" t="str">
        <f>ifs(H55="Car",ifs(M55&lt;='Range Tables'!$G$125,'Range Tables'!$B$125,M55&lt;='Range Tables'!$G$126,'Range Tables'!$B$126,M55&lt;='Range Tables'!$G$127,'Range Tables'!$B$127,M55&lt;='Range Tables'!$G$128,'Range Tables'!$B$128,M55&lt;='Range Tables'!$G$129,'Range Tables'!$B$129,'Range Tables'!$G$131,'Range Tables'!$B$131),H55="Bike",ifs(M55&lt;='Range Tables'!$G$136,'Range Tables'!$B$136,M55&lt;='Range Tables'!$G$137,'Range Tables'!$B$137,M55&lt;='Range Tables'!$G$138,'Range Tables'!$B$138,M55&lt;='Range Tables'!$G$142,'Range Tables'!$B$142),H55="Scooter",ifs(M55&lt;='Range Tables'!$G$148,'Range Tables'!$B$148,M55&lt;='Range Tables'!$G$149,'Range Tables'!$B$149,M55&lt;='Range Tables'!$G$150,'Range Tables'!$B$150,M55&lt;='Range Tables'!$G$151,'Range Tables'!$B$151),H55="Auto",ifs(M55&lt;='Range Tables'!$G$161,'Range Tables'!$B$161,M55&lt;='Range Tables'!$G$162,'Range Tables'!$B$162,M55&lt;='Range Tables'!$G$163,'Range Tables'!$B$163,M55&lt;='Range Tables'!$G$164,'Range Tables'!$B$164),H55="Carriers*",ifs(M55&lt;='Range Tables'!$G$173,'Range Tables'!$B$173,M55&lt;='Range Tables'!$G$174,'Range Tables'!$B$174,M55&lt;='Range Tables'!$G$175,'Range Tables'!$B$175,M55&lt;='Range Tables'!$G$176,'Range Tables'!$B$176,M55&lt;='Range Tables'!$G$177,'Range Tables'!$B$177,M55&lt;='Range Tables'!$G$179,'Range Tables'!$B$179),H55="Van*",ifs(M55&lt;='Range Tables'!$G$186,'Range Tables'!$B$186))</f>
        <v>60 - 120</v>
      </c>
      <c r="O55" s="113">
        <f>IFERROR(__xludf.DUMMYFUNCTION("SPLIT(N55,""-"")"),60.0)</f>
        <v>60</v>
      </c>
      <c r="P55" s="113">
        <f>IFERROR(__xludf.DUMMYFUNCTION("""COMPUTED_VALUE"""),120.0)</f>
        <v>120</v>
      </c>
      <c r="Q55" s="114">
        <f t="shared" si="2"/>
        <v>83.46369102</v>
      </c>
      <c r="R55" s="115">
        <f t="shared" si="3"/>
        <v>0.04608308611</v>
      </c>
      <c r="S55" s="114">
        <f t="shared" si="39"/>
        <v>3981.57864</v>
      </c>
      <c r="T55" s="113" t="str">
        <f t="shared" si="4"/>
        <v>no</v>
      </c>
      <c r="U55" s="115">
        <f t="shared" si="5"/>
        <v>0</v>
      </c>
      <c r="V55" s="113">
        <f t="shared" si="34"/>
        <v>0</v>
      </c>
      <c r="W55" s="115">
        <f t="shared" si="6"/>
        <v>0</v>
      </c>
      <c r="X55" s="85">
        <f t="shared" si="7"/>
        <v>0</v>
      </c>
      <c r="Y55" s="116">
        <f t="shared" si="8"/>
        <v>0</v>
      </c>
      <c r="Z55" s="113">
        <f t="shared" si="9"/>
        <v>0</v>
      </c>
      <c r="AA55" s="113" t="str">
        <f t="shared" si="10"/>
        <v>yes</v>
      </c>
      <c r="AB55" s="115">
        <f t="shared" si="11"/>
        <v>0.001710701668</v>
      </c>
      <c r="AC55" s="114">
        <f t="shared" si="35"/>
        <v>147.8046241</v>
      </c>
      <c r="AD55" s="116">
        <f t="shared" si="12"/>
        <v>0.04779378778</v>
      </c>
      <c r="AE55" s="114">
        <f t="shared" si="13"/>
        <v>4129.383264</v>
      </c>
      <c r="AF55" s="116">
        <f t="shared" si="14"/>
        <v>0.04875980272</v>
      </c>
      <c r="AG55" s="114">
        <f t="shared" si="15"/>
        <v>4212.846955</v>
      </c>
      <c r="AH55" s="113" t="str">
        <f t="shared" si="16"/>
        <v>no</v>
      </c>
      <c r="AI55" s="115">
        <f t="shared" si="17"/>
        <v>0</v>
      </c>
      <c r="AJ55" s="113">
        <f t="shared" si="36"/>
        <v>0</v>
      </c>
      <c r="AK55" s="116">
        <f t="shared" si="18"/>
        <v>0</v>
      </c>
      <c r="AL55" s="113">
        <f t="shared" si="19"/>
        <v>0</v>
      </c>
      <c r="AM55" s="115">
        <f t="shared" si="20"/>
        <v>0</v>
      </c>
      <c r="AN55" s="85">
        <f t="shared" si="21"/>
        <v>0</v>
      </c>
      <c r="AO55" s="113" t="str">
        <f t="shared" si="22"/>
        <v>no</v>
      </c>
      <c r="AP55" s="115">
        <f t="shared" si="23"/>
        <v>0</v>
      </c>
      <c r="AQ55" s="113">
        <f t="shared" si="37"/>
        <v>0</v>
      </c>
      <c r="AR55" s="116">
        <f t="shared" si="24"/>
        <v>0</v>
      </c>
      <c r="AS55" s="113">
        <f t="shared" si="25"/>
        <v>0</v>
      </c>
      <c r="AT55" s="116">
        <f t="shared" si="26"/>
        <v>0</v>
      </c>
      <c r="AU55" s="113">
        <f t="shared" si="27"/>
        <v>0</v>
      </c>
      <c r="AV55" s="113" t="str">
        <f t="shared" si="28"/>
        <v>no</v>
      </c>
      <c r="AW55" s="115">
        <f t="shared" si="29"/>
        <v>0</v>
      </c>
      <c r="AX55" s="85">
        <f t="shared" si="38"/>
        <v>0</v>
      </c>
      <c r="AY55" s="116">
        <f t="shared" si="30"/>
        <v>0</v>
      </c>
      <c r="AZ55" s="113">
        <f t="shared" si="31"/>
        <v>0</v>
      </c>
      <c r="BA55" s="116">
        <f t="shared" si="32"/>
        <v>0</v>
      </c>
      <c r="BB55" s="113">
        <f t="shared" si="33"/>
        <v>0</v>
      </c>
      <c r="BC55" s="112">
        <v>0.6595681790019082</v>
      </c>
      <c r="BD55" s="113" t="str">
        <f>ifs(BC55&lt;='Range Tables'!$G$81,'Range Tables'!$B$81,BC55&lt;='Range Tables'!$G$82,'Range Tables'!$B$82)</f>
        <v>Offline*</v>
      </c>
      <c r="BE55" s="112">
        <v>0.9558496583342084</v>
      </c>
      <c r="BF55" s="112" t="str">
        <f>ifs(BE55&lt;='Range Tables'!$G$95,'Range Tables'!$B$95,BE55&lt;='Range Tables'!$G$96,'Range Tables'!$B$96,BE55&lt;='Range Tables'!$G$97,'Range Tables'!$B$97,BE55&lt;='Range Tables'!$G$98,'Range Tables'!$B$98,BE55&lt;='Range Tables'!$G$99,'Range Tables'!$B$99,BE55&lt;='Range Tables'!$G$100,'Range Tables'!$B$100,BE55&lt;='Range Tables'!$G$101,'Range Tables'!$B$101,BE55&lt;='Range Tables'!$G$102,'Range Tables'!$B$102,BE55&lt;='Range Tables'!$G$103,'Range Tables'!$B$103)</f>
        <v>Lakhanpur</v>
      </c>
      <c r="BG55" s="112">
        <v>0.12840620130410307</v>
      </c>
      <c r="BH55" s="113" t="str">
        <f>ifs(BG55&lt;='Range Tables'!$G$112,'Range Tables'!$B$112,BG55&lt;='Range Tables'!$G$113,'Range Tables'!$B$113,BG55&lt;='Range Tables'!$G$114,'Range Tables'!$B$114)</f>
        <v>0</v>
      </c>
      <c r="BI55" s="117">
        <v>0.5327550620833043</v>
      </c>
      <c r="BJ55" s="113" t="str">
        <f>ifs(BI55&lt;='Range Tables'!$G$118,'Range Tables'!$B$118,BI55&lt;='Range Tables'!$G$119,'Range Tables'!$B$119)</f>
        <v>Valid</v>
      </c>
    </row>
    <row r="56">
      <c r="A56" s="85">
        <v>53.0</v>
      </c>
      <c r="B56" s="112">
        <v>0.7973074533178561</v>
      </c>
      <c r="C56" s="113" t="str">
        <f>ifs(B56&lt;='Range Tables'!$G$54,'Range Tables'!$B$54,B56&lt;='Range Tables'!$G$55,'Range Tables'!$B$55,B56&lt;='Range Tables'!$G$56,'Range Tables'!$B$56,B56&lt;='Range Tables'!$G$57,'Range Tables'!$B$57,B56&lt;='Range Tables'!$G$58,'Range Tables'!$B$58,B56&lt;='Range Tables'!$G$59,'Range Tables'!$B$59,B56&lt;='Range Tables'!$G$60,'Range Tables'!$B$60,B56&lt;='Range Tables'!$G$61,'Range Tables'!$B$61,B56&lt;='Range Tables'!$G$63,'Range Tables'!$B$63,B56&lt;='Range Tables'!$G$64,'Range Tables'!$B$64,B56&lt;='Range Tables'!$G$66,'Range Tables'!$B$66)</f>
        <v>120 - 150</v>
      </c>
      <c r="D56" s="113">
        <f>IFERROR(__xludf.DUMMYFUNCTION("SPLIT(C56,""-"")"),120.0)</f>
        <v>120</v>
      </c>
      <c r="E56" s="113">
        <f>IFERROR(__xludf.DUMMYFUNCTION("""COMPUTED_VALUE"""),150.0)</f>
        <v>150</v>
      </c>
      <c r="F56" s="114">
        <f t="shared" si="40"/>
        <v>143.9192236</v>
      </c>
      <c r="G56" s="112">
        <v>0.6740109171809759</v>
      </c>
      <c r="H56" s="113" t="str">
        <f>ifs(G56&lt;='Range Tables'!$G$86,'Range Tables'!$B$86,G56&lt;='Range Tables'!$G$87,'Range Tables'!$B$87,G56&lt;='Range Tables'!$G$88,'Range Tables'!$B$88,G56&lt;='Range Tables'!$G$89,'Range Tables'!$B$89,G56&lt;='Range Tables'!$G$90,'Range Tables'!$B$90,G56&lt;='Range Tables'!$G$91,'Range Tables'!$B$91)</f>
        <v>Bike</v>
      </c>
      <c r="I56" s="112">
        <v>0.6562238505664884</v>
      </c>
      <c r="J56" s="113" t="str">
        <f>IFS(
  H56="Car", IF(I56&lt;='Range Tables'!$G$19, 'Range Tables'!$B$19, 'Range Tables'!$B$20), 
  H56="Bike", IF(I56&lt;='Range Tables'!$G$25, 'Range Tables'!$B$25, 'Range Tables'!$B$26), 
  H56="Scooter", IF(I56&lt;='Range Tables'!$G$31, 'Range Tables'!$B$31, 'Range Tables'!$B$32), 
  H56="Auto", IF(I56&lt;='Range Tables'!$G$37, 'Range Tables'!$B$37, 'Range Tables'!$B$38), 
  H56="Carriers*", IF(I56&lt;='Range Tables'!$G$43, 'Range Tables'!$B$43, 'Range Tables'!$B$44), 
  H56="Van*", IF(I56&lt;='Range Tables'!$G$50, 'Range Tables'!$B$50, 'Range Tables'!$B$49)
)</f>
        <v>Petrol</v>
      </c>
      <c r="K56" s="112">
        <v>0.1039126049168817</v>
      </c>
      <c r="L56" s="113">
        <f>if(J56="Petrol",ifs(K56&lt;='Range Tables'!$G$5,'Range Tables'!$B$5,K56&lt;='Range Tables'!$G$6,'Range Tables'!$B$6,K56&lt;='Range Tables'!$G$7,'Range Tables'!$B$7),ifs(K56&lt;='Range Tables'!$G$13,'Range Tables'!$B$13,K56&lt;='Range Tables'!$G$14,'Range Tables'!$B$14))</f>
        <v>2</v>
      </c>
      <c r="M56" s="112">
        <v>0.8682833112446852</v>
      </c>
      <c r="N56" s="113" t="str">
        <f>ifs(H56="Car",ifs(M56&lt;='Range Tables'!$G$125,'Range Tables'!$B$125,M56&lt;='Range Tables'!$G$126,'Range Tables'!$B$126,M56&lt;='Range Tables'!$G$127,'Range Tables'!$B$127,M56&lt;='Range Tables'!$G$128,'Range Tables'!$B$128,M56&lt;='Range Tables'!$G$129,'Range Tables'!$B$129,'Range Tables'!$G$131,'Range Tables'!$B$131),H56="Bike",ifs(M56&lt;='Range Tables'!$G$136,'Range Tables'!$B$136,M56&lt;='Range Tables'!$G$137,'Range Tables'!$B$137,M56&lt;='Range Tables'!$G$138,'Range Tables'!$B$138,M56&lt;='Range Tables'!$G$142,'Range Tables'!$B$142),H56="Scooter",ifs(M56&lt;='Range Tables'!$G$148,'Range Tables'!$B$148,M56&lt;='Range Tables'!$G$149,'Range Tables'!$B$149,M56&lt;='Range Tables'!$G$150,'Range Tables'!$B$150,M56&lt;='Range Tables'!$G$151,'Range Tables'!$B$151),H56="Auto",ifs(M56&lt;='Range Tables'!$G$161,'Range Tables'!$B$161,M56&lt;='Range Tables'!$G$162,'Range Tables'!$B$162,M56&lt;='Range Tables'!$G$163,'Range Tables'!$B$163,M56&lt;='Range Tables'!$G$164,'Range Tables'!$B$164),H56="Carriers*",ifs(M56&lt;='Range Tables'!$G$173,'Range Tables'!$B$173,M56&lt;='Range Tables'!$G$174,'Range Tables'!$B$174,M56&lt;='Range Tables'!$G$175,'Range Tables'!$B$175,M56&lt;='Range Tables'!$G$176,'Range Tables'!$B$176,M56&lt;='Range Tables'!$G$177,'Range Tables'!$B$177,M56&lt;='Range Tables'!$G$179,'Range Tables'!$B$179),H56="Van*",ifs(M56&lt;='Range Tables'!$G$186,'Range Tables'!$B$186))</f>
        <v>120 - 180</v>
      </c>
      <c r="O56" s="113">
        <f>IFERROR(__xludf.DUMMYFUNCTION("SPLIT(N56,""-"")"),120.0)</f>
        <v>120</v>
      </c>
      <c r="P56" s="113">
        <f>IFERROR(__xludf.DUMMYFUNCTION("""COMPUTED_VALUE"""),180.0)</f>
        <v>180</v>
      </c>
      <c r="Q56" s="114">
        <f t="shared" si="2"/>
        <v>172.0969987</v>
      </c>
      <c r="R56" s="115">
        <f t="shared" si="3"/>
        <v>0.0461774753</v>
      </c>
      <c r="S56" s="114">
        <f t="shared" si="39"/>
        <v>3989.733866</v>
      </c>
      <c r="T56" s="113" t="str">
        <f t="shared" si="4"/>
        <v>no</v>
      </c>
      <c r="U56" s="115">
        <f t="shared" si="5"/>
        <v>0</v>
      </c>
      <c r="V56" s="113">
        <f t="shared" si="34"/>
        <v>0</v>
      </c>
      <c r="W56" s="115">
        <f t="shared" si="6"/>
        <v>0</v>
      </c>
      <c r="X56" s="85">
        <f t="shared" si="7"/>
        <v>0</v>
      </c>
      <c r="Y56" s="116">
        <f t="shared" si="8"/>
        <v>0</v>
      </c>
      <c r="Z56" s="113">
        <f t="shared" si="9"/>
        <v>0</v>
      </c>
      <c r="AA56" s="113" t="str">
        <f t="shared" si="10"/>
        <v>yes</v>
      </c>
      <c r="AB56" s="115">
        <f t="shared" si="11"/>
        <v>0.002582327421</v>
      </c>
      <c r="AC56" s="114">
        <f t="shared" si="35"/>
        <v>223.1130892</v>
      </c>
      <c r="AD56" s="116">
        <f t="shared" si="12"/>
        <v>0.04875980272</v>
      </c>
      <c r="AE56" s="114">
        <f t="shared" si="13"/>
        <v>4212.846955</v>
      </c>
      <c r="AF56" s="116">
        <f t="shared" si="14"/>
        <v>0.05075166613</v>
      </c>
      <c r="AG56" s="114">
        <f t="shared" si="15"/>
        <v>4384.943954</v>
      </c>
      <c r="AH56" s="113" t="str">
        <f t="shared" si="16"/>
        <v>no</v>
      </c>
      <c r="AI56" s="115">
        <f t="shared" si="17"/>
        <v>0</v>
      </c>
      <c r="AJ56" s="113">
        <f t="shared" si="36"/>
        <v>0</v>
      </c>
      <c r="AK56" s="116">
        <f t="shared" si="18"/>
        <v>0</v>
      </c>
      <c r="AL56" s="113">
        <f t="shared" si="19"/>
        <v>0</v>
      </c>
      <c r="AM56" s="115">
        <f t="shared" si="20"/>
        <v>0</v>
      </c>
      <c r="AN56" s="85">
        <f t="shared" si="21"/>
        <v>0</v>
      </c>
      <c r="AO56" s="113" t="str">
        <f t="shared" si="22"/>
        <v>no</v>
      </c>
      <c r="AP56" s="115">
        <f t="shared" si="23"/>
        <v>0</v>
      </c>
      <c r="AQ56" s="113">
        <f t="shared" si="37"/>
        <v>0</v>
      </c>
      <c r="AR56" s="116">
        <f t="shared" si="24"/>
        <v>0</v>
      </c>
      <c r="AS56" s="113">
        <f t="shared" si="25"/>
        <v>0</v>
      </c>
      <c r="AT56" s="116">
        <f t="shared" si="26"/>
        <v>0</v>
      </c>
      <c r="AU56" s="113">
        <f t="shared" si="27"/>
        <v>0</v>
      </c>
      <c r="AV56" s="113" t="str">
        <f t="shared" si="28"/>
        <v>no</v>
      </c>
      <c r="AW56" s="115">
        <f t="shared" si="29"/>
        <v>0</v>
      </c>
      <c r="AX56" s="85">
        <f t="shared" si="38"/>
        <v>0</v>
      </c>
      <c r="AY56" s="116">
        <f t="shared" si="30"/>
        <v>0</v>
      </c>
      <c r="AZ56" s="113">
        <f t="shared" si="31"/>
        <v>0</v>
      </c>
      <c r="BA56" s="116">
        <f t="shared" si="32"/>
        <v>0</v>
      </c>
      <c r="BB56" s="113">
        <f t="shared" si="33"/>
        <v>0</v>
      </c>
      <c r="BC56" s="112">
        <v>0.06040009288030035</v>
      </c>
      <c r="BD56" s="113" t="str">
        <f>ifs(BC56&lt;='Range Tables'!$G$81,'Range Tables'!$B$81,BC56&lt;='Range Tables'!$G$82,'Range Tables'!$B$82)</f>
        <v>Online*</v>
      </c>
      <c r="BE56" s="112">
        <v>0.9233923964536644</v>
      </c>
      <c r="BF56" s="112" t="str">
        <f>ifs(BE56&lt;='Range Tables'!$G$95,'Range Tables'!$B$95,BE56&lt;='Range Tables'!$G$96,'Range Tables'!$B$96,BE56&lt;='Range Tables'!$G$97,'Range Tables'!$B$97,BE56&lt;='Range Tables'!$G$98,'Range Tables'!$B$98,BE56&lt;='Range Tables'!$G$99,'Range Tables'!$B$99,BE56&lt;='Range Tables'!$G$100,'Range Tables'!$B$100,BE56&lt;='Range Tables'!$G$101,'Range Tables'!$B$101,BE56&lt;='Range Tables'!$G$102,'Range Tables'!$B$102,BE56&lt;='Range Tables'!$G$103,'Range Tables'!$B$103)</f>
        <v>Resai</v>
      </c>
      <c r="BG56" s="112">
        <v>0.27660636145725226</v>
      </c>
      <c r="BH56" s="113" t="str">
        <f>ifs(BG56&lt;='Range Tables'!$G$112,'Range Tables'!$B$112,BG56&lt;='Range Tables'!$G$113,'Range Tables'!$B$113,BG56&lt;='Range Tables'!$G$114,'Range Tables'!$B$114)</f>
        <v>0</v>
      </c>
      <c r="BI56" s="117">
        <v>0.24652859884510803</v>
      </c>
      <c r="BJ56" s="113" t="str">
        <f>ifs(BI56&lt;='Range Tables'!$G$118,'Range Tables'!$B$118,BI56&lt;='Range Tables'!$G$119,'Range Tables'!$B$119)</f>
        <v>Valid</v>
      </c>
    </row>
    <row r="57">
      <c r="A57" s="85">
        <v>54.0</v>
      </c>
      <c r="B57" s="112">
        <v>0.32985865928454183</v>
      </c>
      <c r="C57" s="113" t="str">
        <f>ifs(B57&lt;='Range Tables'!$G$54,'Range Tables'!$B$54,B57&lt;='Range Tables'!$G$55,'Range Tables'!$B$55,B57&lt;='Range Tables'!$G$56,'Range Tables'!$B$56,B57&lt;='Range Tables'!$G$57,'Range Tables'!$B$57,B57&lt;='Range Tables'!$G$58,'Range Tables'!$B$58,B57&lt;='Range Tables'!$G$59,'Range Tables'!$B$59,B57&lt;='Range Tables'!$G$60,'Range Tables'!$B$60,B57&lt;='Range Tables'!$G$61,'Range Tables'!$B$61,B57&lt;='Range Tables'!$G$63,'Range Tables'!$B$63,B57&lt;='Range Tables'!$G$64,'Range Tables'!$B$64,B57&lt;='Range Tables'!$G$66,'Range Tables'!$B$66)</f>
        <v>30 - 60 </v>
      </c>
      <c r="D57" s="113">
        <f>IFERROR(__xludf.DUMMYFUNCTION("SPLIT(C57,""-"")"),30.0)</f>
        <v>30</v>
      </c>
      <c r="E57" s="113">
        <f>IFERROR(__xludf.DUMMYFUNCTION("""COMPUTED_VALUE"""),60.0)</f>
        <v>60</v>
      </c>
      <c r="F57" s="114">
        <f t="shared" si="40"/>
        <v>39.89575978</v>
      </c>
      <c r="G57" s="112">
        <v>0.5746201426369211</v>
      </c>
      <c r="H57" s="113" t="str">
        <f>ifs(G57&lt;='Range Tables'!$G$86,'Range Tables'!$B$86,G57&lt;='Range Tables'!$G$87,'Range Tables'!$B$87,G57&lt;='Range Tables'!$G$88,'Range Tables'!$B$88,G57&lt;='Range Tables'!$G$89,'Range Tables'!$B$89,G57&lt;='Range Tables'!$G$90,'Range Tables'!$B$90,G57&lt;='Range Tables'!$G$91,'Range Tables'!$B$91)</f>
        <v>Bike</v>
      </c>
      <c r="I57" s="112">
        <v>0.4572369578503317</v>
      </c>
      <c r="J57" s="113" t="str">
        <f>IFS(
  H57="Car", IF(I57&lt;='Range Tables'!$G$19, 'Range Tables'!$B$19, 'Range Tables'!$B$20), 
  H57="Bike", IF(I57&lt;='Range Tables'!$G$25, 'Range Tables'!$B$25, 'Range Tables'!$B$26), 
  H57="Scooter", IF(I57&lt;='Range Tables'!$G$31, 'Range Tables'!$B$31, 'Range Tables'!$B$32), 
  H57="Auto", IF(I57&lt;='Range Tables'!$G$37, 'Range Tables'!$B$37, 'Range Tables'!$B$38), 
  H57="Carriers*", IF(I57&lt;='Range Tables'!$G$43, 'Range Tables'!$B$43, 'Range Tables'!$B$44), 
  H57="Van*", IF(I57&lt;='Range Tables'!$G$50, 'Range Tables'!$B$50, 'Range Tables'!$B$49)
)</f>
        <v>Petrol</v>
      </c>
      <c r="K57" s="112">
        <v>0.4054610737025224</v>
      </c>
      <c r="L57" s="113">
        <f>if(J57="Petrol",ifs(K57&lt;='Range Tables'!$G$5,'Range Tables'!$B$5,K57&lt;='Range Tables'!$G$6,'Range Tables'!$B$6,K57&lt;='Range Tables'!$G$7,'Range Tables'!$B$7),ifs(K57&lt;='Range Tables'!$G$13,'Range Tables'!$B$13,K57&lt;='Range Tables'!$G$14,'Range Tables'!$B$14))</f>
        <v>2</v>
      </c>
      <c r="M57" s="112">
        <v>0.2938035293416822</v>
      </c>
      <c r="N57" s="113" t="str">
        <f>ifs(H57="Car",ifs(M57&lt;='Range Tables'!$G$125,'Range Tables'!$B$125,M57&lt;='Range Tables'!$G$126,'Range Tables'!$B$126,M57&lt;='Range Tables'!$G$127,'Range Tables'!$B$127,M57&lt;='Range Tables'!$G$128,'Range Tables'!$B$128,M57&lt;='Range Tables'!$G$129,'Range Tables'!$B$129,'Range Tables'!$G$131,'Range Tables'!$B$131),H57="Bike",ifs(M57&lt;='Range Tables'!$G$136,'Range Tables'!$B$136,M57&lt;='Range Tables'!$G$137,'Range Tables'!$B$137,M57&lt;='Range Tables'!$G$138,'Range Tables'!$B$138,M57&lt;='Range Tables'!$G$142,'Range Tables'!$B$142),H57="Scooter",ifs(M57&lt;='Range Tables'!$G$148,'Range Tables'!$B$148,M57&lt;='Range Tables'!$G$149,'Range Tables'!$B$149,M57&lt;='Range Tables'!$G$150,'Range Tables'!$B$150,M57&lt;='Range Tables'!$G$151,'Range Tables'!$B$151),H57="Auto",ifs(M57&lt;='Range Tables'!$G$161,'Range Tables'!$B$161,M57&lt;='Range Tables'!$G$162,'Range Tables'!$B$162,M57&lt;='Range Tables'!$G$163,'Range Tables'!$B$163,M57&lt;='Range Tables'!$G$164,'Range Tables'!$B$164),H57="Carriers*",ifs(M57&lt;='Range Tables'!$G$173,'Range Tables'!$B$173,M57&lt;='Range Tables'!$G$174,'Range Tables'!$B$174,M57&lt;='Range Tables'!$G$175,'Range Tables'!$B$175,M57&lt;='Range Tables'!$G$176,'Range Tables'!$B$176,M57&lt;='Range Tables'!$G$177,'Range Tables'!$B$177,M57&lt;='Range Tables'!$G$179,'Range Tables'!$B$179),H57="Van*",ifs(M57&lt;='Range Tables'!$G$186,'Range Tables'!$B$186))</f>
        <v>60 - 120</v>
      </c>
      <c r="O57" s="113">
        <f>IFERROR(__xludf.DUMMYFUNCTION("SPLIT(N57,""-"")"),60.0)</f>
        <v>60</v>
      </c>
      <c r="P57" s="113">
        <f>IFERROR(__xludf.DUMMYFUNCTION("""COMPUTED_VALUE"""),120.0)</f>
        <v>120</v>
      </c>
      <c r="Q57" s="114">
        <f t="shared" si="2"/>
        <v>77.62821176</v>
      </c>
      <c r="R57" s="115">
        <f t="shared" si="3"/>
        <v>0.04784320705</v>
      </c>
      <c r="S57" s="114">
        <f t="shared" si="39"/>
        <v>4133.65309</v>
      </c>
      <c r="T57" s="113" t="str">
        <f t="shared" si="4"/>
        <v>no</v>
      </c>
      <c r="U57" s="115">
        <f t="shared" si="5"/>
        <v>0</v>
      </c>
      <c r="V57" s="113">
        <f t="shared" si="34"/>
        <v>0</v>
      </c>
      <c r="W57" s="115">
        <f t="shared" si="6"/>
        <v>0</v>
      </c>
      <c r="X57" s="85">
        <f t="shared" si="7"/>
        <v>0</v>
      </c>
      <c r="Y57" s="116">
        <f t="shared" si="8"/>
        <v>0</v>
      </c>
      <c r="Z57" s="113">
        <f t="shared" si="9"/>
        <v>0</v>
      </c>
      <c r="AA57" s="113" t="str">
        <f t="shared" si="10"/>
        <v>yes</v>
      </c>
      <c r="AB57" s="115">
        <f t="shared" si="11"/>
        <v>0.002908459077</v>
      </c>
      <c r="AC57" s="114">
        <f t="shared" si="35"/>
        <v>251.2908642</v>
      </c>
      <c r="AD57" s="116">
        <f t="shared" si="12"/>
        <v>0.05075166613</v>
      </c>
      <c r="AE57" s="114">
        <f t="shared" si="13"/>
        <v>4384.943954</v>
      </c>
      <c r="AF57" s="116">
        <f t="shared" si="14"/>
        <v>0.0516501408</v>
      </c>
      <c r="AG57" s="114">
        <f t="shared" si="15"/>
        <v>4462.572166</v>
      </c>
      <c r="AH57" s="113" t="str">
        <f t="shared" si="16"/>
        <v>no</v>
      </c>
      <c r="AI57" s="115">
        <f t="shared" si="17"/>
        <v>0</v>
      </c>
      <c r="AJ57" s="113">
        <f t="shared" si="36"/>
        <v>0</v>
      </c>
      <c r="AK57" s="116">
        <f t="shared" si="18"/>
        <v>0</v>
      </c>
      <c r="AL57" s="113">
        <f t="shared" si="19"/>
        <v>0</v>
      </c>
      <c r="AM57" s="115">
        <f t="shared" si="20"/>
        <v>0</v>
      </c>
      <c r="AN57" s="85">
        <f t="shared" si="21"/>
        <v>0</v>
      </c>
      <c r="AO57" s="113" t="str">
        <f t="shared" si="22"/>
        <v>no</v>
      </c>
      <c r="AP57" s="115">
        <f t="shared" si="23"/>
        <v>0</v>
      </c>
      <c r="AQ57" s="113">
        <f t="shared" si="37"/>
        <v>0</v>
      </c>
      <c r="AR57" s="116">
        <f t="shared" si="24"/>
        <v>0</v>
      </c>
      <c r="AS57" s="113">
        <f t="shared" si="25"/>
        <v>0</v>
      </c>
      <c r="AT57" s="116">
        <f t="shared" si="26"/>
        <v>0</v>
      </c>
      <c r="AU57" s="113">
        <f t="shared" si="27"/>
        <v>0</v>
      </c>
      <c r="AV57" s="113" t="str">
        <f t="shared" si="28"/>
        <v>no</v>
      </c>
      <c r="AW57" s="115">
        <f t="shared" si="29"/>
        <v>0</v>
      </c>
      <c r="AX57" s="85">
        <f t="shared" si="38"/>
        <v>0</v>
      </c>
      <c r="AY57" s="116">
        <f t="shared" si="30"/>
        <v>0</v>
      </c>
      <c r="AZ57" s="113">
        <f t="shared" si="31"/>
        <v>0</v>
      </c>
      <c r="BA57" s="116">
        <f t="shared" si="32"/>
        <v>0</v>
      </c>
      <c r="BB57" s="113">
        <f t="shared" si="33"/>
        <v>0</v>
      </c>
      <c r="BC57" s="112">
        <v>0.7461659637598987</v>
      </c>
      <c r="BD57" s="113" t="str">
        <f>ifs(BC57&lt;='Range Tables'!$G$81,'Range Tables'!$B$81,BC57&lt;='Range Tables'!$G$82,'Range Tables'!$B$82)</f>
        <v>Offline*</v>
      </c>
      <c r="BE57" s="112">
        <v>0.565810958574355</v>
      </c>
      <c r="BF57" s="112" t="str">
        <f>ifs(BE57&lt;='Range Tables'!$G$95,'Range Tables'!$B$95,BE57&lt;='Range Tables'!$G$96,'Range Tables'!$B$96,BE57&lt;='Range Tables'!$G$97,'Range Tables'!$B$97,BE57&lt;='Range Tables'!$G$98,'Range Tables'!$B$98,BE57&lt;='Range Tables'!$G$99,'Range Tables'!$B$99,BE57&lt;='Range Tables'!$G$100,'Range Tables'!$B$100,BE57&lt;='Range Tables'!$G$101,'Range Tables'!$B$101,BE57&lt;='Range Tables'!$G$102,'Range Tables'!$B$102,BE57&lt;='Range Tables'!$G$103,'Range Tables'!$B$103)</f>
        <v>Jammu</v>
      </c>
      <c r="BG57" s="112">
        <v>0.3640610661172523</v>
      </c>
      <c r="BH57" s="113" t="str">
        <f>ifs(BG57&lt;='Range Tables'!$G$112,'Range Tables'!$B$112,BG57&lt;='Range Tables'!$G$113,'Range Tables'!$B$113,BG57&lt;='Range Tables'!$G$114,'Range Tables'!$B$114)</f>
        <v>0</v>
      </c>
      <c r="BI57" s="117">
        <v>0.12722868037480883</v>
      </c>
      <c r="BJ57" s="113" t="str">
        <f>ifs(BI57&lt;='Range Tables'!$G$118,'Range Tables'!$B$118,BI57&lt;='Range Tables'!$G$119,'Range Tables'!$B$119)</f>
        <v>Valid</v>
      </c>
    </row>
    <row r="58">
      <c r="A58" s="85">
        <v>55.0</v>
      </c>
      <c r="B58" s="112">
        <v>0.36345978291097025</v>
      </c>
      <c r="C58" s="113" t="str">
        <f>ifs(B58&lt;='Range Tables'!$G$54,'Range Tables'!$B$54,B58&lt;='Range Tables'!$G$55,'Range Tables'!$B$55,B58&lt;='Range Tables'!$G$56,'Range Tables'!$B$56,B58&lt;='Range Tables'!$G$57,'Range Tables'!$B$57,B58&lt;='Range Tables'!$G$58,'Range Tables'!$B$58,B58&lt;='Range Tables'!$G$59,'Range Tables'!$B$59,B58&lt;='Range Tables'!$G$60,'Range Tables'!$B$60,B58&lt;='Range Tables'!$G$61,'Range Tables'!$B$61,B58&lt;='Range Tables'!$G$63,'Range Tables'!$B$63,B58&lt;='Range Tables'!$G$64,'Range Tables'!$B$64,B58&lt;='Range Tables'!$G$66,'Range Tables'!$B$66)</f>
        <v>30 - 60 </v>
      </c>
      <c r="D58" s="113">
        <f>IFERROR(__xludf.DUMMYFUNCTION("SPLIT(C58,""-"")"),30.0)</f>
        <v>30</v>
      </c>
      <c r="E58" s="113">
        <f>IFERROR(__xludf.DUMMYFUNCTION("""COMPUTED_VALUE"""),60.0)</f>
        <v>60</v>
      </c>
      <c r="F58" s="114">
        <f t="shared" si="40"/>
        <v>40.90379349</v>
      </c>
      <c r="G58" s="112">
        <v>0.1935634751380092</v>
      </c>
      <c r="H58" s="113" t="str">
        <f>ifs(G58&lt;='Range Tables'!$G$86,'Range Tables'!$B$86,G58&lt;='Range Tables'!$G$87,'Range Tables'!$B$87,G58&lt;='Range Tables'!$G$88,'Range Tables'!$B$88,G58&lt;='Range Tables'!$G$89,'Range Tables'!$B$89,G58&lt;='Range Tables'!$G$90,'Range Tables'!$B$90,G58&lt;='Range Tables'!$G$91,'Range Tables'!$B$91)</f>
        <v>Car</v>
      </c>
      <c r="I58" s="112">
        <v>0.2753870183700402</v>
      </c>
      <c r="J58" s="113" t="str">
        <f>IFS(
  H58="Car", IF(I58&lt;='Range Tables'!$G$19, 'Range Tables'!$B$19, 'Range Tables'!$B$20), 
  H58="Bike", IF(I58&lt;='Range Tables'!$G$25, 'Range Tables'!$B$25, 'Range Tables'!$B$26), 
  H58="Scooter", IF(I58&lt;='Range Tables'!$G$31, 'Range Tables'!$B$31, 'Range Tables'!$B$32), 
  H58="Auto", IF(I58&lt;='Range Tables'!$G$37, 'Range Tables'!$B$37, 'Range Tables'!$B$38), 
  H58="Carriers*", IF(I58&lt;='Range Tables'!$G$43, 'Range Tables'!$B$43, 'Range Tables'!$B$44), 
  H58="Van*", IF(I58&lt;='Range Tables'!$G$50, 'Range Tables'!$B$50, 'Range Tables'!$B$49)
)</f>
        <v>Petrol</v>
      </c>
      <c r="K58" s="112">
        <v>0.3615981186631637</v>
      </c>
      <c r="L58" s="113">
        <f>if(J58="Petrol",ifs(K58&lt;='Range Tables'!$G$5,'Range Tables'!$B$5,K58&lt;='Range Tables'!$G$6,'Range Tables'!$B$6,K58&lt;='Range Tables'!$G$7,'Range Tables'!$B$7),ifs(K58&lt;='Range Tables'!$G$13,'Range Tables'!$B$13,K58&lt;='Range Tables'!$G$14,'Range Tables'!$B$14))</f>
        <v>2</v>
      </c>
      <c r="M58" s="112">
        <v>0.04624894637336563</v>
      </c>
      <c r="N58" s="113" t="str">
        <f>ifs(H58="Car",ifs(M58&lt;='Range Tables'!$G$125,'Range Tables'!$B$125,M58&lt;='Range Tables'!$G$126,'Range Tables'!$B$126,M58&lt;='Range Tables'!$G$127,'Range Tables'!$B$127,M58&lt;='Range Tables'!$G$128,'Range Tables'!$B$128,M58&lt;='Range Tables'!$G$129,'Range Tables'!$B$129,'Range Tables'!$G$131,'Range Tables'!$B$131),H58="Bike",ifs(M58&lt;='Range Tables'!$G$136,'Range Tables'!$B$136,M58&lt;='Range Tables'!$G$137,'Range Tables'!$B$137,M58&lt;='Range Tables'!$G$138,'Range Tables'!$B$138,M58&lt;='Range Tables'!$G$142,'Range Tables'!$B$142),H58="Scooter",ifs(M58&lt;='Range Tables'!$G$148,'Range Tables'!$B$148,M58&lt;='Range Tables'!$G$149,'Range Tables'!$B$149,M58&lt;='Range Tables'!$G$150,'Range Tables'!$B$150,M58&lt;='Range Tables'!$G$151,'Range Tables'!$B$151),H58="Auto",ifs(M58&lt;='Range Tables'!$G$161,'Range Tables'!$B$161,M58&lt;='Range Tables'!$G$162,'Range Tables'!$B$162,M58&lt;='Range Tables'!$G$163,'Range Tables'!$B$163,M58&lt;='Range Tables'!$G$164,'Range Tables'!$B$164),H58="Carriers*",ifs(M58&lt;='Range Tables'!$G$173,'Range Tables'!$B$173,M58&lt;='Range Tables'!$G$174,'Range Tables'!$B$174,M58&lt;='Range Tables'!$G$175,'Range Tables'!$B$175,M58&lt;='Range Tables'!$G$176,'Range Tables'!$B$176,M58&lt;='Range Tables'!$G$177,'Range Tables'!$B$177,M58&lt;='Range Tables'!$G$179,'Range Tables'!$B$179),H58="Van*",ifs(M58&lt;='Range Tables'!$G$186,'Range Tables'!$B$186))</f>
        <v>60 - 120</v>
      </c>
      <c r="O58" s="113">
        <f>IFERROR(__xludf.DUMMYFUNCTION("SPLIT(N58,""-"")"),60.0)</f>
        <v>60</v>
      </c>
      <c r="P58" s="113">
        <f>IFERROR(__xludf.DUMMYFUNCTION("""COMPUTED_VALUE"""),120.0)</f>
        <v>120</v>
      </c>
      <c r="Q58" s="114">
        <f t="shared" si="2"/>
        <v>62.77493678</v>
      </c>
      <c r="R58" s="115">
        <f t="shared" si="3"/>
        <v>0.04830496353</v>
      </c>
      <c r="S58" s="114">
        <f t="shared" si="39"/>
        <v>4173.548849</v>
      </c>
      <c r="T58" s="113" t="str">
        <f t="shared" si="4"/>
        <v>no</v>
      </c>
      <c r="U58" s="115">
        <f t="shared" si="5"/>
        <v>0</v>
      </c>
      <c r="V58" s="113">
        <f t="shared" si="34"/>
        <v>0</v>
      </c>
      <c r="W58" s="115">
        <f t="shared" si="6"/>
        <v>0</v>
      </c>
      <c r="X58" s="85">
        <f t="shared" si="7"/>
        <v>0</v>
      </c>
      <c r="Y58" s="116">
        <f t="shared" si="8"/>
        <v>0</v>
      </c>
      <c r="Z58" s="113">
        <f t="shared" si="9"/>
        <v>0</v>
      </c>
      <c r="AA58" s="113" t="str">
        <f t="shared" si="10"/>
        <v>yes</v>
      </c>
      <c r="AB58" s="115">
        <f t="shared" si="11"/>
        <v>0.003345177271</v>
      </c>
      <c r="AC58" s="114">
        <f t="shared" si="35"/>
        <v>289.0233162</v>
      </c>
      <c r="AD58" s="116">
        <f t="shared" si="12"/>
        <v>0.0516501408</v>
      </c>
      <c r="AE58" s="114">
        <f t="shared" si="13"/>
        <v>4462.572166</v>
      </c>
      <c r="AF58" s="116">
        <f t="shared" si="14"/>
        <v>0.05237670257</v>
      </c>
      <c r="AG58" s="114">
        <f t="shared" si="15"/>
        <v>4525.347102</v>
      </c>
      <c r="AH58" s="113" t="str">
        <f t="shared" si="16"/>
        <v>no</v>
      </c>
      <c r="AI58" s="115">
        <f t="shared" si="17"/>
        <v>0</v>
      </c>
      <c r="AJ58" s="113">
        <f t="shared" si="36"/>
        <v>0</v>
      </c>
      <c r="AK58" s="116">
        <f t="shared" si="18"/>
        <v>0</v>
      </c>
      <c r="AL58" s="113">
        <f t="shared" si="19"/>
        <v>0</v>
      </c>
      <c r="AM58" s="115">
        <f t="shared" si="20"/>
        <v>0</v>
      </c>
      <c r="AN58" s="85">
        <f t="shared" si="21"/>
        <v>0</v>
      </c>
      <c r="AO58" s="113" t="str">
        <f t="shared" si="22"/>
        <v>no</v>
      </c>
      <c r="AP58" s="115">
        <f t="shared" si="23"/>
        <v>0</v>
      </c>
      <c r="AQ58" s="113">
        <f t="shared" si="37"/>
        <v>0</v>
      </c>
      <c r="AR58" s="116">
        <f t="shared" si="24"/>
        <v>0</v>
      </c>
      <c r="AS58" s="113">
        <f t="shared" si="25"/>
        <v>0</v>
      </c>
      <c r="AT58" s="116">
        <f t="shared" si="26"/>
        <v>0</v>
      </c>
      <c r="AU58" s="113">
        <f t="shared" si="27"/>
        <v>0</v>
      </c>
      <c r="AV58" s="113" t="str">
        <f t="shared" si="28"/>
        <v>no</v>
      </c>
      <c r="AW58" s="115">
        <f t="shared" si="29"/>
        <v>0</v>
      </c>
      <c r="AX58" s="85">
        <f t="shared" si="38"/>
        <v>0</v>
      </c>
      <c r="AY58" s="116">
        <f t="shared" si="30"/>
        <v>0</v>
      </c>
      <c r="AZ58" s="113">
        <f t="shared" si="31"/>
        <v>0</v>
      </c>
      <c r="BA58" s="116">
        <f t="shared" si="32"/>
        <v>0</v>
      </c>
      <c r="BB58" s="113">
        <f t="shared" si="33"/>
        <v>0</v>
      </c>
      <c r="BC58" s="112">
        <v>0.975629400739825</v>
      </c>
      <c r="BD58" s="113" t="str">
        <f>ifs(BC58&lt;='Range Tables'!$G$81,'Range Tables'!$B$81,BC58&lt;='Range Tables'!$G$82,'Range Tables'!$B$82)</f>
        <v>Offline*</v>
      </c>
      <c r="BE58" s="112">
        <v>0.16659902363392665</v>
      </c>
      <c r="BF58" s="112" t="str">
        <f>ifs(BE58&lt;='Range Tables'!$G$95,'Range Tables'!$B$95,BE58&lt;='Range Tables'!$G$96,'Range Tables'!$B$96,BE58&lt;='Range Tables'!$G$97,'Range Tables'!$B$97,BE58&lt;='Range Tables'!$G$98,'Range Tables'!$B$98,BE58&lt;='Range Tables'!$G$99,'Range Tables'!$B$99,BE58&lt;='Range Tables'!$G$100,'Range Tables'!$B$100,BE58&lt;='Range Tables'!$G$101,'Range Tables'!$B$101,BE58&lt;='Range Tables'!$G$102,'Range Tables'!$B$102,BE58&lt;='Range Tables'!$G$103,'Range Tables'!$B$103)</f>
        <v>Jammu</v>
      </c>
      <c r="BG58" s="112">
        <v>0.7220086525132458</v>
      </c>
      <c r="BH58" s="113" t="str">
        <f>ifs(BG58&lt;='Range Tables'!$G$112,'Range Tables'!$B$112,BG58&lt;='Range Tables'!$G$113,'Range Tables'!$B$113,BG58&lt;='Range Tables'!$G$114,'Range Tables'!$B$114)</f>
        <v>0</v>
      </c>
      <c r="BI58" s="117">
        <v>0.9198317780873755</v>
      </c>
      <c r="BJ58" s="113" t="str">
        <f>ifs(BI58&lt;='Range Tables'!$G$118,'Range Tables'!$B$118,BI58&lt;='Range Tables'!$G$119,'Range Tables'!$B$119)</f>
        <v>Expired</v>
      </c>
    </row>
    <row r="59">
      <c r="A59" s="85">
        <v>56.0</v>
      </c>
      <c r="B59" s="112">
        <v>0.6054819478197155</v>
      </c>
      <c r="C59" s="113" t="str">
        <f>ifs(B59&lt;='Range Tables'!$G$54,'Range Tables'!$B$54,B59&lt;='Range Tables'!$G$55,'Range Tables'!$B$55,B59&lt;='Range Tables'!$G$56,'Range Tables'!$B$56,B59&lt;='Range Tables'!$G$57,'Range Tables'!$B$57,B59&lt;='Range Tables'!$G$58,'Range Tables'!$B$58,B59&lt;='Range Tables'!$G$59,'Range Tables'!$B$59,B59&lt;='Range Tables'!$G$60,'Range Tables'!$B$60,B59&lt;='Range Tables'!$G$61,'Range Tables'!$B$61,B59&lt;='Range Tables'!$G$63,'Range Tables'!$B$63,B59&lt;='Range Tables'!$G$64,'Range Tables'!$B$64,B59&lt;='Range Tables'!$G$66,'Range Tables'!$B$66)</f>
        <v>60 - 90</v>
      </c>
      <c r="D59" s="113">
        <f>IFERROR(__xludf.DUMMYFUNCTION("SPLIT(C59,""-"")"),60.0)</f>
        <v>60</v>
      </c>
      <c r="E59" s="113">
        <f>IFERROR(__xludf.DUMMYFUNCTION("""COMPUTED_VALUE"""),90.0)</f>
        <v>90</v>
      </c>
      <c r="F59" s="114">
        <f t="shared" si="40"/>
        <v>78.16445843</v>
      </c>
      <c r="G59" s="112">
        <v>0.12063186880219423</v>
      </c>
      <c r="H59" s="113" t="str">
        <f>ifs(G59&lt;='Range Tables'!$G$86,'Range Tables'!$B$86,G59&lt;='Range Tables'!$G$87,'Range Tables'!$B$87,G59&lt;='Range Tables'!$G$88,'Range Tables'!$B$88,G59&lt;='Range Tables'!$G$89,'Range Tables'!$B$89,G59&lt;='Range Tables'!$G$90,'Range Tables'!$B$90,G59&lt;='Range Tables'!$G$91,'Range Tables'!$B$91)</f>
        <v>Car</v>
      </c>
      <c r="I59" s="112">
        <v>0.22244058601992456</v>
      </c>
      <c r="J59" s="113" t="str">
        <f>IFS(
  H59="Car", IF(I59&lt;='Range Tables'!$G$19, 'Range Tables'!$B$19, 'Range Tables'!$B$20), 
  H59="Bike", IF(I59&lt;='Range Tables'!$G$25, 'Range Tables'!$B$25, 'Range Tables'!$B$26), 
  H59="Scooter", IF(I59&lt;='Range Tables'!$G$31, 'Range Tables'!$B$31, 'Range Tables'!$B$32), 
  H59="Auto", IF(I59&lt;='Range Tables'!$G$37, 'Range Tables'!$B$37, 'Range Tables'!$B$38), 
  H59="Carriers*", IF(I59&lt;='Range Tables'!$G$43, 'Range Tables'!$B$43, 'Range Tables'!$B$44), 
  H59="Van*", IF(I59&lt;='Range Tables'!$G$50, 'Range Tables'!$B$50, 'Range Tables'!$B$49)
)</f>
        <v>Petrol</v>
      </c>
      <c r="K59" s="112">
        <v>0.887115897639032</v>
      </c>
      <c r="L59" s="113">
        <f>if(J59="Petrol",ifs(K59&lt;='Range Tables'!$G$5,'Range Tables'!$B$5,K59&lt;='Range Tables'!$G$6,'Range Tables'!$B$6,K59&lt;='Range Tables'!$G$7,'Range Tables'!$B$7),ifs(K59&lt;='Range Tables'!$G$13,'Range Tables'!$B$13,K59&lt;='Range Tables'!$G$14,'Range Tables'!$B$14))</f>
        <v>4</v>
      </c>
      <c r="M59" s="112">
        <v>0.7686433967399582</v>
      </c>
      <c r="N59" s="113" t="str">
        <f>ifs(H59="Car",ifs(M59&lt;='Range Tables'!$G$125,'Range Tables'!$B$125,M59&lt;='Range Tables'!$G$126,'Range Tables'!$B$126,M59&lt;='Range Tables'!$G$127,'Range Tables'!$B$127,M59&lt;='Range Tables'!$G$128,'Range Tables'!$B$128,M59&lt;='Range Tables'!$G$129,'Range Tables'!$B$129,'Range Tables'!$G$131,'Range Tables'!$B$131),H59="Bike",ifs(M59&lt;='Range Tables'!$G$136,'Range Tables'!$B$136,M59&lt;='Range Tables'!$G$137,'Range Tables'!$B$137,M59&lt;='Range Tables'!$G$138,'Range Tables'!$B$138,M59&lt;='Range Tables'!$G$142,'Range Tables'!$B$142),H59="Scooter",ifs(M59&lt;='Range Tables'!$G$148,'Range Tables'!$B$148,M59&lt;='Range Tables'!$G$149,'Range Tables'!$B$149,M59&lt;='Range Tables'!$G$150,'Range Tables'!$B$150,M59&lt;='Range Tables'!$G$151,'Range Tables'!$B$151),H59="Auto",ifs(M59&lt;='Range Tables'!$G$161,'Range Tables'!$B$161,M59&lt;='Range Tables'!$G$162,'Range Tables'!$B$162,M59&lt;='Range Tables'!$G$163,'Range Tables'!$B$163,M59&lt;='Range Tables'!$G$164,'Range Tables'!$B$164),H59="Carriers*",ifs(M59&lt;='Range Tables'!$G$173,'Range Tables'!$B$173,M59&lt;='Range Tables'!$G$174,'Range Tables'!$B$174,M59&lt;='Range Tables'!$G$175,'Range Tables'!$B$175,M59&lt;='Range Tables'!$G$176,'Range Tables'!$B$176,M59&lt;='Range Tables'!$G$177,'Range Tables'!$B$177,M59&lt;='Range Tables'!$G$179,'Range Tables'!$B$179),H59="Van*",ifs(M59&lt;='Range Tables'!$G$186,'Range Tables'!$B$186))</f>
        <v>120 - 180</v>
      </c>
      <c r="O59" s="113">
        <f>IFERROR(__xludf.DUMMYFUNCTION("SPLIT(N59,""-"")"),120.0)</f>
        <v>120</v>
      </c>
      <c r="P59" s="113">
        <f>IFERROR(__xludf.DUMMYFUNCTION("""COMPUTED_VALUE"""),180.0)</f>
        <v>180</v>
      </c>
      <c r="Q59" s="114">
        <f t="shared" si="2"/>
        <v>166.1186038</v>
      </c>
      <c r="R59" s="115">
        <f t="shared" si="3"/>
        <v>0.04877838707</v>
      </c>
      <c r="S59" s="114">
        <f t="shared" si="39"/>
        <v>4214.452643</v>
      </c>
      <c r="T59" s="113" t="str">
        <f t="shared" si="4"/>
        <v>no</v>
      </c>
      <c r="U59" s="115">
        <f t="shared" si="5"/>
        <v>0</v>
      </c>
      <c r="V59" s="113">
        <f t="shared" si="34"/>
        <v>0</v>
      </c>
      <c r="W59" s="115">
        <f t="shared" si="6"/>
        <v>0</v>
      </c>
      <c r="X59" s="85">
        <f t="shared" si="7"/>
        <v>0</v>
      </c>
      <c r="Y59" s="116">
        <f t="shared" si="8"/>
        <v>0</v>
      </c>
      <c r="Z59" s="113">
        <f t="shared" si="9"/>
        <v>0</v>
      </c>
      <c r="AA59" s="113" t="str">
        <f t="shared" si="10"/>
        <v>no</v>
      </c>
      <c r="AB59" s="115">
        <f t="shared" si="11"/>
        <v>0</v>
      </c>
      <c r="AC59" s="113">
        <f t="shared" si="35"/>
        <v>0</v>
      </c>
      <c r="AD59" s="116">
        <f t="shared" si="12"/>
        <v>0</v>
      </c>
      <c r="AE59" s="113">
        <f t="shared" si="13"/>
        <v>0</v>
      </c>
      <c r="AF59" s="116">
        <f t="shared" si="14"/>
        <v>0</v>
      </c>
      <c r="AG59" s="113">
        <f t="shared" si="15"/>
        <v>0</v>
      </c>
      <c r="AH59" s="113" t="str">
        <f t="shared" si="16"/>
        <v>no</v>
      </c>
      <c r="AI59" s="115">
        <f t="shared" si="17"/>
        <v>0</v>
      </c>
      <c r="AJ59" s="113">
        <f t="shared" si="36"/>
        <v>0</v>
      </c>
      <c r="AK59" s="116">
        <f t="shared" si="18"/>
        <v>0</v>
      </c>
      <c r="AL59" s="113">
        <f t="shared" si="19"/>
        <v>0</v>
      </c>
      <c r="AM59" s="115">
        <f t="shared" si="20"/>
        <v>0</v>
      </c>
      <c r="AN59" s="85">
        <f t="shared" si="21"/>
        <v>0</v>
      </c>
      <c r="AO59" s="113" t="str">
        <f t="shared" si="22"/>
        <v>yes</v>
      </c>
      <c r="AP59" s="115">
        <f t="shared" si="23"/>
        <v>0</v>
      </c>
      <c r="AQ59" s="113">
        <f t="shared" si="37"/>
        <v>0</v>
      </c>
      <c r="AR59" s="116">
        <f t="shared" si="24"/>
        <v>0.04877838707</v>
      </c>
      <c r="AS59" s="114">
        <f t="shared" si="25"/>
        <v>4214.452643</v>
      </c>
      <c r="AT59" s="116">
        <f t="shared" si="26"/>
        <v>0.0507010561</v>
      </c>
      <c r="AU59" s="114">
        <f t="shared" si="27"/>
        <v>4380.571247</v>
      </c>
      <c r="AV59" s="113" t="str">
        <f t="shared" si="28"/>
        <v>no</v>
      </c>
      <c r="AW59" s="115">
        <f t="shared" si="29"/>
        <v>0</v>
      </c>
      <c r="AX59" s="85">
        <f t="shared" si="38"/>
        <v>0</v>
      </c>
      <c r="AY59" s="116">
        <f t="shared" si="30"/>
        <v>0</v>
      </c>
      <c r="AZ59" s="113">
        <f t="shared" si="31"/>
        <v>0</v>
      </c>
      <c r="BA59" s="116">
        <f t="shared" si="32"/>
        <v>0</v>
      </c>
      <c r="BB59" s="113">
        <f t="shared" si="33"/>
        <v>0</v>
      </c>
      <c r="BC59" s="112">
        <v>0.2086100598560423</v>
      </c>
      <c r="BD59" s="113" t="str">
        <f>ifs(BC59&lt;='Range Tables'!$G$81,'Range Tables'!$B$81,BC59&lt;='Range Tables'!$G$82,'Range Tables'!$B$82)</f>
        <v>Online*</v>
      </c>
      <c r="BE59" s="112">
        <v>0.3083654304793477</v>
      </c>
      <c r="BF59" s="112" t="str">
        <f>ifs(BE59&lt;='Range Tables'!$G$95,'Range Tables'!$B$95,BE59&lt;='Range Tables'!$G$96,'Range Tables'!$B$96,BE59&lt;='Range Tables'!$G$97,'Range Tables'!$B$97,BE59&lt;='Range Tables'!$G$98,'Range Tables'!$B$98,BE59&lt;='Range Tables'!$G$99,'Range Tables'!$B$99,BE59&lt;='Range Tables'!$G$100,'Range Tables'!$B$100,BE59&lt;='Range Tables'!$G$101,'Range Tables'!$B$101,BE59&lt;='Range Tables'!$G$102,'Range Tables'!$B$102,BE59&lt;='Range Tables'!$G$103,'Range Tables'!$B$103)</f>
        <v>Jammu</v>
      </c>
      <c r="BG59" s="112">
        <v>0.9020973146151523</v>
      </c>
      <c r="BH59" s="113" t="str">
        <f>ifs(BG59&lt;='Range Tables'!$G$112,'Range Tables'!$B$112,BG59&lt;='Range Tables'!$G$113,'Range Tables'!$B$113,BG59&lt;='Range Tables'!$G$114,'Range Tables'!$B$114)</f>
        <v>1-5</v>
      </c>
      <c r="BI59" s="117">
        <v>0.5034386093087435</v>
      </c>
      <c r="BJ59" s="113" t="str">
        <f>ifs(BI59&lt;='Range Tables'!$G$118,'Range Tables'!$B$118,BI59&lt;='Range Tables'!$G$119,'Range Tables'!$B$119)</f>
        <v>Valid</v>
      </c>
    </row>
    <row r="60">
      <c r="A60" s="85">
        <v>57.0</v>
      </c>
      <c r="B60" s="112">
        <v>0.6838316206107551</v>
      </c>
      <c r="C60" s="113" t="str">
        <f>ifs(B60&lt;='Range Tables'!$G$54,'Range Tables'!$B$54,B60&lt;='Range Tables'!$G$55,'Range Tables'!$B$55,B60&lt;='Range Tables'!$G$56,'Range Tables'!$B$56,B60&lt;='Range Tables'!$G$57,'Range Tables'!$B$57,B60&lt;='Range Tables'!$G$58,'Range Tables'!$B$58,B60&lt;='Range Tables'!$G$59,'Range Tables'!$B$59,B60&lt;='Range Tables'!$G$60,'Range Tables'!$B$60,B60&lt;='Range Tables'!$G$61,'Range Tables'!$B$61,B60&lt;='Range Tables'!$G$63,'Range Tables'!$B$63,B60&lt;='Range Tables'!$G$64,'Range Tables'!$B$64,B60&lt;='Range Tables'!$G$66,'Range Tables'!$B$66)</f>
        <v>60 - 90</v>
      </c>
      <c r="D60" s="113">
        <f>IFERROR(__xludf.DUMMYFUNCTION("SPLIT(C60,""-"")"),60.0)</f>
        <v>60</v>
      </c>
      <c r="E60" s="113">
        <f>IFERROR(__xludf.DUMMYFUNCTION("""COMPUTED_VALUE"""),90.0)</f>
        <v>90</v>
      </c>
      <c r="F60" s="114">
        <f t="shared" si="40"/>
        <v>80.51494862</v>
      </c>
      <c r="G60" s="112">
        <v>0.33814086838335033</v>
      </c>
      <c r="H60" s="113" t="str">
        <f>ifs(G60&lt;='Range Tables'!$G$86,'Range Tables'!$B$86,G60&lt;='Range Tables'!$G$87,'Range Tables'!$B$87,G60&lt;='Range Tables'!$G$88,'Range Tables'!$B$88,G60&lt;='Range Tables'!$G$89,'Range Tables'!$B$89,G60&lt;='Range Tables'!$G$90,'Range Tables'!$B$90,G60&lt;='Range Tables'!$G$91,'Range Tables'!$B$91)</f>
        <v>Car</v>
      </c>
      <c r="I60" s="112">
        <v>0.8061555133297496</v>
      </c>
      <c r="J60" s="113" t="str">
        <f>IFS(
  H60="Car", IF(I60&lt;='Range Tables'!$G$19, 'Range Tables'!$B$19, 'Range Tables'!$B$20), 
  H60="Bike", IF(I60&lt;='Range Tables'!$G$25, 'Range Tables'!$B$25, 'Range Tables'!$B$26), 
  H60="Scooter", IF(I60&lt;='Range Tables'!$G$31, 'Range Tables'!$B$31, 'Range Tables'!$B$32), 
  H60="Auto", IF(I60&lt;='Range Tables'!$G$37, 'Range Tables'!$B$37, 'Range Tables'!$B$38), 
  H60="Carriers*", IF(I60&lt;='Range Tables'!$G$43, 'Range Tables'!$B$43, 'Range Tables'!$B$44), 
  H60="Van*", IF(I60&lt;='Range Tables'!$G$50, 'Range Tables'!$B$50, 'Range Tables'!$B$49)
)</f>
        <v>Petrol</v>
      </c>
      <c r="K60" s="112">
        <v>0.382836822790362</v>
      </c>
      <c r="L60" s="113">
        <f>if(J60="Petrol",ifs(K60&lt;='Range Tables'!$G$5,'Range Tables'!$B$5,K60&lt;='Range Tables'!$G$6,'Range Tables'!$B$6,K60&lt;='Range Tables'!$G$7,'Range Tables'!$B$7),ifs(K60&lt;='Range Tables'!$G$13,'Range Tables'!$B$13,K60&lt;='Range Tables'!$G$14,'Range Tables'!$B$14))</f>
        <v>2</v>
      </c>
      <c r="M60" s="112">
        <v>0.28005503941515886</v>
      </c>
      <c r="N60" s="113" t="str">
        <f>ifs(H60="Car",ifs(M60&lt;='Range Tables'!$G$125,'Range Tables'!$B$125,M60&lt;='Range Tables'!$G$126,'Range Tables'!$B$126,M60&lt;='Range Tables'!$G$127,'Range Tables'!$B$127,M60&lt;='Range Tables'!$G$128,'Range Tables'!$B$128,M60&lt;='Range Tables'!$G$129,'Range Tables'!$B$129,'Range Tables'!$G$131,'Range Tables'!$B$131),H60="Bike",ifs(M60&lt;='Range Tables'!$G$136,'Range Tables'!$B$136,M60&lt;='Range Tables'!$G$137,'Range Tables'!$B$137,M60&lt;='Range Tables'!$G$138,'Range Tables'!$B$138,M60&lt;='Range Tables'!$G$142,'Range Tables'!$B$142),H60="Scooter",ifs(M60&lt;='Range Tables'!$G$148,'Range Tables'!$B$148,M60&lt;='Range Tables'!$G$149,'Range Tables'!$B$149,M60&lt;='Range Tables'!$G$150,'Range Tables'!$B$150,M60&lt;='Range Tables'!$G$151,'Range Tables'!$B$151),H60="Auto",ifs(M60&lt;='Range Tables'!$G$161,'Range Tables'!$B$161,M60&lt;='Range Tables'!$G$162,'Range Tables'!$B$162,M60&lt;='Range Tables'!$G$163,'Range Tables'!$B$163,M60&lt;='Range Tables'!$G$164,'Range Tables'!$B$164),H60="Carriers*",ifs(M60&lt;='Range Tables'!$G$173,'Range Tables'!$B$173,M60&lt;='Range Tables'!$G$174,'Range Tables'!$B$174,M60&lt;='Range Tables'!$G$175,'Range Tables'!$B$175,M60&lt;='Range Tables'!$G$176,'Range Tables'!$B$176,M60&lt;='Range Tables'!$G$177,'Range Tables'!$B$177,M60&lt;='Range Tables'!$G$179,'Range Tables'!$B$179),H60="Van*",ifs(M60&lt;='Range Tables'!$G$186,'Range Tables'!$B$186))</f>
        <v>60 - 120</v>
      </c>
      <c r="O60" s="113">
        <f>IFERROR(__xludf.DUMMYFUNCTION("SPLIT(N60,""-"")"),60.0)</f>
        <v>60</v>
      </c>
      <c r="P60" s="113">
        <f>IFERROR(__xludf.DUMMYFUNCTION("""COMPUTED_VALUE"""),120.0)</f>
        <v>120</v>
      </c>
      <c r="Q60" s="114">
        <f t="shared" si="2"/>
        <v>76.80330236</v>
      </c>
      <c r="R60" s="115">
        <f t="shared" si="3"/>
        <v>0.0496830683</v>
      </c>
      <c r="S60" s="114">
        <f t="shared" si="39"/>
        <v>4292.617101</v>
      </c>
      <c r="T60" s="113" t="str">
        <f t="shared" si="4"/>
        <v>no</v>
      </c>
      <c r="U60" s="115">
        <f t="shared" si="5"/>
        <v>0</v>
      </c>
      <c r="V60" s="113">
        <f t="shared" si="34"/>
        <v>0</v>
      </c>
      <c r="W60" s="115">
        <f t="shared" si="6"/>
        <v>0</v>
      </c>
      <c r="X60" s="85">
        <f t="shared" si="7"/>
        <v>0</v>
      </c>
      <c r="Y60" s="116">
        <f t="shared" si="8"/>
        <v>0</v>
      </c>
      <c r="Z60" s="113">
        <f t="shared" si="9"/>
        <v>0</v>
      </c>
      <c r="AA60" s="113" t="str">
        <f t="shared" si="10"/>
        <v>yes</v>
      </c>
      <c r="AB60" s="115">
        <f t="shared" si="11"/>
        <v>0</v>
      </c>
      <c r="AC60" s="113">
        <f t="shared" si="35"/>
        <v>0</v>
      </c>
      <c r="AD60" s="116">
        <f t="shared" si="12"/>
        <v>0.0496830683</v>
      </c>
      <c r="AE60" s="114">
        <f t="shared" si="13"/>
        <v>4292.617101</v>
      </c>
      <c r="AF60" s="116">
        <f t="shared" si="14"/>
        <v>0.05057199541</v>
      </c>
      <c r="AG60" s="114">
        <f t="shared" si="15"/>
        <v>4369.420404</v>
      </c>
      <c r="AH60" s="113" t="str">
        <f t="shared" si="16"/>
        <v>no</v>
      </c>
      <c r="AI60" s="115">
        <f t="shared" si="17"/>
        <v>0</v>
      </c>
      <c r="AJ60" s="113">
        <f t="shared" si="36"/>
        <v>0</v>
      </c>
      <c r="AK60" s="116">
        <f t="shared" si="18"/>
        <v>0</v>
      </c>
      <c r="AL60" s="113">
        <f t="shared" si="19"/>
        <v>0</v>
      </c>
      <c r="AM60" s="115">
        <f t="shared" si="20"/>
        <v>0</v>
      </c>
      <c r="AN60" s="85">
        <f t="shared" si="21"/>
        <v>0</v>
      </c>
      <c r="AO60" s="113" t="str">
        <f t="shared" si="22"/>
        <v>no</v>
      </c>
      <c r="AP60" s="115">
        <f t="shared" si="23"/>
        <v>0</v>
      </c>
      <c r="AQ60" s="113">
        <f t="shared" si="37"/>
        <v>0</v>
      </c>
      <c r="AR60" s="116">
        <f t="shared" si="24"/>
        <v>0</v>
      </c>
      <c r="AS60" s="113">
        <f t="shared" si="25"/>
        <v>0</v>
      </c>
      <c r="AT60" s="116">
        <f t="shared" si="26"/>
        <v>0</v>
      </c>
      <c r="AU60" s="113">
        <f t="shared" si="27"/>
        <v>0</v>
      </c>
      <c r="AV60" s="113" t="str">
        <f t="shared" si="28"/>
        <v>no</v>
      </c>
      <c r="AW60" s="115">
        <f t="shared" si="29"/>
        <v>0</v>
      </c>
      <c r="AX60" s="85">
        <f t="shared" si="38"/>
        <v>0</v>
      </c>
      <c r="AY60" s="116">
        <f t="shared" si="30"/>
        <v>0</v>
      </c>
      <c r="AZ60" s="113">
        <f t="shared" si="31"/>
        <v>0</v>
      </c>
      <c r="BA60" s="116">
        <f t="shared" si="32"/>
        <v>0</v>
      </c>
      <c r="BB60" s="113">
        <f t="shared" si="33"/>
        <v>0</v>
      </c>
      <c r="BC60" s="112">
        <v>0.19191344026798407</v>
      </c>
      <c r="BD60" s="113" t="str">
        <f>ifs(BC60&lt;='Range Tables'!$G$81,'Range Tables'!$B$81,BC60&lt;='Range Tables'!$G$82,'Range Tables'!$B$82)</f>
        <v>Online*</v>
      </c>
      <c r="BE60" s="112">
        <v>0.03939608895895885</v>
      </c>
      <c r="BF60" s="112" t="str">
        <f>ifs(BE60&lt;='Range Tables'!$G$95,'Range Tables'!$B$95,BE60&lt;='Range Tables'!$G$96,'Range Tables'!$B$96,BE60&lt;='Range Tables'!$G$97,'Range Tables'!$B$97,BE60&lt;='Range Tables'!$G$98,'Range Tables'!$B$98,BE60&lt;='Range Tables'!$G$99,'Range Tables'!$B$99,BE60&lt;='Range Tables'!$G$100,'Range Tables'!$B$100,BE60&lt;='Range Tables'!$G$101,'Range Tables'!$B$101,BE60&lt;='Range Tables'!$G$102,'Range Tables'!$B$102,BE60&lt;='Range Tables'!$G$103,'Range Tables'!$B$103)</f>
        <v>Jammu</v>
      </c>
      <c r="BG60" s="112">
        <v>0.9256014897672099</v>
      </c>
      <c r="BH60" s="113" t="str">
        <f>ifs(BG60&lt;='Range Tables'!$G$112,'Range Tables'!$B$112,BG60&lt;='Range Tables'!$G$113,'Range Tables'!$B$113,BG60&lt;='Range Tables'!$G$114,'Range Tables'!$B$114)</f>
        <v>1-5</v>
      </c>
      <c r="BI60" s="117">
        <v>0.05243195725360772</v>
      </c>
      <c r="BJ60" s="113" t="str">
        <f>ifs(BI60&lt;='Range Tables'!$G$118,'Range Tables'!$B$118,BI60&lt;='Range Tables'!$G$119,'Range Tables'!$B$119)</f>
        <v>Valid</v>
      </c>
    </row>
    <row r="61">
      <c r="A61" s="85">
        <v>58.0</v>
      </c>
      <c r="B61" s="112">
        <v>0.6061938700815954</v>
      </c>
      <c r="C61" s="113" t="str">
        <f>ifs(B61&lt;='Range Tables'!$G$54,'Range Tables'!$B$54,B61&lt;='Range Tables'!$G$55,'Range Tables'!$B$55,B61&lt;='Range Tables'!$G$56,'Range Tables'!$B$56,B61&lt;='Range Tables'!$G$57,'Range Tables'!$B$57,B61&lt;='Range Tables'!$G$58,'Range Tables'!$B$58,B61&lt;='Range Tables'!$G$59,'Range Tables'!$B$59,B61&lt;='Range Tables'!$G$60,'Range Tables'!$B$60,B61&lt;='Range Tables'!$G$61,'Range Tables'!$B$61,B61&lt;='Range Tables'!$G$63,'Range Tables'!$B$63,B61&lt;='Range Tables'!$G$64,'Range Tables'!$B$64,B61&lt;='Range Tables'!$G$66,'Range Tables'!$B$66)</f>
        <v>60 - 90</v>
      </c>
      <c r="D61" s="113">
        <f>IFERROR(__xludf.DUMMYFUNCTION("SPLIT(C61,""-"")"),60.0)</f>
        <v>60</v>
      </c>
      <c r="E61" s="113">
        <f>IFERROR(__xludf.DUMMYFUNCTION("""COMPUTED_VALUE"""),90.0)</f>
        <v>90</v>
      </c>
      <c r="F61" s="114">
        <f t="shared" si="40"/>
        <v>78.1858161</v>
      </c>
      <c r="G61" s="112">
        <v>0.2207132721174886</v>
      </c>
      <c r="H61" s="113" t="str">
        <f>ifs(G61&lt;='Range Tables'!$G$86,'Range Tables'!$B$86,G61&lt;='Range Tables'!$G$87,'Range Tables'!$B$87,G61&lt;='Range Tables'!$G$88,'Range Tables'!$B$88,G61&lt;='Range Tables'!$G$89,'Range Tables'!$B$89,G61&lt;='Range Tables'!$G$90,'Range Tables'!$B$90,G61&lt;='Range Tables'!$G$91,'Range Tables'!$B$91)</f>
        <v>Car</v>
      </c>
      <c r="I61" s="112">
        <v>0.37140700792148107</v>
      </c>
      <c r="J61" s="113" t="str">
        <f>IFS(
  H61="Car", IF(I61&lt;='Range Tables'!$G$19, 'Range Tables'!$B$19, 'Range Tables'!$B$20), 
  H61="Bike", IF(I61&lt;='Range Tables'!$G$25, 'Range Tables'!$B$25, 'Range Tables'!$B$26), 
  H61="Scooter", IF(I61&lt;='Range Tables'!$G$31, 'Range Tables'!$B$31, 'Range Tables'!$B$32), 
  H61="Auto", IF(I61&lt;='Range Tables'!$G$37, 'Range Tables'!$B$37, 'Range Tables'!$B$38), 
  H61="Carriers*", IF(I61&lt;='Range Tables'!$G$43, 'Range Tables'!$B$43, 'Range Tables'!$B$44), 
  H61="Van*", IF(I61&lt;='Range Tables'!$G$50, 'Range Tables'!$B$50, 'Range Tables'!$B$49)
)</f>
        <v>Petrol</v>
      </c>
      <c r="K61" s="112">
        <v>0.016660602632233235</v>
      </c>
      <c r="L61" s="113">
        <f>if(J61="Petrol",ifs(K61&lt;='Range Tables'!$G$5,'Range Tables'!$B$5,K61&lt;='Range Tables'!$G$6,'Range Tables'!$B$6,K61&lt;='Range Tables'!$G$7,'Range Tables'!$B$7),ifs(K61&lt;='Range Tables'!$G$13,'Range Tables'!$B$13,K61&lt;='Range Tables'!$G$14,'Range Tables'!$B$14))</f>
        <v>2</v>
      </c>
      <c r="M61" s="112">
        <v>0.23779952888218592</v>
      </c>
      <c r="N61" s="113" t="str">
        <f>ifs(H61="Car",ifs(M61&lt;='Range Tables'!$G$125,'Range Tables'!$B$125,M61&lt;='Range Tables'!$G$126,'Range Tables'!$B$126,M61&lt;='Range Tables'!$G$127,'Range Tables'!$B$127,M61&lt;='Range Tables'!$G$128,'Range Tables'!$B$128,M61&lt;='Range Tables'!$G$129,'Range Tables'!$B$129,'Range Tables'!$G$131,'Range Tables'!$B$131),H61="Bike",ifs(M61&lt;='Range Tables'!$G$136,'Range Tables'!$B$136,M61&lt;='Range Tables'!$G$137,'Range Tables'!$B$137,M61&lt;='Range Tables'!$G$138,'Range Tables'!$B$138,M61&lt;='Range Tables'!$G$142,'Range Tables'!$B$142),H61="Scooter",ifs(M61&lt;='Range Tables'!$G$148,'Range Tables'!$B$148,M61&lt;='Range Tables'!$G$149,'Range Tables'!$B$149,M61&lt;='Range Tables'!$G$150,'Range Tables'!$B$150,M61&lt;='Range Tables'!$G$151,'Range Tables'!$B$151),H61="Auto",ifs(M61&lt;='Range Tables'!$G$161,'Range Tables'!$B$161,M61&lt;='Range Tables'!$G$162,'Range Tables'!$B$162,M61&lt;='Range Tables'!$G$163,'Range Tables'!$B$163,M61&lt;='Range Tables'!$G$164,'Range Tables'!$B$164),H61="Carriers*",ifs(M61&lt;='Range Tables'!$G$173,'Range Tables'!$B$173,M61&lt;='Range Tables'!$G$174,'Range Tables'!$B$174,M61&lt;='Range Tables'!$G$175,'Range Tables'!$B$175,M61&lt;='Range Tables'!$G$176,'Range Tables'!$B$176,M61&lt;='Range Tables'!$G$177,'Range Tables'!$B$177,M61&lt;='Range Tables'!$G$179,'Range Tables'!$B$179),H61="Van*",ifs(M61&lt;='Range Tables'!$G$186,'Range Tables'!$B$186))</f>
        <v>60 - 120</v>
      </c>
      <c r="O61" s="113">
        <f>IFERROR(__xludf.DUMMYFUNCTION("SPLIT(N61,""-"")"),60.0)</f>
        <v>60</v>
      </c>
      <c r="P61" s="113">
        <f>IFERROR(__xludf.DUMMYFUNCTION("""COMPUTED_VALUE"""),120.0)</f>
        <v>120</v>
      </c>
      <c r="Q61" s="114">
        <f t="shared" si="2"/>
        <v>74.26797173</v>
      </c>
      <c r="R61" s="115">
        <f t="shared" si="3"/>
        <v>0.05061495428</v>
      </c>
      <c r="S61" s="114">
        <f t="shared" si="39"/>
        <v>4373.13205</v>
      </c>
      <c r="T61" s="113" t="str">
        <f t="shared" si="4"/>
        <v>no</v>
      </c>
      <c r="U61" s="115">
        <f t="shared" si="5"/>
        <v>0</v>
      </c>
      <c r="V61" s="113">
        <f t="shared" si="34"/>
        <v>0</v>
      </c>
      <c r="W61" s="115">
        <f t="shared" si="6"/>
        <v>0</v>
      </c>
      <c r="X61" s="85">
        <f t="shared" si="7"/>
        <v>0</v>
      </c>
      <c r="Y61" s="116">
        <f t="shared" si="8"/>
        <v>0</v>
      </c>
      <c r="Z61" s="113">
        <f t="shared" si="9"/>
        <v>0</v>
      </c>
      <c r="AA61" s="113" t="str">
        <f t="shared" si="10"/>
        <v>yes</v>
      </c>
      <c r="AB61" s="115">
        <f t="shared" si="11"/>
        <v>0</v>
      </c>
      <c r="AC61" s="113">
        <f t="shared" si="35"/>
        <v>0</v>
      </c>
      <c r="AD61" s="116">
        <f t="shared" si="12"/>
        <v>0.05061495428</v>
      </c>
      <c r="AE61" s="114">
        <f t="shared" si="13"/>
        <v>4373.13205</v>
      </c>
      <c r="AF61" s="116">
        <f t="shared" si="14"/>
        <v>0.05147453729</v>
      </c>
      <c r="AG61" s="114">
        <f t="shared" si="15"/>
        <v>4447.400022</v>
      </c>
      <c r="AH61" s="113" t="str">
        <f t="shared" si="16"/>
        <v>no</v>
      </c>
      <c r="AI61" s="115">
        <f t="shared" si="17"/>
        <v>0</v>
      </c>
      <c r="AJ61" s="113">
        <f t="shared" si="36"/>
        <v>0</v>
      </c>
      <c r="AK61" s="116">
        <f t="shared" si="18"/>
        <v>0</v>
      </c>
      <c r="AL61" s="113">
        <f t="shared" si="19"/>
        <v>0</v>
      </c>
      <c r="AM61" s="115">
        <f t="shared" si="20"/>
        <v>0</v>
      </c>
      <c r="AN61" s="85">
        <f t="shared" si="21"/>
        <v>0</v>
      </c>
      <c r="AO61" s="113" t="str">
        <f t="shared" si="22"/>
        <v>no</v>
      </c>
      <c r="AP61" s="115">
        <f t="shared" si="23"/>
        <v>0</v>
      </c>
      <c r="AQ61" s="113">
        <f t="shared" si="37"/>
        <v>0</v>
      </c>
      <c r="AR61" s="116">
        <f t="shared" si="24"/>
        <v>0</v>
      </c>
      <c r="AS61" s="113">
        <f t="shared" si="25"/>
        <v>0</v>
      </c>
      <c r="AT61" s="116">
        <f t="shared" si="26"/>
        <v>0</v>
      </c>
      <c r="AU61" s="113">
        <f t="shared" si="27"/>
        <v>0</v>
      </c>
      <c r="AV61" s="113" t="str">
        <f t="shared" si="28"/>
        <v>no</v>
      </c>
      <c r="AW61" s="115">
        <f t="shared" si="29"/>
        <v>0</v>
      </c>
      <c r="AX61" s="85">
        <f t="shared" si="38"/>
        <v>0</v>
      </c>
      <c r="AY61" s="116">
        <f t="shared" si="30"/>
        <v>0</v>
      </c>
      <c r="AZ61" s="113">
        <f t="shared" si="31"/>
        <v>0</v>
      </c>
      <c r="BA61" s="116">
        <f t="shared" si="32"/>
        <v>0</v>
      </c>
      <c r="BB61" s="113">
        <f t="shared" si="33"/>
        <v>0</v>
      </c>
      <c r="BC61" s="112">
        <v>0.28452587317398004</v>
      </c>
      <c r="BD61" s="113" t="str">
        <f>ifs(BC61&lt;='Range Tables'!$G$81,'Range Tables'!$B$81,BC61&lt;='Range Tables'!$G$82,'Range Tables'!$B$82)</f>
        <v>Online*</v>
      </c>
      <c r="BE61" s="112">
        <v>0.135002190924004</v>
      </c>
      <c r="BF61" s="112" t="str">
        <f>ifs(BE61&lt;='Range Tables'!$G$95,'Range Tables'!$B$95,BE61&lt;='Range Tables'!$G$96,'Range Tables'!$B$96,BE61&lt;='Range Tables'!$G$97,'Range Tables'!$B$97,BE61&lt;='Range Tables'!$G$98,'Range Tables'!$B$98,BE61&lt;='Range Tables'!$G$99,'Range Tables'!$B$99,BE61&lt;='Range Tables'!$G$100,'Range Tables'!$B$100,BE61&lt;='Range Tables'!$G$101,'Range Tables'!$B$101,BE61&lt;='Range Tables'!$G$102,'Range Tables'!$B$102,BE61&lt;='Range Tables'!$G$103,'Range Tables'!$B$103)</f>
        <v>Jammu</v>
      </c>
      <c r="BG61" s="112">
        <v>0.7613390817002799</v>
      </c>
      <c r="BH61" s="113" t="str">
        <f>ifs(BG61&lt;='Range Tables'!$G$112,'Range Tables'!$B$112,BG61&lt;='Range Tables'!$G$113,'Range Tables'!$B$113,BG61&lt;='Range Tables'!$G$114,'Range Tables'!$B$114)</f>
        <v>0</v>
      </c>
      <c r="BI61" s="117">
        <v>0.8119198217939178</v>
      </c>
      <c r="BJ61" s="113" t="str">
        <f>ifs(BI61&lt;='Range Tables'!$G$118,'Range Tables'!$B$118,BI61&lt;='Range Tables'!$G$119,'Range Tables'!$B$119)</f>
        <v>Expired</v>
      </c>
    </row>
    <row r="62">
      <c r="A62" s="85">
        <v>59.0</v>
      </c>
      <c r="B62" s="112">
        <v>0.17379563074852944</v>
      </c>
      <c r="C62" s="113" t="str">
        <f>ifs(B62&lt;='Range Tables'!$G$54,'Range Tables'!$B$54,B62&lt;='Range Tables'!$G$55,'Range Tables'!$B$55,B62&lt;='Range Tables'!$G$56,'Range Tables'!$B$56,B62&lt;='Range Tables'!$G$57,'Range Tables'!$B$57,B62&lt;='Range Tables'!$G$58,'Range Tables'!$B$58,B62&lt;='Range Tables'!$G$59,'Range Tables'!$B$59,B62&lt;='Range Tables'!$G$60,'Range Tables'!$B$60,B62&lt;='Range Tables'!$G$61,'Range Tables'!$B$61,B62&lt;='Range Tables'!$G$63,'Range Tables'!$B$63,B62&lt;='Range Tables'!$G$64,'Range Tables'!$B$64,B62&lt;='Range Tables'!$G$66,'Range Tables'!$B$66)</f>
        <v>0 - 30</v>
      </c>
      <c r="D62" s="113">
        <f>IFERROR(__xludf.DUMMYFUNCTION("SPLIT(C62,""-"")"),0.0)</f>
        <v>0</v>
      </c>
      <c r="E62" s="113">
        <f>IFERROR(__xludf.DUMMYFUNCTION("""COMPUTED_VALUE"""),30.0)</f>
        <v>30</v>
      </c>
      <c r="F62" s="114">
        <f t="shared" si="40"/>
        <v>5.213868922</v>
      </c>
      <c r="G62" s="112">
        <v>0.5576555209973523</v>
      </c>
      <c r="H62" s="113" t="str">
        <f>ifs(G62&lt;='Range Tables'!$G$86,'Range Tables'!$B$86,G62&lt;='Range Tables'!$G$87,'Range Tables'!$B$87,G62&lt;='Range Tables'!$G$88,'Range Tables'!$B$88,G62&lt;='Range Tables'!$G$89,'Range Tables'!$B$89,G62&lt;='Range Tables'!$G$90,'Range Tables'!$B$90,G62&lt;='Range Tables'!$G$91,'Range Tables'!$B$91)</f>
        <v>Bike</v>
      </c>
      <c r="I62" s="112">
        <v>0.5818673377344953</v>
      </c>
      <c r="J62" s="113" t="str">
        <f>IFS(
  H62="Car", IF(I62&lt;='Range Tables'!$G$19, 'Range Tables'!$B$19, 'Range Tables'!$B$20), 
  H62="Bike", IF(I62&lt;='Range Tables'!$G$25, 'Range Tables'!$B$25, 'Range Tables'!$B$26), 
  H62="Scooter", IF(I62&lt;='Range Tables'!$G$31, 'Range Tables'!$B$31, 'Range Tables'!$B$32), 
  H62="Auto", IF(I62&lt;='Range Tables'!$G$37, 'Range Tables'!$B$37, 'Range Tables'!$B$38), 
  H62="Carriers*", IF(I62&lt;='Range Tables'!$G$43, 'Range Tables'!$B$43, 'Range Tables'!$B$44), 
  H62="Van*", IF(I62&lt;='Range Tables'!$G$50, 'Range Tables'!$B$50, 'Range Tables'!$B$49)
)</f>
        <v>Petrol</v>
      </c>
      <c r="K62" s="112">
        <v>0.07643531484575783</v>
      </c>
      <c r="L62" s="113">
        <f>if(J62="Petrol",ifs(K62&lt;='Range Tables'!$G$5,'Range Tables'!$B$5,K62&lt;='Range Tables'!$G$6,'Range Tables'!$B$6,K62&lt;='Range Tables'!$G$7,'Range Tables'!$B$7),ifs(K62&lt;='Range Tables'!$G$13,'Range Tables'!$B$13,K62&lt;='Range Tables'!$G$14,'Range Tables'!$B$14))</f>
        <v>2</v>
      </c>
      <c r="M62" s="112">
        <v>0.7141678821500395</v>
      </c>
      <c r="N62" s="113" t="str">
        <f>ifs(H62="Car",ifs(M62&lt;='Range Tables'!$G$125,'Range Tables'!$B$125,M62&lt;='Range Tables'!$G$126,'Range Tables'!$B$126,M62&lt;='Range Tables'!$G$127,'Range Tables'!$B$127,M62&lt;='Range Tables'!$G$128,'Range Tables'!$B$128,M62&lt;='Range Tables'!$G$129,'Range Tables'!$B$129,'Range Tables'!$G$131,'Range Tables'!$B$131),H62="Bike",ifs(M62&lt;='Range Tables'!$G$136,'Range Tables'!$B$136,M62&lt;='Range Tables'!$G$137,'Range Tables'!$B$137,M62&lt;='Range Tables'!$G$138,'Range Tables'!$B$138,M62&lt;='Range Tables'!$G$142,'Range Tables'!$B$142),H62="Scooter",ifs(M62&lt;='Range Tables'!$G$148,'Range Tables'!$B$148,M62&lt;='Range Tables'!$G$149,'Range Tables'!$B$149,M62&lt;='Range Tables'!$G$150,'Range Tables'!$B$150,M62&lt;='Range Tables'!$G$151,'Range Tables'!$B$151),H62="Auto",ifs(M62&lt;='Range Tables'!$G$161,'Range Tables'!$B$161,M62&lt;='Range Tables'!$G$162,'Range Tables'!$B$162,M62&lt;='Range Tables'!$G$163,'Range Tables'!$B$163,M62&lt;='Range Tables'!$G$164,'Range Tables'!$B$164),H62="Carriers*",ifs(M62&lt;='Range Tables'!$G$173,'Range Tables'!$B$173,M62&lt;='Range Tables'!$G$174,'Range Tables'!$B$174,M62&lt;='Range Tables'!$G$175,'Range Tables'!$B$175,M62&lt;='Range Tables'!$G$176,'Range Tables'!$B$176,M62&lt;='Range Tables'!$G$177,'Range Tables'!$B$177,M62&lt;='Range Tables'!$G$179,'Range Tables'!$B$179),H62="Van*",ifs(M62&lt;='Range Tables'!$G$186,'Range Tables'!$B$186))</f>
        <v>120 - 180</v>
      </c>
      <c r="O62" s="113">
        <f>IFERROR(__xludf.DUMMYFUNCTION("SPLIT(N62,""-"")"),120.0)</f>
        <v>120</v>
      </c>
      <c r="P62" s="113">
        <f>IFERROR(__xludf.DUMMYFUNCTION("""COMPUTED_VALUE"""),180.0)</f>
        <v>180</v>
      </c>
      <c r="Q62" s="114">
        <f t="shared" si="2"/>
        <v>162.8500729</v>
      </c>
      <c r="R62" s="115">
        <f t="shared" si="3"/>
        <v>0.05151988271</v>
      </c>
      <c r="S62" s="114">
        <f t="shared" si="39"/>
        <v>4451.317866</v>
      </c>
      <c r="T62" s="113" t="str">
        <f t="shared" si="4"/>
        <v>no</v>
      </c>
      <c r="U62" s="115">
        <f t="shared" si="5"/>
        <v>0</v>
      </c>
      <c r="V62" s="113">
        <f t="shared" si="34"/>
        <v>0</v>
      </c>
      <c r="W62" s="115">
        <f t="shared" si="6"/>
        <v>0</v>
      </c>
      <c r="X62" s="85">
        <f t="shared" si="7"/>
        <v>0</v>
      </c>
      <c r="Y62" s="116">
        <f t="shared" si="8"/>
        <v>0</v>
      </c>
      <c r="Z62" s="113">
        <f t="shared" si="9"/>
        <v>0</v>
      </c>
      <c r="AA62" s="113" t="str">
        <f t="shared" si="10"/>
        <v>yes</v>
      </c>
      <c r="AB62" s="115">
        <f t="shared" si="11"/>
        <v>0</v>
      </c>
      <c r="AC62" s="113">
        <f t="shared" si="35"/>
        <v>0</v>
      </c>
      <c r="AD62" s="116">
        <f t="shared" si="12"/>
        <v>0.05151988271</v>
      </c>
      <c r="AE62" s="114">
        <f t="shared" si="13"/>
        <v>4451.317866</v>
      </c>
      <c r="AF62" s="116">
        <f t="shared" si="14"/>
        <v>0.05340472152</v>
      </c>
      <c r="AG62" s="114">
        <f t="shared" si="15"/>
        <v>4614.167939</v>
      </c>
      <c r="AH62" s="113" t="str">
        <f t="shared" si="16"/>
        <v>no</v>
      </c>
      <c r="AI62" s="115">
        <f t="shared" si="17"/>
        <v>0</v>
      </c>
      <c r="AJ62" s="113">
        <f t="shared" si="36"/>
        <v>0</v>
      </c>
      <c r="AK62" s="116">
        <f t="shared" si="18"/>
        <v>0</v>
      </c>
      <c r="AL62" s="113">
        <f t="shared" si="19"/>
        <v>0</v>
      </c>
      <c r="AM62" s="115">
        <f t="shared" si="20"/>
        <v>0</v>
      </c>
      <c r="AN62" s="85">
        <f t="shared" si="21"/>
        <v>0</v>
      </c>
      <c r="AO62" s="113" t="str">
        <f t="shared" si="22"/>
        <v>no</v>
      </c>
      <c r="AP62" s="115">
        <f t="shared" si="23"/>
        <v>0</v>
      </c>
      <c r="AQ62" s="113">
        <f t="shared" si="37"/>
        <v>0</v>
      </c>
      <c r="AR62" s="116">
        <f t="shared" si="24"/>
        <v>0</v>
      </c>
      <c r="AS62" s="113">
        <f t="shared" si="25"/>
        <v>0</v>
      </c>
      <c r="AT62" s="116">
        <f t="shared" si="26"/>
        <v>0</v>
      </c>
      <c r="AU62" s="113">
        <f t="shared" si="27"/>
        <v>0</v>
      </c>
      <c r="AV62" s="113" t="str">
        <f t="shared" si="28"/>
        <v>no</v>
      </c>
      <c r="AW62" s="115">
        <f t="shared" si="29"/>
        <v>0</v>
      </c>
      <c r="AX62" s="85">
        <f t="shared" si="38"/>
        <v>0</v>
      </c>
      <c r="AY62" s="116">
        <f t="shared" si="30"/>
        <v>0</v>
      </c>
      <c r="AZ62" s="113">
        <f t="shared" si="31"/>
        <v>0</v>
      </c>
      <c r="BA62" s="116">
        <f t="shared" si="32"/>
        <v>0</v>
      </c>
      <c r="BB62" s="113">
        <f t="shared" si="33"/>
        <v>0</v>
      </c>
      <c r="BC62" s="112">
        <v>0.7301695693307058</v>
      </c>
      <c r="BD62" s="113" t="str">
        <f>ifs(BC62&lt;='Range Tables'!$G$81,'Range Tables'!$B$81,BC62&lt;='Range Tables'!$G$82,'Range Tables'!$B$82)</f>
        <v>Offline*</v>
      </c>
      <c r="BE62" s="112">
        <v>0.2478853564444301</v>
      </c>
      <c r="BF62" s="112" t="str">
        <f>ifs(BE62&lt;='Range Tables'!$G$95,'Range Tables'!$B$95,BE62&lt;='Range Tables'!$G$96,'Range Tables'!$B$96,BE62&lt;='Range Tables'!$G$97,'Range Tables'!$B$97,BE62&lt;='Range Tables'!$G$98,'Range Tables'!$B$98,BE62&lt;='Range Tables'!$G$99,'Range Tables'!$B$99,BE62&lt;='Range Tables'!$G$100,'Range Tables'!$B$100,BE62&lt;='Range Tables'!$G$101,'Range Tables'!$B$101,BE62&lt;='Range Tables'!$G$102,'Range Tables'!$B$102,BE62&lt;='Range Tables'!$G$103,'Range Tables'!$B$103)</f>
        <v>Jammu</v>
      </c>
      <c r="BG62" s="112">
        <v>0.38440075256921</v>
      </c>
      <c r="BH62" s="113" t="str">
        <f>ifs(BG62&lt;='Range Tables'!$G$112,'Range Tables'!$B$112,BG62&lt;='Range Tables'!$G$113,'Range Tables'!$B$113,BG62&lt;='Range Tables'!$G$114,'Range Tables'!$B$114)</f>
        <v>0</v>
      </c>
      <c r="BI62" s="117">
        <v>0.44512107819384306</v>
      </c>
      <c r="BJ62" s="113" t="str">
        <f>ifs(BI62&lt;='Range Tables'!$G$118,'Range Tables'!$B$118,BI62&lt;='Range Tables'!$G$119,'Range Tables'!$B$119)</f>
        <v>Valid</v>
      </c>
    </row>
    <row r="63">
      <c r="A63" s="85">
        <v>60.0</v>
      </c>
      <c r="B63" s="112">
        <v>0.9780678096463284</v>
      </c>
      <c r="C63" s="113" t="str">
        <f>ifs(B63&lt;='Range Tables'!$G$54,'Range Tables'!$B$54,B63&lt;='Range Tables'!$G$55,'Range Tables'!$B$55,B63&lt;='Range Tables'!$G$56,'Range Tables'!$B$56,B63&lt;='Range Tables'!$G$57,'Range Tables'!$B$57,B63&lt;='Range Tables'!$G$58,'Range Tables'!$B$58,B63&lt;='Range Tables'!$G$59,'Range Tables'!$B$59,B63&lt;='Range Tables'!$G$60,'Range Tables'!$B$60,B63&lt;='Range Tables'!$G$61,'Range Tables'!$B$61,B63&lt;='Range Tables'!$G$63,'Range Tables'!$B$63,B63&lt;='Range Tables'!$G$64,'Range Tables'!$B$64,B63&lt;='Range Tables'!$G$66,'Range Tables'!$B$66)</f>
        <v>300 - 330</v>
      </c>
      <c r="D63" s="113">
        <f>IFERROR(__xludf.DUMMYFUNCTION("SPLIT(C63,""-"")"),300.0)</f>
        <v>300</v>
      </c>
      <c r="E63" s="113">
        <f>IFERROR(__xludf.DUMMYFUNCTION("""COMPUTED_VALUE"""),330.0)</f>
        <v>330</v>
      </c>
      <c r="F63" s="114">
        <f t="shared" si="40"/>
        <v>329.3420343</v>
      </c>
      <c r="G63" s="112">
        <v>0.18773412822565438</v>
      </c>
      <c r="H63" s="113" t="str">
        <f>ifs(G63&lt;='Range Tables'!$G$86,'Range Tables'!$B$86,G63&lt;='Range Tables'!$G$87,'Range Tables'!$B$87,G63&lt;='Range Tables'!$G$88,'Range Tables'!$B$88,G63&lt;='Range Tables'!$G$89,'Range Tables'!$B$89,G63&lt;='Range Tables'!$G$90,'Range Tables'!$B$90,G63&lt;='Range Tables'!$G$91,'Range Tables'!$B$91)</f>
        <v>Car</v>
      </c>
      <c r="I63" s="112">
        <v>0.4239354464827464</v>
      </c>
      <c r="J63" s="113" t="str">
        <f>IFS(
  H63="Car", IF(I63&lt;='Range Tables'!$G$19, 'Range Tables'!$B$19, 'Range Tables'!$B$20), 
  H63="Bike", IF(I63&lt;='Range Tables'!$G$25, 'Range Tables'!$B$25, 'Range Tables'!$B$26), 
  H63="Scooter", IF(I63&lt;='Range Tables'!$G$31, 'Range Tables'!$B$31, 'Range Tables'!$B$32), 
  H63="Auto", IF(I63&lt;='Range Tables'!$G$37, 'Range Tables'!$B$37, 'Range Tables'!$B$38), 
  H63="Carriers*", IF(I63&lt;='Range Tables'!$G$43, 'Range Tables'!$B$43, 'Range Tables'!$B$44), 
  H63="Van*", IF(I63&lt;='Range Tables'!$G$50, 'Range Tables'!$B$50, 'Range Tables'!$B$49)
)</f>
        <v>Petrol</v>
      </c>
      <c r="K63" s="112">
        <v>0.09977393848854665</v>
      </c>
      <c r="L63" s="113">
        <f>if(J63="Petrol",ifs(K63&lt;='Range Tables'!$G$5,'Range Tables'!$B$5,K63&lt;='Range Tables'!$G$6,'Range Tables'!$B$6,K63&lt;='Range Tables'!$G$7,'Range Tables'!$B$7),ifs(K63&lt;='Range Tables'!$G$13,'Range Tables'!$B$13,K63&lt;='Range Tables'!$G$14,'Range Tables'!$B$14))</f>
        <v>2</v>
      </c>
      <c r="M63" s="112">
        <v>0.4577869712863042</v>
      </c>
      <c r="N63" s="113" t="str">
        <f>ifs(H63="Car",ifs(M63&lt;='Range Tables'!$G$125,'Range Tables'!$B$125,M63&lt;='Range Tables'!$G$126,'Range Tables'!$B$126,M63&lt;='Range Tables'!$G$127,'Range Tables'!$B$127,M63&lt;='Range Tables'!$G$128,'Range Tables'!$B$128,M63&lt;='Range Tables'!$G$129,'Range Tables'!$B$129,'Range Tables'!$G$131,'Range Tables'!$B$131),H63="Bike",ifs(M63&lt;='Range Tables'!$G$136,'Range Tables'!$B$136,M63&lt;='Range Tables'!$G$137,'Range Tables'!$B$137,M63&lt;='Range Tables'!$G$138,'Range Tables'!$B$138,M63&lt;='Range Tables'!$G$142,'Range Tables'!$B$142),H63="Scooter",ifs(M63&lt;='Range Tables'!$G$148,'Range Tables'!$B$148,M63&lt;='Range Tables'!$G$149,'Range Tables'!$B$149,M63&lt;='Range Tables'!$G$150,'Range Tables'!$B$150,M63&lt;='Range Tables'!$G$151,'Range Tables'!$B$151),H63="Auto",ifs(M63&lt;='Range Tables'!$G$161,'Range Tables'!$B$161,M63&lt;='Range Tables'!$G$162,'Range Tables'!$B$162,M63&lt;='Range Tables'!$G$163,'Range Tables'!$B$163,M63&lt;='Range Tables'!$G$164,'Range Tables'!$B$164),H63="Carriers*",ifs(M63&lt;='Range Tables'!$G$173,'Range Tables'!$B$173,M63&lt;='Range Tables'!$G$174,'Range Tables'!$B$174,M63&lt;='Range Tables'!$G$175,'Range Tables'!$B$175,M63&lt;='Range Tables'!$G$176,'Range Tables'!$B$176,M63&lt;='Range Tables'!$G$177,'Range Tables'!$B$177,M63&lt;='Range Tables'!$G$179,'Range Tables'!$B$179),H63="Van*",ifs(M63&lt;='Range Tables'!$G$186,'Range Tables'!$B$186))</f>
        <v>120 - 180</v>
      </c>
      <c r="O63" s="113">
        <f>IFERROR(__xludf.DUMMYFUNCTION("SPLIT(N63,""-"")"),120.0)</f>
        <v>120</v>
      </c>
      <c r="P63" s="113">
        <f>IFERROR(__xludf.DUMMYFUNCTION("""COMPUTED_VALUE"""),180.0)</f>
        <v>180</v>
      </c>
      <c r="Q63" s="114">
        <f t="shared" si="2"/>
        <v>147.4672183</v>
      </c>
      <c r="R63" s="115">
        <f t="shared" si="3"/>
        <v>0.05158022841</v>
      </c>
      <c r="S63" s="114">
        <f t="shared" si="39"/>
        <v>4456.531735</v>
      </c>
      <c r="T63" s="113" t="str">
        <f t="shared" si="4"/>
        <v>no</v>
      </c>
      <c r="U63" s="115">
        <f t="shared" si="5"/>
        <v>0</v>
      </c>
      <c r="V63" s="113">
        <f t="shared" si="34"/>
        <v>0</v>
      </c>
      <c r="W63" s="115">
        <f t="shared" si="6"/>
        <v>0</v>
      </c>
      <c r="X63" s="85">
        <f t="shared" si="7"/>
        <v>0</v>
      </c>
      <c r="Y63" s="116">
        <f t="shared" si="8"/>
        <v>0</v>
      </c>
      <c r="Z63" s="113">
        <f t="shared" si="9"/>
        <v>0</v>
      </c>
      <c r="AA63" s="113" t="str">
        <f t="shared" si="10"/>
        <v>yes</v>
      </c>
      <c r="AB63" s="115">
        <f t="shared" si="11"/>
        <v>0.001824493102</v>
      </c>
      <c r="AC63" s="114">
        <f t="shared" si="35"/>
        <v>157.636204</v>
      </c>
      <c r="AD63" s="116">
        <f t="shared" si="12"/>
        <v>0.05340472152</v>
      </c>
      <c r="AE63" s="114">
        <f t="shared" si="13"/>
        <v>4614.167939</v>
      </c>
      <c r="AF63" s="116">
        <f t="shared" si="14"/>
        <v>0.05511151802</v>
      </c>
      <c r="AG63" s="114">
        <f t="shared" si="15"/>
        <v>4761.635157</v>
      </c>
      <c r="AH63" s="113" t="str">
        <f t="shared" si="16"/>
        <v>no</v>
      </c>
      <c r="AI63" s="115">
        <f t="shared" si="17"/>
        <v>0</v>
      </c>
      <c r="AJ63" s="113">
        <f t="shared" si="36"/>
        <v>0</v>
      </c>
      <c r="AK63" s="116">
        <f t="shared" si="18"/>
        <v>0</v>
      </c>
      <c r="AL63" s="113">
        <f t="shared" si="19"/>
        <v>0</v>
      </c>
      <c r="AM63" s="115">
        <f t="shared" si="20"/>
        <v>0</v>
      </c>
      <c r="AN63" s="85">
        <f t="shared" si="21"/>
        <v>0</v>
      </c>
      <c r="AO63" s="113" t="str">
        <f t="shared" si="22"/>
        <v>no</v>
      </c>
      <c r="AP63" s="115">
        <f t="shared" si="23"/>
        <v>0</v>
      </c>
      <c r="AQ63" s="113">
        <f t="shared" si="37"/>
        <v>0</v>
      </c>
      <c r="AR63" s="116">
        <f t="shared" si="24"/>
        <v>0</v>
      </c>
      <c r="AS63" s="113">
        <f t="shared" si="25"/>
        <v>0</v>
      </c>
      <c r="AT63" s="116">
        <f t="shared" si="26"/>
        <v>0</v>
      </c>
      <c r="AU63" s="113">
        <f t="shared" si="27"/>
        <v>0</v>
      </c>
      <c r="AV63" s="113" t="str">
        <f t="shared" si="28"/>
        <v>no</v>
      </c>
      <c r="AW63" s="115">
        <f t="shared" si="29"/>
        <v>0</v>
      </c>
      <c r="AX63" s="85">
        <f t="shared" si="38"/>
        <v>0</v>
      </c>
      <c r="AY63" s="116">
        <f t="shared" si="30"/>
        <v>0</v>
      </c>
      <c r="AZ63" s="113">
        <f t="shared" si="31"/>
        <v>0</v>
      </c>
      <c r="BA63" s="116">
        <f t="shared" si="32"/>
        <v>0</v>
      </c>
      <c r="BB63" s="113">
        <f t="shared" si="33"/>
        <v>0</v>
      </c>
      <c r="BC63" s="112">
        <v>0.3338172097586396</v>
      </c>
      <c r="BD63" s="113" t="str">
        <f>ifs(BC63&lt;='Range Tables'!$G$81,'Range Tables'!$B$81,BC63&lt;='Range Tables'!$G$82,'Range Tables'!$B$82)</f>
        <v>Online*</v>
      </c>
      <c r="BE63" s="112">
        <v>0.929595208833533</v>
      </c>
      <c r="BF63" s="112" t="str">
        <f>ifs(BE63&lt;='Range Tables'!$G$95,'Range Tables'!$B$95,BE63&lt;='Range Tables'!$G$96,'Range Tables'!$B$96,BE63&lt;='Range Tables'!$G$97,'Range Tables'!$B$97,BE63&lt;='Range Tables'!$G$98,'Range Tables'!$B$98,BE63&lt;='Range Tables'!$G$99,'Range Tables'!$B$99,BE63&lt;='Range Tables'!$G$100,'Range Tables'!$B$100,BE63&lt;='Range Tables'!$G$101,'Range Tables'!$B$101,BE63&lt;='Range Tables'!$G$102,'Range Tables'!$B$102,BE63&lt;='Range Tables'!$G$103,'Range Tables'!$B$103)</f>
        <v>Resai</v>
      </c>
      <c r="BG63" s="112">
        <v>0.241555559482049</v>
      </c>
      <c r="BH63" s="113" t="str">
        <f>ifs(BG63&lt;='Range Tables'!$G$112,'Range Tables'!$B$112,BG63&lt;='Range Tables'!$G$113,'Range Tables'!$B$113,BG63&lt;='Range Tables'!$G$114,'Range Tables'!$B$114)</f>
        <v>0</v>
      </c>
      <c r="BI63" s="117">
        <v>0.011747151546092516</v>
      </c>
      <c r="BJ63" s="113" t="str">
        <f>ifs(BI63&lt;='Range Tables'!$G$118,'Range Tables'!$B$118,BI63&lt;='Range Tables'!$G$119,'Range Tables'!$B$119)</f>
        <v>Valid</v>
      </c>
    </row>
    <row r="64">
      <c r="A64" s="85">
        <v>61.0</v>
      </c>
      <c r="B64" s="112">
        <v>0.16739594793293533</v>
      </c>
      <c r="C64" s="113" t="str">
        <f>ifs(B64&lt;='Range Tables'!$G$54,'Range Tables'!$B$54,B64&lt;='Range Tables'!$G$55,'Range Tables'!$B$55,B64&lt;='Range Tables'!$G$56,'Range Tables'!$B$56,B64&lt;='Range Tables'!$G$57,'Range Tables'!$B$57,B64&lt;='Range Tables'!$G$58,'Range Tables'!$B$58,B64&lt;='Range Tables'!$G$59,'Range Tables'!$B$59,B64&lt;='Range Tables'!$G$60,'Range Tables'!$B$60,B64&lt;='Range Tables'!$G$61,'Range Tables'!$B$61,B64&lt;='Range Tables'!$G$63,'Range Tables'!$B$63,B64&lt;='Range Tables'!$G$64,'Range Tables'!$B$64,B64&lt;='Range Tables'!$G$66,'Range Tables'!$B$66)</f>
        <v>0 - 30</v>
      </c>
      <c r="D64" s="113">
        <f>IFERROR(__xludf.DUMMYFUNCTION("SPLIT(C64,""-"")"),0.0)</f>
        <v>0</v>
      </c>
      <c r="E64" s="113">
        <f>IFERROR(__xludf.DUMMYFUNCTION("""COMPUTED_VALUE"""),30.0)</f>
        <v>30</v>
      </c>
      <c r="F64" s="114">
        <f t="shared" si="40"/>
        <v>5.021878438</v>
      </c>
      <c r="G64" s="112">
        <v>0.4190656278061913</v>
      </c>
      <c r="H64" s="113" t="str">
        <f>ifs(G64&lt;='Range Tables'!$G$86,'Range Tables'!$B$86,G64&lt;='Range Tables'!$G$87,'Range Tables'!$B$87,G64&lt;='Range Tables'!$G$88,'Range Tables'!$B$88,G64&lt;='Range Tables'!$G$89,'Range Tables'!$B$89,G64&lt;='Range Tables'!$G$90,'Range Tables'!$B$90,G64&lt;='Range Tables'!$G$91,'Range Tables'!$B$91)</f>
        <v>Car</v>
      </c>
      <c r="I64" s="112">
        <v>0.6684053225235174</v>
      </c>
      <c r="J64" s="113" t="str">
        <f>IFS(
  H64="Car", IF(I64&lt;='Range Tables'!$G$19, 'Range Tables'!$B$19, 'Range Tables'!$B$20), 
  H64="Bike", IF(I64&lt;='Range Tables'!$G$25, 'Range Tables'!$B$25, 'Range Tables'!$B$26), 
  H64="Scooter", IF(I64&lt;='Range Tables'!$G$31, 'Range Tables'!$B$31, 'Range Tables'!$B$32), 
  H64="Auto", IF(I64&lt;='Range Tables'!$G$37, 'Range Tables'!$B$37, 'Range Tables'!$B$38), 
  H64="Carriers*", IF(I64&lt;='Range Tables'!$G$43, 'Range Tables'!$B$43, 'Range Tables'!$B$44), 
  H64="Van*", IF(I64&lt;='Range Tables'!$G$50, 'Range Tables'!$B$50, 'Range Tables'!$B$49)
)</f>
        <v>Petrol</v>
      </c>
      <c r="K64" s="112">
        <v>0.8173365942811305</v>
      </c>
      <c r="L64" s="113">
        <f>if(J64="Petrol",ifs(K64&lt;='Range Tables'!$G$5,'Range Tables'!$B$5,K64&lt;='Range Tables'!$G$6,'Range Tables'!$B$6,K64&lt;='Range Tables'!$G$7,'Range Tables'!$B$7),ifs(K64&lt;='Range Tables'!$G$13,'Range Tables'!$B$13,K64&lt;='Range Tables'!$G$14,'Range Tables'!$B$14))</f>
        <v>3</v>
      </c>
      <c r="M64" s="112">
        <v>0.4383205706272656</v>
      </c>
      <c r="N64" s="113" t="str">
        <f>ifs(H64="Car",ifs(M64&lt;='Range Tables'!$G$125,'Range Tables'!$B$125,M64&lt;='Range Tables'!$G$126,'Range Tables'!$B$126,M64&lt;='Range Tables'!$G$127,'Range Tables'!$B$127,M64&lt;='Range Tables'!$G$128,'Range Tables'!$B$128,M64&lt;='Range Tables'!$G$129,'Range Tables'!$B$129,'Range Tables'!$G$131,'Range Tables'!$B$131),H64="Bike",ifs(M64&lt;='Range Tables'!$G$136,'Range Tables'!$B$136,M64&lt;='Range Tables'!$G$137,'Range Tables'!$B$137,M64&lt;='Range Tables'!$G$138,'Range Tables'!$B$138,M64&lt;='Range Tables'!$G$142,'Range Tables'!$B$142),H64="Scooter",ifs(M64&lt;='Range Tables'!$G$148,'Range Tables'!$B$148,M64&lt;='Range Tables'!$G$149,'Range Tables'!$B$149,M64&lt;='Range Tables'!$G$150,'Range Tables'!$B$150,M64&lt;='Range Tables'!$G$151,'Range Tables'!$B$151),H64="Auto",ifs(M64&lt;='Range Tables'!$G$161,'Range Tables'!$B$161,M64&lt;='Range Tables'!$G$162,'Range Tables'!$B$162,M64&lt;='Range Tables'!$G$163,'Range Tables'!$B$163,M64&lt;='Range Tables'!$G$164,'Range Tables'!$B$164),H64="Carriers*",ifs(M64&lt;='Range Tables'!$G$173,'Range Tables'!$B$173,M64&lt;='Range Tables'!$G$174,'Range Tables'!$B$174,M64&lt;='Range Tables'!$G$175,'Range Tables'!$B$175,M64&lt;='Range Tables'!$G$176,'Range Tables'!$B$176,M64&lt;='Range Tables'!$G$177,'Range Tables'!$B$177,M64&lt;='Range Tables'!$G$179,'Range Tables'!$B$179),H64="Van*",ifs(M64&lt;='Range Tables'!$G$186,'Range Tables'!$B$186))</f>
        <v>60 - 120</v>
      </c>
      <c r="O64" s="113">
        <f>IFERROR(__xludf.DUMMYFUNCTION("SPLIT(N64,""-"")"),60.0)</f>
        <v>60</v>
      </c>
      <c r="P64" s="113">
        <f>IFERROR(__xludf.DUMMYFUNCTION("""COMPUTED_VALUE"""),120.0)</f>
        <v>120</v>
      </c>
      <c r="Q64" s="114">
        <f t="shared" si="2"/>
        <v>86.29923424</v>
      </c>
      <c r="R64" s="115">
        <f t="shared" si="3"/>
        <v>0.05539205751</v>
      </c>
      <c r="S64" s="114">
        <f t="shared" si="39"/>
        <v>4785.873769</v>
      </c>
      <c r="T64" s="113" t="str">
        <f t="shared" si="4"/>
        <v>no</v>
      </c>
      <c r="U64" s="115">
        <f t="shared" si="5"/>
        <v>0</v>
      </c>
      <c r="V64" s="113">
        <f t="shared" si="34"/>
        <v>0</v>
      </c>
      <c r="W64" s="115">
        <f t="shared" si="6"/>
        <v>0</v>
      </c>
      <c r="X64" s="85">
        <f t="shared" si="7"/>
        <v>0</v>
      </c>
      <c r="Y64" s="116">
        <f t="shared" si="8"/>
        <v>0</v>
      </c>
      <c r="Z64" s="113">
        <f t="shared" si="9"/>
        <v>0</v>
      </c>
      <c r="AA64" s="113" t="str">
        <f t="shared" si="10"/>
        <v>no</v>
      </c>
      <c r="AB64" s="115">
        <f t="shared" si="11"/>
        <v>0</v>
      </c>
      <c r="AC64" s="113">
        <f t="shared" si="35"/>
        <v>0</v>
      </c>
      <c r="AD64" s="116">
        <f t="shared" si="12"/>
        <v>0</v>
      </c>
      <c r="AE64" s="113">
        <f t="shared" si="13"/>
        <v>0</v>
      </c>
      <c r="AF64" s="116">
        <f t="shared" si="14"/>
        <v>0</v>
      </c>
      <c r="AG64" s="113">
        <f t="shared" si="15"/>
        <v>0</v>
      </c>
      <c r="AH64" s="113" t="str">
        <f t="shared" si="16"/>
        <v>yes</v>
      </c>
      <c r="AI64" s="115">
        <f t="shared" si="17"/>
        <v>0</v>
      </c>
      <c r="AJ64" s="113">
        <f t="shared" si="36"/>
        <v>0</v>
      </c>
      <c r="AK64" s="116">
        <f t="shared" si="18"/>
        <v>0.05539205751</v>
      </c>
      <c r="AL64" s="114">
        <f t="shared" si="19"/>
        <v>4785.873769</v>
      </c>
      <c r="AM64" s="115">
        <f t="shared" si="20"/>
        <v>0.05639089124</v>
      </c>
      <c r="AN64" s="118">
        <f t="shared" si="21"/>
        <v>4872.173003</v>
      </c>
      <c r="AO64" s="113" t="str">
        <f t="shared" si="22"/>
        <v>no</v>
      </c>
      <c r="AP64" s="115">
        <f t="shared" si="23"/>
        <v>0</v>
      </c>
      <c r="AQ64" s="113">
        <f t="shared" si="37"/>
        <v>0</v>
      </c>
      <c r="AR64" s="116">
        <f t="shared" si="24"/>
        <v>0</v>
      </c>
      <c r="AS64" s="113">
        <f t="shared" si="25"/>
        <v>0</v>
      </c>
      <c r="AT64" s="116">
        <f t="shared" si="26"/>
        <v>0</v>
      </c>
      <c r="AU64" s="113">
        <f t="shared" si="27"/>
        <v>0</v>
      </c>
      <c r="AV64" s="113" t="str">
        <f t="shared" si="28"/>
        <v>no</v>
      </c>
      <c r="AW64" s="115">
        <f t="shared" si="29"/>
        <v>0</v>
      </c>
      <c r="AX64" s="85">
        <f t="shared" si="38"/>
        <v>0</v>
      </c>
      <c r="AY64" s="116">
        <f t="shared" si="30"/>
        <v>0</v>
      </c>
      <c r="AZ64" s="113">
        <f t="shared" si="31"/>
        <v>0</v>
      </c>
      <c r="BA64" s="116">
        <f t="shared" si="32"/>
        <v>0</v>
      </c>
      <c r="BB64" s="113">
        <f t="shared" si="33"/>
        <v>0</v>
      </c>
      <c r="BC64" s="112">
        <v>0.9879786014209403</v>
      </c>
      <c r="BD64" s="113" t="str">
        <f>ifs(BC64&lt;='Range Tables'!$G$81,'Range Tables'!$B$81,BC64&lt;='Range Tables'!$G$82,'Range Tables'!$B$82)</f>
        <v>Offline*</v>
      </c>
      <c r="BE64" s="112">
        <v>0.07719319024871751</v>
      </c>
      <c r="BF64" s="112" t="str">
        <f>ifs(BE64&lt;='Range Tables'!$G$95,'Range Tables'!$B$95,BE64&lt;='Range Tables'!$G$96,'Range Tables'!$B$96,BE64&lt;='Range Tables'!$G$97,'Range Tables'!$B$97,BE64&lt;='Range Tables'!$G$98,'Range Tables'!$B$98,BE64&lt;='Range Tables'!$G$99,'Range Tables'!$B$99,BE64&lt;='Range Tables'!$G$100,'Range Tables'!$B$100,BE64&lt;='Range Tables'!$G$101,'Range Tables'!$B$101,BE64&lt;='Range Tables'!$G$102,'Range Tables'!$B$102,BE64&lt;='Range Tables'!$G$103,'Range Tables'!$B$103)</f>
        <v>Jammu</v>
      </c>
      <c r="BG64" s="112">
        <v>0.2195076389372832</v>
      </c>
      <c r="BH64" s="113" t="str">
        <f>ifs(BG64&lt;='Range Tables'!$G$112,'Range Tables'!$B$112,BG64&lt;='Range Tables'!$G$113,'Range Tables'!$B$113,BG64&lt;='Range Tables'!$G$114,'Range Tables'!$B$114)</f>
        <v>0</v>
      </c>
      <c r="BI64" s="117">
        <v>0.6998321711254741</v>
      </c>
      <c r="BJ64" s="113" t="str">
        <f>ifs(BI64&lt;='Range Tables'!$G$118,'Range Tables'!$B$118,BI64&lt;='Range Tables'!$G$119,'Range Tables'!$B$119)</f>
        <v>Expired</v>
      </c>
    </row>
    <row r="65">
      <c r="A65" s="85">
        <v>62.0</v>
      </c>
      <c r="B65" s="112">
        <v>0.4980257914106617</v>
      </c>
      <c r="C65" s="113" t="str">
        <f>ifs(B65&lt;='Range Tables'!$G$54,'Range Tables'!$B$54,B65&lt;='Range Tables'!$G$55,'Range Tables'!$B$55,B65&lt;='Range Tables'!$G$56,'Range Tables'!$B$56,B65&lt;='Range Tables'!$G$57,'Range Tables'!$B$57,B65&lt;='Range Tables'!$G$58,'Range Tables'!$B$58,B65&lt;='Range Tables'!$G$59,'Range Tables'!$B$59,B65&lt;='Range Tables'!$G$60,'Range Tables'!$B$60,B65&lt;='Range Tables'!$G$61,'Range Tables'!$B$61,B65&lt;='Range Tables'!$G$63,'Range Tables'!$B$63,B65&lt;='Range Tables'!$G$64,'Range Tables'!$B$64,B65&lt;='Range Tables'!$G$66,'Range Tables'!$B$66)</f>
        <v>30 - 60 </v>
      </c>
      <c r="D65" s="113">
        <f>IFERROR(__xludf.DUMMYFUNCTION("SPLIT(C65,""-"")"),30.0)</f>
        <v>30</v>
      </c>
      <c r="E65" s="113">
        <f>IFERROR(__xludf.DUMMYFUNCTION("""COMPUTED_VALUE"""),60.0)</f>
        <v>60</v>
      </c>
      <c r="F65" s="114">
        <f t="shared" si="40"/>
        <v>44.94077374</v>
      </c>
      <c r="G65" s="112">
        <v>0.20053550327985936</v>
      </c>
      <c r="H65" s="113" t="str">
        <f>ifs(G65&lt;='Range Tables'!$G$86,'Range Tables'!$B$86,G65&lt;='Range Tables'!$G$87,'Range Tables'!$B$87,G65&lt;='Range Tables'!$G$88,'Range Tables'!$B$88,G65&lt;='Range Tables'!$G$89,'Range Tables'!$B$89,G65&lt;='Range Tables'!$G$90,'Range Tables'!$B$90,G65&lt;='Range Tables'!$G$91,'Range Tables'!$B$91)</f>
        <v>Car</v>
      </c>
      <c r="I65" s="112">
        <v>0.4260382312995955</v>
      </c>
      <c r="J65" s="113" t="str">
        <f>IFS(
  H65="Car", IF(I65&lt;='Range Tables'!$G$19, 'Range Tables'!$B$19, 'Range Tables'!$B$20), 
  H65="Bike", IF(I65&lt;='Range Tables'!$G$25, 'Range Tables'!$B$25, 'Range Tables'!$B$26), 
  H65="Scooter", IF(I65&lt;='Range Tables'!$G$31, 'Range Tables'!$B$31, 'Range Tables'!$B$32), 
  H65="Auto", IF(I65&lt;='Range Tables'!$G$37, 'Range Tables'!$B$37, 'Range Tables'!$B$38), 
  H65="Carriers*", IF(I65&lt;='Range Tables'!$G$43, 'Range Tables'!$B$43, 'Range Tables'!$B$44), 
  H65="Van*", IF(I65&lt;='Range Tables'!$G$50, 'Range Tables'!$B$50, 'Range Tables'!$B$49)
)</f>
        <v>Petrol</v>
      </c>
      <c r="K65" s="112">
        <v>0.3410622385144795</v>
      </c>
      <c r="L65" s="113">
        <f>if(J65="Petrol",ifs(K65&lt;='Range Tables'!$G$5,'Range Tables'!$B$5,K65&lt;='Range Tables'!$G$6,'Range Tables'!$B$6,K65&lt;='Range Tables'!$G$7,'Range Tables'!$B$7),ifs(K65&lt;='Range Tables'!$G$13,'Range Tables'!$B$13,K65&lt;='Range Tables'!$G$14,'Range Tables'!$B$14))</f>
        <v>2</v>
      </c>
      <c r="M65" s="112">
        <v>0.712569668371075</v>
      </c>
      <c r="N65" s="113" t="str">
        <f>ifs(H65="Car",ifs(M65&lt;='Range Tables'!$G$125,'Range Tables'!$B$125,M65&lt;='Range Tables'!$G$126,'Range Tables'!$B$126,M65&lt;='Range Tables'!$G$127,'Range Tables'!$B$127,M65&lt;='Range Tables'!$G$128,'Range Tables'!$B$128,M65&lt;='Range Tables'!$G$129,'Range Tables'!$B$129,'Range Tables'!$G$131,'Range Tables'!$B$131),H65="Bike",ifs(M65&lt;='Range Tables'!$G$136,'Range Tables'!$B$136,M65&lt;='Range Tables'!$G$137,'Range Tables'!$B$137,M65&lt;='Range Tables'!$G$138,'Range Tables'!$B$138,M65&lt;='Range Tables'!$G$142,'Range Tables'!$B$142),H65="Scooter",ifs(M65&lt;='Range Tables'!$G$148,'Range Tables'!$B$148,M65&lt;='Range Tables'!$G$149,'Range Tables'!$B$149,M65&lt;='Range Tables'!$G$150,'Range Tables'!$B$150,M65&lt;='Range Tables'!$G$151,'Range Tables'!$B$151),H65="Auto",ifs(M65&lt;='Range Tables'!$G$161,'Range Tables'!$B$161,M65&lt;='Range Tables'!$G$162,'Range Tables'!$B$162,M65&lt;='Range Tables'!$G$163,'Range Tables'!$B$163,M65&lt;='Range Tables'!$G$164,'Range Tables'!$B$164),H65="Carriers*",ifs(M65&lt;='Range Tables'!$G$173,'Range Tables'!$B$173,M65&lt;='Range Tables'!$G$174,'Range Tables'!$B$174,M65&lt;='Range Tables'!$G$175,'Range Tables'!$B$175,M65&lt;='Range Tables'!$G$176,'Range Tables'!$B$176,M65&lt;='Range Tables'!$G$177,'Range Tables'!$B$177,M65&lt;='Range Tables'!$G$179,'Range Tables'!$B$179),H65="Van*",ifs(M65&lt;='Range Tables'!$G$186,'Range Tables'!$B$186))</f>
        <v>120 - 180</v>
      </c>
      <c r="O65" s="113">
        <f>IFERROR(__xludf.DUMMYFUNCTION("SPLIT(N65,""-"")"),120.0)</f>
        <v>120</v>
      </c>
      <c r="P65" s="113">
        <f>IFERROR(__xludf.DUMMYFUNCTION("""COMPUTED_VALUE"""),180.0)</f>
        <v>180</v>
      </c>
      <c r="Q65" s="114">
        <f t="shared" si="2"/>
        <v>162.7541801</v>
      </c>
      <c r="R65" s="115">
        <f t="shared" si="3"/>
        <v>0.05545018111</v>
      </c>
      <c r="S65" s="114">
        <f t="shared" si="39"/>
        <v>4790.895648</v>
      </c>
      <c r="T65" s="113" t="str">
        <f t="shared" si="4"/>
        <v>no</v>
      </c>
      <c r="U65" s="115">
        <f t="shared" si="5"/>
        <v>0</v>
      </c>
      <c r="V65" s="113">
        <f t="shared" si="34"/>
        <v>0</v>
      </c>
      <c r="W65" s="115">
        <f t="shared" si="6"/>
        <v>0</v>
      </c>
      <c r="X65" s="85">
        <f t="shared" si="7"/>
        <v>0</v>
      </c>
      <c r="Y65" s="116">
        <f t="shared" si="8"/>
        <v>0</v>
      </c>
      <c r="Z65" s="113">
        <f t="shared" si="9"/>
        <v>0</v>
      </c>
      <c r="AA65" s="113" t="str">
        <f t="shared" si="10"/>
        <v>yes</v>
      </c>
      <c r="AB65" s="115">
        <f t="shared" si="11"/>
        <v>0</v>
      </c>
      <c r="AC65" s="113">
        <f t="shared" si="35"/>
        <v>0</v>
      </c>
      <c r="AD65" s="116">
        <f t="shared" si="12"/>
        <v>0.05545018111</v>
      </c>
      <c r="AE65" s="114">
        <f t="shared" si="13"/>
        <v>4790.895648</v>
      </c>
      <c r="AF65" s="116">
        <f t="shared" si="14"/>
        <v>0.05733391004</v>
      </c>
      <c r="AG65" s="114">
        <f t="shared" si="15"/>
        <v>4953.649828</v>
      </c>
      <c r="AH65" s="113" t="str">
        <f t="shared" si="16"/>
        <v>no</v>
      </c>
      <c r="AI65" s="115">
        <f t="shared" si="17"/>
        <v>0</v>
      </c>
      <c r="AJ65" s="113">
        <f t="shared" si="36"/>
        <v>0</v>
      </c>
      <c r="AK65" s="116">
        <f t="shared" si="18"/>
        <v>0</v>
      </c>
      <c r="AL65" s="113">
        <f t="shared" si="19"/>
        <v>0</v>
      </c>
      <c r="AM65" s="115">
        <f t="shared" si="20"/>
        <v>0</v>
      </c>
      <c r="AN65" s="85">
        <f t="shared" si="21"/>
        <v>0</v>
      </c>
      <c r="AO65" s="113" t="str">
        <f t="shared" si="22"/>
        <v>no</v>
      </c>
      <c r="AP65" s="115">
        <f t="shared" si="23"/>
        <v>0</v>
      </c>
      <c r="AQ65" s="113">
        <f t="shared" si="37"/>
        <v>0</v>
      </c>
      <c r="AR65" s="116">
        <f t="shared" si="24"/>
        <v>0</v>
      </c>
      <c r="AS65" s="113">
        <f t="shared" si="25"/>
        <v>0</v>
      </c>
      <c r="AT65" s="116">
        <f t="shared" si="26"/>
        <v>0</v>
      </c>
      <c r="AU65" s="113">
        <f t="shared" si="27"/>
        <v>0</v>
      </c>
      <c r="AV65" s="113" t="str">
        <f t="shared" si="28"/>
        <v>no</v>
      </c>
      <c r="AW65" s="115">
        <f t="shared" si="29"/>
        <v>0</v>
      </c>
      <c r="AX65" s="85">
        <f t="shared" si="38"/>
        <v>0</v>
      </c>
      <c r="AY65" s="116">
        <f t="shared" si="30"/>
        <v>0</v>
      </c>
      <c r="AZ65" s="113">
        <f t="shared" si="31"/>
        <v>0</v>
      </c>
      <c r="BA65" s="116">
        <f t="shared" si="32"/>
        <v>0</v>
      </c>
      <c r="BB65" s="113">
        <f t="shared" si="33"/>
        <v>0</v>
      </c>
      <c r="BC65" s="112">
        <v>0.7116899377585838</v>
      </c>
      <c r="BD65" s="113" t="str">
        <f>ifs(BC65&lt;='Range Tables'!$G$81,'Range Tables'!$B$81,BC65&lt;='Range Tables'!$G$82,'Range Tables'!$B$82)</f>
        <v>Offline*</v>
      </c>
      <c r="BE65" s="112">
        <v>0.5621421434812522</v>
      </c>
      <c r="BF65" s="112" t="str">
        <f>ifs(BE65&lt;='Range Tables'!$G$95,'Range Tables'!$B$95,BE65&lt;='Range Tables'!$G$96,'Range Tables'!$B$96,BE65&lt;='Range Tables'!$G$97,'Range Tables'!$B$97,BE65&lt;='Range Tables'!$G$98,'Range Tables'!$B$98,BE65&lt;='Range Tables'!$G$99,'Range Tables'!$B$99,BE65&lt;='Range Tables'!$G$100,'Range Tables'!$B$100,BE65&lt;='Range Tables'!$G$101,'Range Tables'!$B$101,BE65&lt;='Range Tables'!$G$102,'Range Tables'!$B$102,BE65&lt;='Range Tables'!$G$103,'Range Tables'!$B$103)</f>
        <v>Jammu</v>
      </c>
      <c r="BG65" s="112">
        <v>0.058348202965400664</v>
      </c>
      <c r="BH65" s="113" t="str">
        <f>ifs(BG65&lt;='Range Tables'!$G$112,'Range Tables'!$B$112,BG65&lt;='Range Tables'!$G$113,'Range Tables'!$B$113,BG65&lt;='Range Tables'!$G$114,'Range Tables'!$B$114)</f>
        <v>0</v>
      </c>
      <c r="BI65" s="117">
        <v>0.9883352069056278</v>
      </c>
      <c r="BJ65" s="113" t="str">
        <f>ifs(BI65&lt;='Range Tables'!$G$118,'Range Tables'!$B$118,BI65&lt;='Range Tables'!$G$119,'Range Tables'!$B$119)</f>
        <v>Expired</v>
      </c>
    </row>
    <row r="66">
      <c r="A66" s="85">
        <v>63.0</v>
      </c>
      <c r="B66" s="112">
        <v>0.1510018139528514</v>
      </c>
      <c r="C66" s="113" t="str">
        <f>ifs(B66&lt;='Range Tables'!$G$54,'Range Tables'!$B$54,B66&lt;='Range Tables'!$G$55,'Range Tables'!$B$55,B66&lt;='Range Tables'!$G$56,'Range Tables'!$B$56,B66&lt;='Range Tables'!$G$57,'Range Tables'!$B$57,B66&lt;='Range Tables'!$G$58,'Range Tables'!$B$58,B66&lt;='Range Tables'!$G$59,'Range Tables'!$B$59,B66&lt;='Range Tables'!$G$60,'Range Tables'!$B$60,B66&lt;='Range Tables'!$G$61,'Range Tables'!$B$61,B66&lt;='Range Tables'!$G$63,'Range Tables'!$B$63,B66&lt;='Range Tables'!$G$64,'Range Tables'!$B$64,B66&lt;='Range Tables'!$G$66,'Range Tables'!$B$66)</f>
        <v>0 - 30</v>
      </c>
      <c r="D66" s="113">
        <f>IFERROR(__xludf.DUMMYFUNCTION("SPLIT(C66,""-"")"),0.0)</f>
        <v>0</v>
      </c>
      <c r="E66" s="113">
        <f>IFERROR(__xludf.DUMMYFUNCTION("""COMPUTED_VALUE"""),30.0)</f>
        <v>30</v>
      </c>
      <c r="F66" s="114">
        <f t="shared" si="40"/>
        <v>4.530054419</v>
      </c>
      <c r="G66" s="112">
        <v>0.31857417706072344</v>
      </c>
      <c r="H66" s="113" t="str">
        <f>ifs(G66&lt;='Range Tables'!$G$86,'Range Tables'!$B$86,G66&lt;='Range Tables'!$G$87,'Range Tables'!$B$87,G66&lt;='Range Tables'!$G$88,'Range Tables'!$B$88,G66&lt;='Range Tables'!$G$89,'Range Tables'!$B$89,G66&lt;='Range Tables'!$G$90,'Range Tables'!$B$90,G66&lt;='Range Tables'!$G$91,'Range Tables'!$B$91)</f>
        <v>Car</v>
      </c>
      <c r="I66" s="112">
        <v>0.8297097770854392</v>
      </c>
      <c r="J66" s="113" t="str">
        <f>IFS(
  H66="Car", IF(I66&lt;='Range Tables'!$G$19, 'Range Tables'!$B$19, 'Range Tables'!$B$20), 
  H66="Bike", IF(I66&lt;='Range Tables'!$G$25, 'Range Tables'!$B$25, 'Range Tables'!$B$26), 
  H66="Scooter", IF(I66&lt;='Range Tables'!$G$31, 'Range Tables'!$B$31, 'Range Tables'!$B$32), 
  H66="Auto", IF(I66&lt;='Range Tables'!$G$37, 'Range Tables'!$B$37, 'Range Tables'!$B$38), 
  H66="Carriers*", IF(I66&lt;='Range Tables'!$G$43, 'Range Tables'!$B$43, 'Range Tables'!$B$44), 
  H66="Van*", IF(I66&lt;='Range Tables'!$G$50, 'Range Tables'!$B$50, 'Range Tables'!$B$49)
)</f>
        <v>Petrol</v>
      </c>
      <c r="K66" s="112">
        <v>0.5755168938262876</v>
      </c>
      <c r="L66" s="113">
        <f>if(J66="Petrol",ifs(K66&lt;='Range Tables'!$G$5,'Range Tables'!$B$5,K66&lt;='Range Tables'!$G$6,'Range Tables'!$B$6,K66&lt;='Range Tables'!$G$7,'Range Tables'!$B$7),ifs(K66&lt;='Range Tables'!$G$13,'Range Tables'!$B$13,K66&lt;='Range Tables'!$G$14,'Range Tables'!$B$14))</f>
        <v>3</v>
      </c>
      <c r="M66" s="112">
        <v>0.4864345541289785</v>
      </c>
      <c r="N66" s="113" t="str">
        <f>ifs(H66="Car",ifs(M66&lt;='Range Tables'!$G$125,'Range Tables'!$B$125,M66&lt;='Range Tables'!$G$126,'Range Tables'!$B$126,M66&lt;='Range Tables'!$G$127,'Range Tables'!$B$127,M66&lt;='Range Tables'!$G$128,'Range Tables'!$B$128,M66&lt;='Range Tables'!$G$129,'Range Tables'!$B$129,'Range Tables'!$G$131,'Range Tables'!$B$131),H66="Bike",ifs(M66&lt;='Range Tables'!$G$136,'Range Tables'!$B$136,M66&lt;='Range Tables'!$G$137,'Range Tables'!$B$137,M66&lt;='Range Tables'!$G$138,'Range Tables'!$B$138,M66&lt;='Range Tables'!$G$142,'Range Tables'!$B$142),H66="Scooter",ifs(M66&lt;='Range Tables'!$G$148,'Range Tables'!$B$148,M66&lt;='Range Tables'!$G$149,'Range Tables'!$B$149,M66&lt;='Range Tables'!$G$150,'Range Tables'!$B$150,M66&lt;='Range Tables'!$G$151,'Range Tables'!$B$151),H66="Auto",ifs(M66&lt;='Range Tables'!$G$161,'Range Tables'!$B$161,M66&lt;='Range Tables'!$G$162,'Range Tables'!$B$162,M66&lt;='Range Tables'!$G$163,'Range Tables'!$B$163,M66&lt;='Range Tables'!$G$164,'Range Tables'!$B$164),H66="Carriers*",ifs(M66&lt;='Range Tables'!$G$173,'Range Tables'!$B$173,M66&lt;='Range Tables'!$G$174,'Range Tables'!$B$174,M66&lt;='Range Tables'!$G$175,'Range Tables'!$B$175,M66&lt;='Range Tables'!$G$176,'Range Tables'!$B$176,M66&lt;='Range Tables'!$G$177,'Range Tables'!$B$177,M66&lt;='Range Tables'!$G$179,'Range Tables'!$B$179),H66="Van*",ifs(M66&lt;='Range Tables'!$G$186,'Range Tables'!$B$186))</f>
        <v>120 - 180</v>
      </c>
      <c r="O66" s="113">
        <f>IFERROR(__xludf.DUMMYFUNCTION("SPLIT(N66,""-"")"),120.0)</f>
        <v>120</v>
      </c>
      <c r="P66" s="113">
        <f>IFERROR(__xludf.DUMMYFUNCTION("""COMPUTED_VALUE"""),180.0)</f>
        <v>180</v>
      </c>
      <c r="Q66" s="114">
        <f t="shared" si="2"/>
        <v>149.1860732</v>
      </c>
      <c r="R66" s="115">
        <f t="shared" si="3"/>
        <v>0.05597032895</v>
      </c>
      <c r="S66" s="114">
        <f t="shared" si="39"/>
        <v>4835.836421</v>
      </c>
      <c r="T66" s="113" t="str">
        <f t="shared" si="4"/>
        <v>no</v>
      </c>
      <c r="U66" s="115">
        <f t="shared" si="5"/>
        <v>0</v>
      </c>
      <c r="V66" s="113">
        <f t="shared" si="34"/>
        <v>0</v>
      </c>
      <c r="W66" s="115">
        <f t="shared" si="6"/>
        <v>0</v>
      </c>
      <c r="X66" s="85">
        <f t="shared" si="7"/>
        <v>0</v>
      </c>
      <c r="Y66" s="116">
        <f t="shared" si="8"/>
        <v>0</v>
      </c>
      <c r="Z66" s="113">
        <f t="shared" si="9"/>
        <v>0</v>
      </c>
      <c r="AA66" s="113" t="str">
        <f t="shared" si="10"/>
        <v>no</v>
      </c>
      <c r="AB66" s="115">
        <f t="shared" si="11"/>
        <v>0</v>
      </c>
      <c r="AC66" s="113">
        <f t="shared" si="35"/>
        <v>0</v>
      </c>
      <c r="AD66" s="116">
        <f t="shared" si="12"/>
        <v>0</v>
      </c>
      <c r="AE66" s="113">
        <f t="shared" si="13"/>
        <v>0</v>
      </c>
      <c r="AF66" s="116">
        <f t="shared" si="14"/>
        <v>0</v>
      </c>
      <c r="AG66" s="113">
        <f t="shared" si="15"/>
        <v>0</v>
      </c>
      <c r="AH66" s="113" t="str">
        <f t="shared" si="16"/>
        <v>yes</v>
      </c>
      <c r="AI66" s="115">
        <f t="shared" si="17"/>
        <v>0</v>
      </c>
      <c r="AJ66" s="113">
        <f t="shared" si="36"/>
        <v>0</v>
      </c>
      <c r="AK66" s="116">
        <f t="shared" si="18"/>
        <v>0.05597032895</v>
      </c>
      <c r="AL66" s="114">
        <f t="shared" si="19"/>
        <v>4835.836421</v>
      </c>
      <c r="AM66" s="115">
        <f t="shared" si="20"/>
        <v>0.05769701961</v>
      </c>
      <c r="AN66" s="118">
        <f t="shared" si="21"/>
        <v>4985.022495</v>
      </c>
      <c r="AO66" s="113" t="str">
        <f t="shared" si="22"/>
        <v>no</v>
      </c>
      <c r="AP66" s="115">
        <f t="shared" si="23"/>
        <v>0</v>
      </c>
      <c r="AQ66" s="113">
        <f t="shared" si="37"/>
        <v>0</v>
      </c>
      <c r="AR66" s="116">
        <f t="shared" si="24"/>
        <v>0</v>
      </c>
      <c r="AS66" s="113">
        <f t="shared" si="25"/>
        <v>0</v>
      </c>
      <c r="AT66" s="116">
        <f t="shared" si="26"/>
        <v>0</v>
      </c>
      <c r="AU66" s="113">
        <f t="shared" si="27"/>
        <v>0</v>
      </c>
      <c r="AV66" s="113" t="str">
        <f t="shared" si="28"/>
        <v>no</v>
      </c>
      <c r="AW66" s="115">
        <f t="shared" si="29"/>
        <v>0</v>
      </c>
      <c r="AX66" s="85">
        <f t="shared" si="38"/>
        <v>0</v>
      </c>
      <c r="AY66" s="116">
        <f t="shared" si="30"/>
        <v>0</v>
      </c>
      <c r="AZ66" s="113">
        <f t="shared" si="31"/>
        <v>0</v>
      </c>
      <c r="BA66" s="116">
        <f t="shared" si="32"/>
        <v>0</v>
      </c>
      <c r="BB66" s="113">
        <f t="shared" si="33"/>
        <v>0</v>
      </c>
      <c r="BC66" s="112">
        <v>0.20520911302689882</v>
      </c>
      <c r="BD66" s="113" t="str">
        <f>ifs(BC66&lt;='Range Tables'!$G$81,'Range Tables'!$B$81,BC66&lt;='Range Tables'!$G$82,'Range Tables'!$B$82)</f>
        <v>Online*</v>
      </c>
      <c r="BE66" s="112">
        <v>0.009688956574570806</v>
      </c>
      <c r="BF66" s="112" t="str">
        <f>ifs(BE66&lt;='Range Tables'!$G$95,'Range Tables'!$B$95,BE66&lt;='Range Tables'!$G$96,'Range Tables'!$B$96,BE66&lt;='Range Tables'!$G$97,'Range Tables'!$B$97,BE66&lt;='Range Tables'!$G$98,'Range Tables'!$B$98,BE66&lt;='Range Tables'!$G$99,'Range Tables'!$B$99,BE66&lt;='Range Tables'!$G$100,'Range Tables'!$B$100,BE66&lt;='Range Tables'!$G$101,'Range Tables'!$B$101,BE66&lt;='Range Tables'!$G$102,'Range Tables'!$B$102,BE66&lt;='Range Tables'!$G$103,'Range Tables'!$B$103)</f>
        <v>Jammu</v>
      </c>
      <c r="BG66" s="112">
        <v>0.4134559166152114</v>
      </c>
      <c r="BH66" s="113" t="str">
        <f>ifs(BG66&lt;='Range Tables'!$G$112,'Range Tables'!$B$112,BG66&lt;='Range Tables'!$G$113,'Range Tables'!$B$113,BG66&lt;='Range Tables'!$G$114,'Range Tables'!$B$114)</f>
        <v>0</v>
      </c>
      <c r="BI66" s="117">
        <v>0.9902022593946771</v>
      </c>
      <c r="BJ66" s="113" t="str">
        <f>ifs(BI66&lt;='Range Tables'!$G$118,'Range Tables'!$B$118,BI66&lt;='Range Tables'!$G$119,'Range Tables'!$B$119)</f>
        <v>Expired</v>
      </c>
    </row>
    <row r="67">
      <c r="A67" s="85">
        <v>64.0</v>
      </c>
      <c r="B67" s="112">
        <v>0.6105855512270806</v>
      </c>
      <c r="C67" s="113" t="str">
        <f>ifs(B67&lt;='Range Tables'!$G$54,'Range Tables'!$B$54,B67&lt;='Range Tables'!$G$55,'Range Tables'!$B$55,B67&lt;='Range Tables'!$G$56,'Range Tables'!$B$56,B67&lt;='Range Tables'!$G$57,'Range Tables'!$B$57,B67&lt;='Range Tables'!$G$58,'Range Tables'!$B$58,B67&lt;='Range Tables'!$G$59,'Range Tables'!$B$59,B67&lt;='Range Tables'!$G$60,'Range Tables'!$B$60,B67&lt;='Range Tables'!$G$61,'Range Tables'!$B$61,B67&lt;='Range Tables'!$G$63,'Range Tables'!$B$63,B67&lt;='Range Tables'!$G$64,'Range Tables'!$B$64,B67&lt;='Range Tables'!$G$66,'Range Tables'!$B$66)</f>
        <v>60 - 90</v>
      </c>
      <c r="D67" s="113">
        <f>IFERROR(__xludf.DUMMYFUNCTION("SPLIT(C67,""-"")"),60.0)</f>
        <v>60</v>
      </c>
      <c r="E67" s="113">
        <f>IFERROR(__xludf.DUMMYFUNCTION("""COMPUTED_VALUE"""),90.0)</f>
        <v>90</v>
      </c>
      <c r="F67" s="114">
        <f t="shared" si="40"/>
        <v>78.31756654</v>
      </c>
      <c r="G67" s="112">
        <v>0.9918690846619065</v>
      </c>
      <c r="H67" s="113" t="str">
        <f>ifs(G67&lt;='Range Tables'!$G$86,'Range Tables'!$B$86,G67&lt;='Range Tables'!$G$87,'Range Tables'!$B$87,G67&lt;='Range Tables'!$G$88,'Range Tables'!$B$88,G67&lt;='Range Tables'!$G$89,'Range Tables'!$B$89,G67&lt;='Range Tables'!$G$90,'Range Tables'!$B$90,G67&lt;='Range Tables'!$G$91,'Range Tables'!$B$91)</f>
        <v>Van*</v>
      </c>
      <c r="I67" s="112">
        <v>0.4066829116782026</v>
      </c>
      <c r="J67" s="113" t="str">
        <f>IFS(
  H67="Car", IF(I67&lt;='Range Tables'!$G$19, 'Range Tables'!$B$19, 'Range Tables'!$B$20), 
  H67="Bike", IF(I67&lt;='Range Tables'!$G$25, 'Range Tables'!$B$25, 'Range Tables'!$B$26), 
  H67="Scooter", IF(I67&lt;='Range Tables'!$G$31, 'Range Tables'!$B$31, 'Range Tables'!$B$32), 
  H67="Auto", IF(I67&lt;='Range Tables'!$G$37, 'Range Tables'!$B$37, 'Range Tables'!$B$38), 
  H67="Carriers*", IF(I67&lt;='Range Tables'!$G$43, 'Range Tables'!$B$43, 'Range Tables'!$B$44), 
  H67="Van*", IF(I67&lt;='Range Tables'!$G$50, 'Range Tables'!$B$50, 'Range Tables'!$B$49)
)</f>
        <v>Diesel</v>
      </c>
      <c r="K67" s="112">
        <v>0.46145296239553346</v>
      </c>
      <c r="L67" s="113">
        <f>if(J67="Petrol",ifs(K67&lt;='Range Tables'!$G$5,'Range Tables'!$B$5,K67&lt;='Range Tables'!$G$6,'Range Tables'!$B$6,K67&lt;='Range Tables'!$G$7,'Range Tables'!$B$7),ifs(K67&lt;='Range Tables'!$G$13,'Range Tables'!$B$13,K67&lt;='Range Tables'!$G$14,'Range Tables'!$B$14))</f>
        <v>1</v>
      </c>
      <c r="M67" s="112">
        <v>0.9846261980297523</v>
      </c>
      <c r="N67" s="113" t="str">
        <f>ifs(H67="Car",ifs(M67&lt;='Range Tables'!$G$125,'Range Tables'!$B$125,M67&lt;='Range Tables'!$G$126,'Range Tables'!$B$126,M67&lt;='Range Tables'!$G$127,'Range Tables'!$B$127,M67&lt;='Range Tables'!$G$128,'Range Tables'!$B$128,M67&lt;='Range Tables'!$G$129,'Range Tables'!$B$129,'Range Tables'!$G$131,'Range Tables'!$B$131),H67="Bike",ifs(M67&lt;='Range Tables'!$G$136,'Range Tables'!$B$136,M67&lt;='Range Tables'!$G$137,'Range Tables'!$B$137,M67&lt;='Range Tables'!$G$138,'Range Tables'!$B$138,M67&lt;='Range Tables'!$G$142,'Range Tables'!$B$142),H67="Scooter",ifs(M67&lt;='Range Tables'!$G$148,'Range Tables'!$B$148,M67&lt;='Range Tables'!$G$149,'Range Tables'!$B$149,M67&lt;='Range Tables'!$G$150,'Range Tables'!$B$150,M67&lt;='Range Tables'!$G$151,'Range Tables'!$B$151),H67="Auto",ifs(M67&lt;='Range Tables'!$G$161,'Range Tables'!$B$161,M67&lt;='Range Tables'!$G$162,'Range Tables'!$B$162,M67&lt;='Range Tables'!$G$163,'Range Tables'!$B$163,M67&lt;='Range Tables'!$G$164,'Range Tables'!$B$164),H67="Carriers*",ifs(M67&lt;='Range Tables'!$G$173,'Range Tables'!$B$173,M67&lt;='Range Tables'!$G$174,'Range Tables'!$B$174,M67&lt;='Range Tables'!$G$175,'Range Tables'!$B$175,M67&lt;='Range Tables'!$G$176,'Range Tables'!$B$176,M67&lt;='Range Tables'!$G$177,'Range Tables'!$B$177,M67&lt;='Range Tables'!$G$179,'Range Tables'!$B$179),H67="Van*",ifs(M67&lt;='Range Tables'!$G$186,'Range Tables'!$B$186))</f>
        <v>120 - 180</v>
      </c>
      <c r="O67" s="113">
        <f>IFERROR(__xludf.DUMMYFUNCTION("SPLIT(N67,""-"")"),120.0)</f>
        <v>120</v>
      </c>
      <c r="P67" s="113">
        <f>IFERROR(__xludf.DUMMYFUNCTION("""COMPUTED_VALUE"""),180.0)</f>
        <v>180</v>
      </c>
      <c r="Q67" s="114">
        <f t="shared" si="2"/>
        <v>179.0775719</v>
      </c>
      <c r="R67" s="115">
        <f t="shared" si="3"/>
        <v>0.05602276014</v>
      </c>
      <c r="S67" s="114">
        <f t="shared" si="39"/>
        <v>4840.366476</v>
      </c>
      <c r="T67" s="113" t="str">
        <f t="shared" si="4"/>
        <v>yes</v>
      </c>
      <c r="U67" s="115">
        <f t="shared" si="5"/>
        <v>0</v>
      </c>
      <c r="V67" s="113">
        <f t="shared" si="34"/>
        <v>0</v>
      </c>
      <c r="W67" s="115">
        <f t="shared" si="6"/>
        <v>0.05602276014</v>
      </c>
      <c r="X67" s="118">
        <f t="shared" si="7"/>
        <v>4840.366476</v>
      </c>
      <c r="Y67" s="116">
        <f t="shared" si="8"/>
        <v>0.05809541722</v>
      </c>
      <c r="Z67" s="114">
        <f t="shared" si="9"/>
        <v>5019.444048</v>
      </c>
      <c r="AA67" s="113" t="str">
        <f t="shared" si="10"/>
        <v>no</v>
      </c>
      <c r="AB67" s="115">
        <f t="shared" si="11"/>
        <v>0</v>
      </c>
      <c r="AC67" s="113">
        <f t="shared" si="35"/>
        <v>0</v>
      </c>
      <c r="AD67" s="116">
        <f t="shared" si="12"/>
        <v>0</v>
      </c>
      <c r="AE67" s="113">
        <f t="shared" si="13"/>
        <v>0</v>
      </c>
      <c r="AF67" s="116">
        <f t="shared" si="14"/>
        <v>0</v>
      </c>
      <c r="AG67" s="113">
        <f t="shared" si="15"/>
        <v>0</v>
      </c>
      <c r="AH67" s="113" t="str">
        <f t="shared" si="16"/>
        <v>no</v>
      </c>
      <c r="AI67" s="115">
        <f t="shared" si="17"/>
        <v>0</v>
      </c>
      <c r="AJ67" s="113">
        <f t="shared" si="36"/>
        <v>0</v>
      </c>
      <c r="AK67" s="116">
        <f t="shared" si="18"/>
        <v>0</v>
      </c>
      <c r="AL67" s="113">
        <f t="shared" si="19"/>
        <v>0</v>
      </c>
      <c r="AM67" s="115">
        <f t="shared" si="20"/>
        <v>0</v>
      </c>
      <c r="AN67" s="85">
        <f t="shared" si="21"/>
        <v>0</v>
      </c>
      <c r="AO67" s="113" t="str">
        <f t="shared" si="22"/>
        <v>no</v>
      </c>
      <c r="AP67" s="115">
        <f t="shared" si="23"/>
        <v>0</v>
      </c>
      <c r="AQ67" s="113">
        <f t="shared" si="37"/>
        <v>0</v>
      </c>
      <c r="AR67" s="116">
        <f t="shared" si="24"/>
        <v>0</v>
      </c>
      <c r="AS67" s="113">
        <f t="shared" si="25"/>
        <v>0</v>
      </c>
      <c r="AT67" s="116">
        <f t="shared" si="26"/>
        <v>0</v>
      </c>
      <c r="AU67" s="113">
        <f t="shared" si="27"/>
        <v>0</v>
      </c>
      <c r="AV67" s="113" t="str">
        <f t="shared" si="28"/>
        <v>no</v>
      </c>
      <c r="AW67" s="115">
        <f t="shared" si="29"/>
        <v>0</v>
      </c>
      <c r="AX67" s="85">
        <f t="shared" si="38"/>
        <v>0</v>
      </c>
      <c r="AY67" s="116">
        <f t="shared" si="30"/>
        <v>0</v>
      </c>
      <c r="AZ67" s="113">
        <f t="shared" si="31"/>
        <v>0</v>
      </c>
      <c r="BA67" s="116">
        <f t="shared" si="32"/>
        <v>0</v>
      </c>
      <c r="BB67" s="113">
        <f t="shared" si="33"/>
        <v>0</v>
      </c>
      <c r="BC67" s="112">
        <v>0.6872044066873367</v>
      </c>
      <c r="BD67" s="113" t="str">
        <f>ifs(BC67&lt;='Range Tables'!$G$81,'Range Tables'!$B$81,BC67&lt;='Range Tables'!$G$82,'Range Tables'!$B$82)</f>
        <v>Offline*</v>
      </c>
      <c r="BE67" s="112">
        <v>0.8919835336587493</v>
      </c>
      <c r="BF67" s="112" t="str">
        <f>ifs(BE67&lt;='Range Tables'!$G$95,'Range Tables'!$B$95,BE67&lt;='Range Tables'!$G$96,'Range Tables'!$B$96,BE67&lt;='Range Tables'!$G$97,'Range Tables'!$B$97,BE67&lt;='Range Tables'!$G$98,'Range Tables'!$B$98,BE67&lt;='Range Tables'!$G$99,'Range Tables'!$B$99,BE67&lt;='Range Tables'!$G$100,'Range Tables'!$B$100,BE67&lt;='Range Tables'!$G$101,'Range Tables'!$B$101,BE67&lt;='Range Tables'!$G$102,'Range Tables'!$B$102,BE67&lt;='Range Tables'!$G$103,'Range Tables'!$B$103)</f>
        <v>Resai</v>
      </c>
      <c r="BG67" s="112">
        <v>0.058840283835405516</v>
      </c>
      <c r="BH67" s="113" t="str">
        <f>ifs(BG67&lt;='Range Tables'!$G$112,'Range Tables'!$B$112,BG67&lt;='Range Tables'!$G$113,'Range Tables'!$B$113,BG67&lt;='Range Tables'!$G$114,'Range Tables'!$B$114)</f>
        <v>0</v>
      </c>
      <c r="BI67" s="117">
        <v>0.6715767914001464</v>
      </c>
      <c r="BJ67" s="113" t="str">
        <f>ifs(BI67&lt;='Range Tables'!$G$118,'Range Tables'!$B$118,BI67&lt;='Range Tables'!$G$119,'Range Tables'!$B$119)</f>
        <v>Expired</v>
      </c>
    </row>
    <row r="68">
      <c r="A68" s="85">
        <v>65.0</v>
      </c>
      <c r="B68" s="112">
        <v>0.40337021385917204</v>
      </c>
      <c r="C68" s="113" t="str">
        <f>ifs(B68&lt;='Range Tables'!$G$54,'Range Tables'!$B$54,B68&lt;='Range Tables'!$G$55,'Range Tables'!$B$55,B68&lt;='Range Tables'!$G$56,'Range Tables'!$B$56,B68&lt;='Range Tables'!$G$57,'Range Tables'!$B$57,B68&lt;='Range Tables'!$G$58,'Range Tables'!$B$58,B68&lt;='Range Tables'!$G$59,'Range Tables'!$B$59,B68&lt;='Range Tables'!$G$60,'Range Tables'!$B$60,B68&lt;='Range Tables'!$G$61,'Range Tables'!$B$61,B68&lt;='Range Tables'!$G$63,'Range Tables'!$B$63,B68&lt;='Range Tables'!$G$64,'Range Tables'!$B$64,B68&lt;='Range Tables'!$G$66,'Range Tables'!$B$66)</f>
        <v>30 - 60 </v>
      </c>
      <c r="D68" s="113">
        <f>IFERROR(__xludf.DUMMYFUNCTION("SPLIT(C68,""-"")"),30.0)</f>
        <v>30</v>
      </c>
      <c r="E68" s="113">
        <f>IFERROR(__xludf.DUMMYFUNCTION("""COMPUTED_VALUE"""),60.0)</f>
        <v>60</v>
      </c>
      <c r="F68" s="114">
        <f t="shared" si="40"/>
        <v>42.10110642</v>
      </c>
      <c r="G68" s="112">
        <v>0.00261373169900303</v>
      </c>
      <c r="H68" s="113" t="str">
        <f>ifs(G68&lt;='Range Tables'!$G$86,'Range Tables'!$B$86,G68&lt;='Range Tables'!$G$87,'Range Tables'!$B$87,G68&lt;='Range Tables'!$G$88,'Range Tables'!$B$88,G68&lt;='Range Tables'!$G$89,'Range Tables'!$B$89,G68&lt;='Range Tables'!$G$90,'Range Tables'!$B$90,G68&lt;='Range Tables'!$G$91,'Range Tables'!$B$91)</f>
        <v>Car</v>
      </c>
      <c r="I68" s="112">
        <v>0.09538598813550625</v>
      </c>
      <c r="J68" s="113" t="str">
        <f>IFS(
  H68="Car", IF(I68&lt;='Range Tables'!$G$19, 'Range Tables'!$B$19, 'Range Tables'!$B$20), 
  H68="Bike", IF(I68&lt;='Range Tables'!$G$25, 'Range Tables'!$B$25, 'Range Tables'!$B$26), 
  H68="Scooter", IF(I68&lt;='Range Tables'!$G$31, 'Range Tables'!$B$31, 'Range Tables'!$B$32), 
  H68="Auto", IF(I68&lt;='Range Tables'!$G$37, 'Range Tables'!$B$37, 'Range Tables'!$B$38), 
  H68="Carriers*", IF(I68&lt;='Range Tables'!$G$43, 'Range Tables'!$B$43, 'Range Tables'!$B$44), 
  H68="Van*", IF(I68&lt;='Range Tables'!$G$50, 'Range Tables'!$B$50, 'Range Tables'!$B$49)
)</f>
        <v>Petrol</v>
      </c>
      <c r="K68" s="112">
        <v>0.5490349198115215</v>
      </c>
      <c r="L68" s="113">
        <f>if(J68="Petrol",ifs(K68&lt;='Range Tables'!$G$5,'Range Tables'!$B$5,K68&lt;='Range Tables'!$G$6,'Range Tables'!$B$6,K68&lt;='Range Tables'!$G$7,'Range Tables'!$B$7),ifs(K68&lt;='Range Tables'!$G$13,'Range Tables'!$B$13,K68&lt;='Range Tables'!$G$14,'Range Tables'!$B$14))</f>
        <v>3</v>
      </c>
      <c r="M68" s="112">
        <v>0.4436467750605101</v>
      </c>
      <c r="N68" s="113" t="str">
        <f>ifs(H68="Car",ifs(M68&lt;='Range Tables'!$G$125,'Range Tables'!$B$125,M68&lt;='Range Tables'!$G$126,'Range Tables'!$B$126,M68&lt;='Range Tables'!$G$127,'Range Tables'!$B$127,M68&lt;='Range Tables'!$G$128,'Range Tables'!$B$128,M68&lt;='Range Tables'!$G$129,'Range Tables'!$B$129,'Range Tables'!$G$131,'Range Tables'!$B$131),H68="Bike",ifs(M68&lt;='Range Tables'!$G$136,'Range Tables'!$B$136,M68&lt;='Range Tables'!$G$137,'Range Tables'!$B$137,M68&lt;='Range Tables'!$G$138,'Range Tables'!$B$138,M68&lt;='Range Tables'!$G$142,'Range Tables'!$B$142),H68="Scooter",ifs(M68&lt;='Range Tables'!$G$148,'Range Tables'!$B$148,M68&lt;='Range Tables'!$G$149,'Range Tables'!$B$149,M68&lt;='Range Tables'!$G$150,'Range Tables'!$B$150,M68&lt;='Range Tables'!$G$151,'Range Tables'!$B$151),H68="Auto",ifs(M68&lt;='Range Tables'!$G$161,'Range Tables'!$B$161,M68&lt;='Range Tables'!$G$162,'Range Tables'!$B$162,M68&lt;='Range Tables'!$G$163,'Range Tables'!$B$163,M68&lt;='Range Tables'!$G$164,'Range Tables'!$B$164),H68="Carriers*",ifs(M68&lt;='Range Tables'!$G$173,'Range Tables'!$B$173,M68&lt;='Range Tables'!$G$174,'Range Tables'!$B$174,M68&lt;='Range Tables'!$G$175,'Range Tables'!$B$175,M68&lt;='Range Tables'!$G$176,'Range Tables'!$B$176,M68&lt;='Range Tables'!$G$177,'Range Tables'!$B$177,M68&lt;='Range Tables'!$G$179,'Range Tables'!$B$179),H68="Van*",ifs(M68&lt;='Range Tables'!$G$186,'Range Tables'!$B$186))</f>
        <v>60 - 120</v>
      </c>
      <c r="O68" s="113">
        <f>IFERROR(__xludf.DUMMYFUNCTION("SPLIT(N68,""-"")"),60.0)</f>
        <v>60</v>
      </c>
      <c r="P68" s="113">
        <f>IFERROR(__xludf.DUMMYFUNCTION("""COMPUTED_VALUE"""),120.0)</f>
        <v>120</v>
      </c>
      <c r="Q68" s="114">
        <f t="shared" si="2"/>
        <v>86.6188065</v>
      </c>
      <c r="R68" s="115">
        <f t="shared" si="3"/>
        <v>0.05692921345</v>
      </c>
      <c r="S68" s="114">
        <f t="shared" si="39"/>
        <v>4918.684042</v>
      </c>
      <c r="T68" s="113" t="str">
        <f t="shared" si="4"/>
        <v>no</v>
      </c>
      <c r="U68" s="115">
        <f t="shared" si="5"/>
        <v>0</v>
      </c>
      <c r="V68" s="113">
        <f t="shared" si="34"/>
        <v>0</v>
      </c>
      <c r="W68" s="115">
        <f t="shared" si="6"/>
        <v>0</v>
      </c>
      <c r="X68" s="85">
        <f t="shared" si="7"/>
        <v>0</v>
      </c>
      <c r="Y68" s="116">
        <f t="shared" si="8"/>
        <v>0</v>
      </c>
      <c r="Z68" s="113">
        <f t="shared" si="9"/>
        <v>0</v>
      </c>
      <c r="AA68" s="113" t="str">
        <f t="shared" si="10"/>
        <v>no</v>
      </c>
      <c r="AB68" s="115">
        <f t="shared" si="11"/>
        <v>0</v>
      </c>
      <c r="AC68" s="113">
        <f t="shared" si="35"/>
        <v>0</v>
      </c>
      <c r="AD68" s="116">
        <f t="shared" si="12"/>
        <v>0</v>
      </c>
      <c r="AE68" s="113">
        <f t="shared" si="13"/>
        <v>0</v>
      </c>
      <c r="AF68" s="116">
        <f t="shared" si="14"/>
        <v>0</v>
      </c>
      <c r="AG68" s="113">
        <f t="shared" si="15"/>
        <v>0</v>
      </c>
      <c r="AH68" s="113" t="str">
        <f t="shared" si="16"/>
        <v>yes</v>
      </c>
      <c r="AI68" s="115">
        <f t="shared" si="17"/>
        <v>0</v>
      </c>
      <c r="AJ68" s="113">
        <f t="shared" si="36"/>
        <v>0</v>
      </c>
      <c r="AK68" s="116">
        <f t="shared" si="18"/>
        <v>0.05692921345</v>
      </c>
      <c r="AL68" s="114">
        <f t="shared" si="19"/>
        <v>4918.684042</v>
      </c>
      <c r="AM68" s="115">
        <f t="shared" si="20"/>
        <v>0.05793174594</v>
      </c>
      <c r="AN68" s="118">
        <f t="shared" si="21"/>
        <v>5005.302849</v>
      </c>
      <c r="AO68" s="113" t="str">
        <f t="shared" si="22"/>
        <v>no</v>
      </c>
      <c r="AP68" s="115">
        <f t="shared" si="23"/>
        <v>0</v>
      </c>
      <c r="AQ68" s="113">
        <f t="shared" si="37"/>
        <v>0</v>
      </c>
      <c r="AR68" s="116">
        <f t="shared" si="24"/>
        <v>0</v>
      </c>
      <c r="AS68" s="113">
        <f t="shared" si="25"/>
        <v>0</v>
      </c>
      <c r="AT68" s="116">
        <f t="shared" si="26"/>
        <v>0</v>
      </c>
      <c r="AU68" s="113">
        <f t="shared" si="27"/>
        <v>0</v>
      </c>
      <c r="AV68" s="113" t="str">
        <f t="shared" si="28"/>
        <v>no</v>
      </c>
      <c r="AW68" s="115">
        <f t="shared" si="29"/>
        <v>0</v>
      </c>
      <c r="AX68" s="85">
        <f t="shared" si="38"/>
        <v>0</v>
      </c>
      <c r="AY68" s="116">
        <f t="shared" si="30"/>
        <v>0</v>
      </c>
      <c r="AZ68" s="113">
        <f t="shared" si="31"/>
        <v>0</v>
      </c>
      <c r="BA68" s="116">
        <f t="shared" si="32"/>
        <v>0</v>
      </c>
      <c r="BB68" s="113">
        <f t="shared" si="33"/>
        <v>0</v>
      </c>
      <c r="BC68" s="112">
        <v>0.4821260034672138</v>
      </c>
      <c r="BD68" s="113" t="str">
        <f>ifs(BC68&lt;='Range Tables'!$G$81,'Range Tables'!$B$81,BC68&lt;='Range Tables'!$G$82,'Range Tables'!$B$82)</f>
        <v>Offline*</v>
      </c>
      <c r="BE68" s="112">
        <v>0.6771385922881634</v>
      </c>
      <c r="BF68" s="112" t="str">
        <f>ifs(BE68&lt;='Range Tables'!$G$95,'Range Tables'!$B$95,BE68&lt;='Range Tables'!$G$96,'Range Tables'!$B$96,BE68&lt;='Range Tables'!$G$97,'Range Tables'!$B$97,BE68&lt;='Range Tables'!$G$98,'Range Tables'!$B$98,BE68&lt;='Range Tables'!$G$99,'Range Tables'!$B$99,BE68&lt;='Range Tables'!$G$100,'Range Tables'!$B$100,BE68&lt;='Range Tables'!$G$101,'Range Tables'!$B$101,BE68&lt;='Range Tables'!$G$102,'Range Tables'!$B$102,BE68&lt;='Range Tables'!$G$103,'Range Tables'!$B$103)</f>
        <v>Jammu</v>
      </c>
      <c r="BG68" s="112">
        <v>0.6059648522679484</v>
      </c>
      <c r="BH68" s="113" t="str">
        <f>ifs(BG68&lt;='Range Tables'!$G$112,'Range Tables'!$B$112,BG68&lt;='Range Tables'!$G$113,'Range Tables'!$B$113,BG68&lt;='Range Tables'!$G$114,'Range Tables'!$B$114)</f>
        <v>0</v>
      </c>
      <c r="BI68" s="117">
        <v>0.5784898630614349</v>
      </c>
      <c r="BJ68" s="113" t="str">
        <f>ifs(BI68&lt;='Range Tables'!$G$118,'Range Tables'!$B$118,BI68&lt;='Range Tables'!$G$119,'Range Tables'!$B$119)</f>
        <v>Valid</v>
      </c>
    </row>
    <row r="69">
      <c r="A69" s="85">
        <v>66.0</v>
      </c>
      <c r="B69" s="112">
        <v>0.13781409656659227</v>
      </c>
      <c r="C69" s="113" t="str">
        <f>ifs(B69&lt;='Range Tables'!$G$54,'Range Tables'!$B$54,B69&lt;='Range Tables'!$G$55,'Range Tables'!$B$55,B69&lt;='Range Tables'!$G$56,'Range Tables'!$B$56,B69&lt;='Range Tables'!$G$57,'Range Tables'!$B$57,B69&lt;='Range Tables'!$G$58,'Range Tables'!$B$58,B69&lt;='Range Tables'!$G$59,'Range Tables'!$B$59,B69&lt;='Range Tables'!$G$60,'Range Tables'!$B$60,B69&lt;='Range Tables'!$G$61,'Range Tables'!$B$61,B69&lt;='Range Tables'!$G$63,'Range Tables'!$B$63,B69&lt;='Range Tables'!$G$64,'Range Tables'!$B$64,B69&lt;='Range Tables'!$G$66,'Range Tables'!$B$66)</f>
        <v>0 - 30</v>
      </c>
      <c r="D69" s="113">
        <f>IFERROR(__xludf.DUMMYFUNCTION("SPLIT(C69,""-"")"),0.0)</f>
        <v>0</v>
      </c>
      <c r="E69" s="113">
        <f>IFERROR(__xludf.DUMMYFUNCTION("""COMPUTED_VALUE"""),30.0)</f>
        <v>30</v>
      </c>
      <c r="F69" s="114">
        <f t="shared" si="40"/>
        <v>4.134422897</v>
      </c>
      <c r="G69" s="112">
        <v>0.2942734236743334</v>
      </c>
      <c r="H69" s="113" t="str">
        <f>ifs(G69&lt;='Range Tables'!$G$86,'Range Tables'!$B$86,G69&lt;='Range Tables'!$G$87,'Range Tables'!$B$87,G69&lt;='Range Tables'!$G$88,'Range Tables'!$B$88,G69&lt;='Range Tables'!$G$89,'Range Tables'!$B$89,G69&lt;='Range Tables'!$G$90,'Range Tables'!$B$90,G69&lt;='Range Tables'!$G$91,'Range Tables'!$B$91)</f>
        <v>Car</v>
      </c>
      <c r="I69" s="112">
        <v>0.7602496165735296</v>
      </c>
      <c r="J69" s="113" t="str">
        <f>IFS(
  H69="Car", IF(I69&lt;='Range Tables'!$G$19, 'Range Tables'!$B$19, 'Range Tables'!$B$20), 
  H69="Bike", IF(I69&lt;='Range Tables'!$G$25, 'Range Tables'!$B$25, 'Range Tables'!$B$26), 
  H69="Scooter", IF(I69&lt;='Range Tables'!$G$31, 'Range Tables'!$B$31, 'Range Tables'!$B$32), 
  H69="Auto", IF(I69&lt;='Range Tables'!$G$37, 'Range Tables'!$B$37, 'Range Tables'!$B$38), 
  H69="Carriers*", IF(I69&lt;='Range Tables'!$G$43, 'Range Tables'!$B$43, 'Range Tables'!$B$44), 
  H69="Van*", IF(I69&lt;='Range Tables'!$G$50, 'Range Tables'!$B$50, 'Range Tables'!$B$49)
)</f>
        <v>Petrol</v>
      </c>
      <c r="K69" s="112">
        <v>0.10072856322032564</v>
      </c>
      <c r="L69" s="113">
        <f>if(J69="Petrol",ifs(K69&lt;='Range Tables'!$G$5,'Range Tables'!$B$5,K69&lt;='Range Tables'!$G$6,'Range Tables'!$B$6,K69&lt;='Range Tables'!$G$7,'Range Tables'!$B$7),ifs(K69&lt;='Range Tables'!$G$13,'Range Tables'!$B$13,K69&lt;='Range Tables'!$G$14,'Range Tables'!$B$14))</f>
        <v>2</v>
      </c>
      <c r="M69" s="112">
        <v>0.9455936255992855</v>
      </c>
      <c r="N69" s="113" t="str">
        <f>ifs(H69="Car",ifs(M69&lt;='Range Tables'!$G$125,'Range Tables'!$B$125,M69&lt;='Range Tables'!$G$126,'Range Tables'!$B$126,M69&lt;='Range Tables'!$G$127,'Range Tables'!$B$127,M69&lt;='Range Tables'!$G$128,'Range Tables'!$B$128,M69&lt;='Range Tables'!$G$129,'Range Tables'!$B$129,'Range Tables'!$G$131,'Range Tables'!$B$131),H69="Bike",ifs(M69&lt;='Range Tables'!$G$136,'Range Tables'!$B$136,M69&lt;='Range Tables'!$G$137,'Range Tables'!$B$137,M69&lt;='Range Tables'!$G$138,'Range Tables'!$B$138,M69&lt;='Range Tables'!$G$142,'Range Tables'!$B$142),H69="Scooter",ifs(M69&lt;='Range Tables'!$G$148,'Range Tables'!$B$148,M69&lt;='Range Tables'!$G$149,'Range Tables'!$B$149,M69&lt;='Range Tables'!$G$150,'Range Tables'!$B$150,M69&lt;='Range Tables'!$G$151,'Range Tables'!$B$151),H69="Auto",ifs(M69&lt;='Range Tables'!$G$161,'Range Tables'!$B$161,M69&lt;='Range Tables'!$G$162,'Range Tables'!$B$162,M69&lt;='Range Tables'!$G$163,'Range Tables'!$B$163,M69&lt;='Range Tables'!$G$164,'Range Tables'!$B$164),H69="Carriers*",ifs(M69&lt;='Range Tables'!$G$173,'Range Tables'!$B$173,M69&lt;='Range Tables'!$G$174,'Range Tables'!$B$174,M69&lt;='Range Tables'!$G$175,'Range Tables'!$B$175,M69&lt;='Range Tables'!$G$176,'Range Tables'!$B$176,M69&lt;='Range Tables'!$G$177,'Range Tables'!$B$177,M69&lt;='Range Tables'!$G$179,'Range Tables'!$B$179),H69="Van*",ifs(M69&lt;='Range Tables'!$G$186,'Range Tables'!$B$186))</f>
        <v>300 - 360</v>
      </c>
      <c r="O69" s="113">
        <f>IFERROR(__xludf.DUMMYFUNCTION("SPLIT(N69,""-"")"),300.0)</f>
        <v>300</v>
      </c>
      <c r="P69" s="113">
        <f>IFERROR(__xludf.DUMMYFUNCTION("""COMPUTED_VALUE"""),360.0)</f>
        <v>360</v>
      </c>
      <c r="Q69" s="114">
        <f t="shared" si="2"/>
        <v>356.7356175</v>
      </c>
      <c r="R69" s="115">
        <f t="shared" si="3"/>
        <v>0.05741649478</v>
      </c>
      <c r="S69" s="114">
        <f t="shared" si="39"/>
        <v>4960.785149</v>
      </c>
      <c r="T69" s="113" t="str">
        <f t="shared" si="4"/>
        <v>no</v>
      </c>
      <c r="U69" s="115">
        <f t="shared" si="5"/>
        <v>0</v>
      </c>
      <c r="V69" s="113">
        <f t="shared" si="34"/>
        <v>0</v>
      </c>
      <c r="W69" s="115">
        <f t="shared" si="6"/>
        <v>0</v>
      </c>
      <c r="X69" s="85">
        <f t="shared" si="7"/>
        <v>0</v>
      </c>
      <c r="Y69" s="116">
        <f t="shared" si="8"/>
        <v>0</v>
      </c>
      <c r="Z69" s="113">
        <f t="shared" si="9"/>
        <v>0</v>
      </c>
      <c r="AA69" s="113" t="str">
        <f t="shared" si="10"/>
        <v>yes</v>
      </c>
      <c r="AB69" s="115">
        <f t="shared" si="11"/>
        <v>0</v>
      </c>
      <c r="AC69" s="113">
        <f t="shared" si="35"/>
        <v>0</v>
      </c>
      <c r="AD69" s="116">
        <f t="shared" si="12"/>
        <v>0.05741649478</v>
      </c>
      <c r="AE69" s="114">
        <f t="shared" si="13"/>
        <v>4960.785149</v>
      </c>
      <c r="AF69" s="116">
        <f t="shared" si="14"/>
        <v>0.06154537924</v>
      </c>
      <c r="AG69" s="114">
        <f t="shared" si="15"/>
        <v>5317.520766</v>
      </c>
      <c r="AH69" s="113" t="str">
        <f t="shared" si="16"/>
        <v>no</v>
      </c>
      <c r="AI69" s="115">
        <f t="shared" si="17"/>
        <v>0</v>
      </c>
      <c r="AJ69" s="113">
        <f t="shared" si="36"/>
        <v>0</v>
      </c>
      <c r="AK69" s="116">
        <f t="shared" si="18"/>
        <v>0</v>
      </c>
      <c r="AL69" s="113">
        <f t="shared" si="19"/>
        <v>0</v>
      </c>
      <c r="AM69" s="115">
        <f t="shared" si="20"/>
        <v>0</v>
      </c>
      <c r="AN69" s="85">
        <f t="shared" si="21"/>
        <v>0</v>
      </c>
      <c r="AO69" s="113" t="str">
        <f t="shared" si="22"/>
        <v>no</v>
      </c>
      <c r="AP69" s="115">
        <f t="shared" si="23"/>
        <v>0</v>
      </c>
      <c r="AQ69" s="113">
        <f t="shared" si="37"/>
        <v>0</v>
      </c>
      <c r="AR69" s="116">
        <f t="shared" si="24"/>
        <v>0</v>
      </c>
      <c r="AS69" s="113">
        <f t="shared" si="25"/>
        <v>0</v>
      </c>
      <c r="AT69" s="116">
        <f t="shared" si="26"/>
        <v>0</v>
      </c>
      <c r="AU69" s="113">
        <f t="shared" si="27"/>
        <v>0</v>
      </c>
      <c r="AV69" s="113" t="str">
        <f t="shared" si="28"/>
        <v>no</v>
      </c>
      <c r="AW69" s="115">
        <f t="shared" si="29"/>
        <v>0</v>
      </c>
      <c r="AX69" s="85">
        <f t="shared" si="38"/>
        <v>0</v>
      </c>
      <c r="AY69" s="116">
        <f t="shared" si="30"/>
        <v>0</v>
      </c>
      <c r="AZ69" s="113">
        <f t="shared" si="31"/>
        <v>0</v>
      </c>
      <c r="BA69" s="116">
        <f t="shared" si="32"/>
        <v>0</v>
      </c>
      <c r="BB69" s="113">
        <f t="shared" si="33"/>
        <v>0</v>
      </c>
      <c r="BC69" s="112">
        <v>0.700095453964973</v>
      </c>
      <c r="BD69" s="113" t="str">
        <f>ifs(BC69&lt;='Range Tables'!$G$81,'Range Tables'!$B$81,BC69&lt;='Range Tables'!$G$82,'Range Tables'!$B$82)</f>
        <v>Offline*</v>
      </c>
      <c r="BE69" s="112">
        <v>0.42712278165131345</v>
      </c>
      <c r="BF69" s="112" t="str">
        <f>ifs(BE69&lt;='Range Tables'!$G$95,'Range Tables'!$B$95,BE69&lt;='Range Tables'!$G$96,'Range Tables'!$B$96,BE69&lt;='Range Tables'!$G$97,'Range Tables'!$B$97,BE69&lt;='Range Tables'!$G$98,'Range Tables'!$B$98,BE69&lt;='Range Tables'!$G$99,'Range Tables'!$B$99,BE69&lt;='Range Tables'!$G$100,'Range Tables'!$B$100,BE69&lt;='Range Tables'!$G$101,'Range Tables'!$B$101,BE69&lt;='Range Tables'!$G$102,'Range Tables'!$B$102,BE69&lt;='Range Tables'!$G$103,'Range Tables'!$B$103)</f>
        <v>Jammu</v>
      </c>
      <c r="BG69" s="112">
        <v>0.5579753823142768</v>
      </c>
      <c r="BH69" s="113" t="str">
        <f>ifs(BG69&lt;='Range Tables'!$G$112,'Range Tables'!$B$112,BG69&lt;='Range Tables'!$G$113,'Range Tables'!$B$113,BG69&lt;='Range Tables'!$G$114,'Range Tables'!$B$114)</f>
        <v>0</v>
      </c>
      <c r="BI69" s="117">
        <v>0.7833621396917829</v>
      </c>
      <c r="BJ69" s="113" t="str">
        <f>ifs(BI69&lt;='Range Tables'!$G$118,'Range Tables'!$B$118,BI69&lt;='Range Tables'!$G$119,'Range Tables'!$B$119)</f>
        <v>Expired</v>
      </c>
    </row>
    <row r="70">
      <c r="A70" s="85">
        <v>67.0</v>
      </c>
      <c r="B70" s="112">
        <v>0.07468329480808589</v>
      </c>
      <c r="C70" s="113" t="str">
        <f>ifs(B70&lt;='Range Tables'!$G$54,'Range Tables'!$B$54,B70&lt;='Range Tables'!$G$55,'Range Tables'!$B$55,B70&lt;='Range Tables'!$G$56,'Range Tables'!$B$56,B70&lt;='Range Tables'!$G$57,'Range Tables'!$B$57,B70&lt;='Range Tables'!$G$58,'Range Tables'!$B$58,B70&lt;='Range Tables'!$G$59,'Range Tables'!$B$59,B70&lt;='Range Tables'!$G$60,'Range Tables'!$B$60,B70&lt;='Range Tables'!$G$61,'Range Tables'!$B$61,B70&lt;='Range Tables'!$G$63,'Range Tables'!$B$63,B70&lt;='Range Tables'!$G$64,'Range Tables'!$B$64,B70&lt;='Range Tables'!$G$66,'Range Tables'!$B$66)</f>
        <v>0 - 30</v>
      </c>
      <c r="D70" s="113">
        <f>IFERROR(__xludf.DUMMYFUNCTION("SPLIT(C70,""-"")"),0.0)</f>
        <v>0</v>
      </c>
      <c r="E70" s="113">
        <f>IFERROR(__xludf.DUMMYFUNCTION("""COMPUTED_VALUE"""),30.0)</f>
        <v>30</v>
      </c>
      <c r="F70" s="114">
        <f t="shared" si="40"/>
        <v>2.240498844</v>
      </c>
      <c r="G70" s="112">
        <v>0.08333379848931666</v>
      </c>
      <c r="H70" s="113" t="str">
        <f>ifs(G70&lt;='Range Tables'!$G$86,'Range Tables'!$B$86,G70&lt;='Range Tables'!$G$87,'Range Tables'!$B$87,G70&lt;='Range Tables'!$G$88,'Range Tables'!$B$88,G70&lt;='Range Tables'!$G$89,'Range Tables'!$B$89,G70&lt;='Range Tables'!$G$90,'Range Tables'!$B$90,G70&lt;='Range Tables'!$G$91,'Range Tables'!$B$91)</f>
        <v>Car</v>
      </c>
      <c r="I70" s="112">
        <v>0.4524951506315754</v>
      </c>
      <c r="J70" s="113" t="str">
        <f>IFS(
  H70="Car", IF(I70&lt;='Range Tables'!$G$19, 'Range Tables'!$B$19, 'Range Tables'!$B$20), 
  H70="Bike", IF(I70&lt;='Range Tables'!$G$25, 'Range Tables'!$B$25, 'Range Tables'!$B$26), 
  H70="Scooter", IF(I70&lt;='Range Tables'!$G$31, 'Range Tables'!$B$31, 'Range Tables'!$B$32), 
  H70="Auto", IF(I70&lt;='Range Tables'!$G$37, 'Range Tables'!$B$37, 'Range Tables'!$B$38), 
  H70="Carriers*", IF(I70&lt;='Range Tables'!$G$43, 'Range Tables'!$B$43, 'Range Tables'!$B$44), 
  H70="Van*", IF(I70&lt;='Range Tables'!$G$50, 'Range Tables'!$B$50, 'Range Tables'!$B$49)
)</f>
        <v>Petrol</v>
      </c>
      <c r="K70" s="112">
        <v>0.16486517750611385</v>
      </c>
      <c r="L70" s="113">
        <f>if(J70="Petrol",ifs(K70&lt;='Range Tables'!$G$5,'Range Tables'!$B$5,K70&lt;='Range Tables'!$G$6,'Range Tables'!$B$6,K70&lt;='Range Tables'!$G$7,'Range Tables'!$B$7),ifs(K70&lt;='Range Tables'!$G$13,'Range Tables'!$B$13,K70&lt;='Range Tables'!$G$14,'Range Tables'!$B$14))</f>
        <v>2</v>
      </c>
      <c r="M70" s="112">
        <v>0.19747482289304719</v>
      </c>
      <c r="N70" s="113" t="str">
        <f>ifs(H70="Car",ifs(M70&lt;='Range Tables'!$G$125,'Range Tables'!$B$125,M70&lt;='Range Tables'!$G$126,'Range Tables'!$B$126,M70&lt;='Range Tables'!$G$127,'Range Tables'!$B$127,M70&lt;='Range Tables'!$G$128,'Range Tables'!$B$128,M70&lt;='Range Tables'!$G$129,'Range Tables'!$B$129,'Range Tables'!$G$131,'Range Tables'!$B$131),H70="Bike",ifs(M70&lt;='Range Tables'!$G$136,'Range Tables'!$B$136,M70&lt;='Range Tables'!$G$137,'Range Tables'!$B$137,M70&lt;='Range Tables'!$G$138,'Range Tables'!$B$138,M70&lt;='Range Tables'!$G$142,'Range Tables'!$B$142),H70="Scooter",ifs(M70&lt;='Range Tables'!$G$148,'Range Tables'!$B$148,M70&lt;='Range Tables'!$G$149,'Range Tables'!$B$149,M70&lt;='Range Tables'!$G$150,'Range Tables'!$B$150,M70&lt;='Range Tables'!$G$151,'Range Tables'!$B$151),H70="Auto",ifs(M70&lt;='Range Tables'!$G$161,'Range Tables'!$B$161,M70&lt;='Range Tables'!$G$162,'Range Tables'!$B$162,M70&lt;='Range Tables'!$G$163,'Range Tables'!$B$163,M70&lt;='Range Tables'!$G$164,'Range Tables'!$B$164),H70="Carriers*",ifs(M70&lt;='Range Tables'!$G$173,'Range Tables'!$B$173,M70&lt;='Range Tables'!$G$174,'Range Tables'!$B$174,M70&lt;='Range Tables'!$G$175,'Range Tables'!$B$175,M70&lt;='Range Tables'!$G$176,'Range Tables'!$B$176,M70&lt;='Range Tables'!$G$177,'Range Tables'!$B$177,M70&lt;='Range Tables'!$G$179,'Range Tables'!$B$179),H70="Van*",ifs(M70&lt;='Range Tables'!$G$186,'Range Tables'!$B$186))</f>
        <v>60 - 120</v>
      </c>
      <c r="O70" s="113">
        <f>IFERROR(__xludf.DUMMYFUNCTION("SPLIT(N70,""-"")"),60.0)</f>
        <v>60</v>
      </c>
      <c r="P70" s="113">
        <f>IFERROR(__xludf.DUMMYFUNCTION("""COMPUTED_VALUE"""),120.0)</f>
        <v>120</v>
      </c>
      <c r="Q70" s="114">
        <f t="shared" si="2"/>
        <v>71.84848937</v>
      </c>
      <c r="R70" s="115">
        <f t="shared" si="3"/>
        <v>0.05746434689</v>
      </c>
      <c r="S70" s="114">
        <f t="shared" si="39"/>
        <v>4964.919572</v>
      </c>
      <c r="T70" s="113" t="str">
        <f t="shared" si="4"/>
        <v>no</v>
      </c>
      <c r="U70" s="115">
        <f t="shared" si="5"/>
        <v>0</v>
      </c>
      <c r="V70" s="113">
        <f t="shared" si="34"/>
        <v>0</v>
      </c>
      <c r="W70" s="115">
        <f t="shared" si="6"/>
        <v>0</v>
      </c>
      <c r="X70" s="85">
        <f t="shared" si="7"/>
        <v>0</v>
      </c>
      <c r="Y70" s="116">
        <f t="shared" si="8"/>
        <v>0</v>
      </c>
      <c r="Z70" s="113">
        <f t="shared" si="9"/>
        <v>0</v>
      </c>
      <c r="AA70" s="113" t="str">
        <f t="shared" si="10"/>
        <v>yes</v>
      </c>
      <c r="AB70" s="115">
        <f t="shared" si="11"/>
        <v>0.004081032345</v>
      </c>
      <c r="AC70" s="114">
        <f t="shared" si="35"/>
        <v>352.6011946</v>
      </c>
      <c r="AD70" s="116">
        <f t="shared" si="12"/>
        <v>0.06154537924</v>
      </c>
      <c r="AE70" s="114">
        <f t="shared" si="13"/>
        <v>5317.520766</v>
      </c>
      <c r="AF70" s="116">
        <f t="shared" si="14"/>
        <v>0.06237695898</v>
      </c>
      <c r="AG70" s="114">
        <f t="shared" si="15"/>
        <v>5389.369256</v>
      </c>
      <c r="AH70" s="113" t="str">
        <f t="shared" si="16"/>
        <v>no</v>
      </c>
      <c r="AI70" s="115">
        <f t="shared" si="17"/>
        <v>0</v>
      </c>
      <c r="AJ70" s="113">
        <f t="shared" si="36"/>
        <v>0</v>
      </c>
      <c r="AK70" s="116">
        <f t="shared" si="18"/>
        <v>0</v>
      </c>
      <c r="AL70" s="113">
        <f t="shared" si="19"/>
        <v>0</v>
      </c>
      <c r="AM70" s="115">
        <f t="shared" si="20"/>
        <v>0</v>
      </c>
      <c r="AN70" s="85">
        <f t="shared" si="21"/>
        <v>0</v>
      </c>
      <c r="AO70" s="113" t="str">
        <f t="shared" si="22"/>
        <v>no</v>
      </c>
      <c r="AP70" s="115">
        <f t="shared" si="23"/>
        <v>0</v>
      </c>
      <c r="AQ70" s="113">
        <f t="shared" si="37"/>
        <v>0</v>
      </c>
      <c r="AR70" s="116">
        <f t="shared" si="24"/>
        <v>0</v>
      </c>
      <c r="AS70" s="113">
        <f t="shared" si="25"/>
        <v>0</v>
      </c>
      <c r="AT70" s="116">
        <f t="shared" si="26"/>
        <v>0</v>
      </c>
      <c r="AU70" s="113">
        <f t="shared" si="27"/>
        <v>0</v>
      </c>
      <c r="AV70" s="113" t="str">
        <f t="shared" si="28"/>
        <v>no</v>
      </c>
      <c r="AW70" s="115">
        <f t="shared" si="29"/>
        <v>0</v>
      </c>
      <c r="AX70" s="85">
        <f t="shared" si="38"/>
        <v>0</v>
      </c>
      <c r="AY70" s="116">
        <f t="shared" si="30"/>
        <v>0</v>
      </c>
      <c r="AZ70" s="113">
        <f t="shared" si="31"/>
        <v>0</v>
      </c>
      <c r="BA70" s="116">
        <f t="shared" si="32"/>
        <v>0</v>
      </c>
      <c r="BB70" s="113">
        <f t="shared" si="33"/>
        <v>0</v>
      </c>
      <c r="BC70" s="112">
        <v>0.9998250627735215</v>
      </c>
      <c r="BD70" s="113" t="str">
        <f>ifs(BC70&lt;='Range Tables'!$G$81,'Range Tables'!$B$81,BC70&lt;='Range Tables'!$G$82,'Range Tables'!$B$82)</f>
        <v>#N/A</v>
      </c>
      <c r="BE70" s="112">
        <v>0.7903055008471898</v>
      </c>
      <c r="BF70" s="112" t="str">
        <f>ifs(BE70&lt;='Range Tables'!$G$95,'Range Tables'!$B$95,BE70&lt;='Range Tables'!$G$96,'Range Tables'!$B$96,BE70&lt;='Range Tables'!$G$97,'Range Tables'!$B$97,BE70&lt;='Range Tables'!$G$98,'Range Tables'!$B$98,BE70&lt;='Range Tables'!$G$99,'Range Tables'!$B$99,BE70&lt;='Range Tables'!$G$100,'Range Tables'!$B$100,BE70&lt;='Range Tables'!$G$101,'Range Tables'!$B$101,BE70&lt;='Range Tables'!$G$102,'Range Tables'!$B$102,BE70&lt;='Range Tables'!$G$103,'Range Tables'!$B$103)</f>
        <v>Other State Cities</v>
      </c>
      <c r="BG70" s="112">
        <v>0.030157522945630122</v>
      </c>
      <c r="BH70" s="113" t="str">
        <f>ifs(BG70&lt;='Range Tables'!$G$112,'Range Tables'!$B$112,BG70&lt;='Range Tables'!$G$113,'Range Tables'!$B$113,BG70&lt;='Range Tables'!$G$114,'Range Tables'!$B$114)</f>
        <v>0</v>
      </c>
      <c r="BI70" s="117">
        <v>0.9755381341010861</v>
      </c>
      <c r="BJ70" s="113" t="str">
        <f>ifs(BI70&lt;='Range Tables'!$G$118,'Range Tables'!$B$118,BI70&lt;='Range Tables'!$G$119,'Range Tables'!$B$119)</f>
        <v>Expired</v>
      </c>
    </row>
    <row r="71">
      <c r="A71" s="85">
        <v>68.0</v>
      </c>
      <c r="B71" s="112">
        <v>0.45170129038682993</v>
      </c>
      <c r="C71" s="113" t="str">
        <f>ifs(B71&lt;='Range Tables'!$G$54,'Range Tables'!$B$54,B71&lt;='Range Tables'!$G$55,'Range Tables'!$B$55,B71&lt;='Range Tables'!$G$56,'Range Tables'!$B$56,B71&lt;='Range Tables'!$G$57,'Range Tables'!$B$57,B71&lt;='Range Tables'!$G$58,'Range Tables'!$B$58,B71&lt;='Range Tables'!$G$59,'Range Tables'!$B$59,B71&lt;='Range Tables'!$G$60,'Range Tables'!$B$60,B71&lt;='Range Tables'!$G$61,'Range Tables'!$B$61,B71&lt;='Range Tables'!$G$63,'Range Tables'!$B$63,B71&lt;='Range Tables'!$G$64,'Range Tables'!$B$64,B71&lt;='Range Tables'!$G$66,'Range Tables'!$B$66)</f>
        <v>30 - 60 </v>
      </c>
      <c r="D71" s="113">
        <f>IFERROR(__xludf.DUMMYFUNCTION("SPLIT(C71,""-"")"),30.0)</f>
        <v>30</v>
      </c>
      <c r="E71" s="113">
        <f>IFERROR(__xludf.DUMMYFUNCTION("""COMPUTED_VALUE"""),60.0)</f>
        <v>60</v>
      </c>
      <c r="F71" s="114">
        <f t="shared" si="40"/>
        <v>43.55103871</v>
      </c>
      <c r="G71" s="112">
        <v>0.47933806953659597</v>
      </c>
      <c r="H71" s="113" t="str">
        <f>ifs(G71&lt;='Range Tables'!$G$86,'Range Tables'!$B$86,G71&lt;='Range Tables'!$G$87,'Range Tables'!$B$87,G71&lt;='Range Tables'!$G$88,'Range Tables'!$B$88,G71&lt;='Range Tables'!$G$89,'Range Tables'!$B$89,G71&lt;='Range Tables'!$G$90,'Range Tables'!$B$90,G71&lt;='Range Tables'!$G$91,'Range Tables'!$B$91)</f>
        <v>Bike</v>
      </c>
      <c r="I71" s="112">
        <v>0.4225355212251972</v>
      </c>
      <c r="J71" s="113" t="str">
        <f>IFS(
  H71="Car", IF(I71&lt;='Range Tables'!$G$19, 'Range Tables'!$B$19, 'Range Tables'!$B$20), 
  H71="Bike", IF(I71&lt;='Range Tables'!$G$25, 'Range Tables'!$B$25, 'Range Tables'!$B$26), 
  H71="Scooter", IF(I71&lt;='Range Tables'!$G$31, 'Range Tables'!$B$31, 'Range Tables'!$B$32), 
  H71="Auto", IF(I71&lt;='Range Tables'!$G$37, 'Range Tables'!$B$37, 'Range Tables'!$B$38), 
  H71="Carriers*", IF(I71&lt;='Range Tables'!$G$43, 'Range Tables'!$B$43, 'Range Tables'!$B$44), 
  H71="Van*", IF(I71&lt;='Range Tables'!$G$50, 'Range Tables'!$B$50, 'Range Tables'!$B$49)
)</f>
        <v>Petrol</v>
      </c>
      <c r="K71" s="112">
        <v>0.08311329868824624</v>
      </c>
      <c r="L71" s="113">
        <f>if(J71="Petrol",ifs(K71&lt;='Range Tables'!$G$5,'Range Tables'!$B$5,K71&lt;='Range Tables'!$G$6,'Range Tables'!$B$6,K71&lt;='Range Tables'!$G$7,'Range Tables'!$B$7),ifs(K71&lt;='Range Tables'!$G$13,'Range Tables'!$B$13,K71&lt;='Range Tables'!$G$14,'Range Tables'!$B$14))</f>
        <v>2</v>
      </c>
      <c r="M71" s="112">
        <v>0.7942079249811747</v>
      </c>
      <c r="N71" s="113" t="str">
        <f>ifs(H71="Car",ifs(M71&lt;='Range Tables'!$G$125,'Range Tables'!$B$125,M71&lt;='Range Tables'!$G$126,'Range Tables'!$B$126,M71&lt;='Range Tables'!$G$127,'Range Tables'!$B$127,M71&lt;='Range Tables'!$G$128,'Range Tables'!$B$128,M71&lt;='Range Tables'!$G$129,'Range Tables'!$B$129,'Range Tables'!$G$131,'Range Tables'!$B$131),H71="Bike",ifs(M71&lt;='Range Tables'!$G$136,'Range Tables'!$B$136,M71&lt;='Range Tables'!$G$137,'Range Tables'!$B$137,M71&lt;='Range Tables'!$G$138,'Range Tables'!$B$138,M71&lt;='Range Tables'!$G$142,'Range Tables'!$B$142),H71="Scooter",ifs(M71&lt;='Range Tables'!$G$148,'Range Tables'!$B$148,M71&lt;='Range Tables'!$G$149,'Range Tables'!$B$149,M71&lt;='Range Tables'!$G$150,'Range Tables'!$B$150,M71&lt;='Range Tables'!$G$151,'Range Tables'!$B$151),H71="Auto",ifs(M71&lt;='Range Tables'!$G$161,'Range Tables'!$B$161,M71&lt;='Range Tables'!$G$162,'Range Tables'!$B$162,M71&lt;='Range Tables'!$G$163,'Range Tables'!$B$163,M71&lt;='Range Tables'!$G$164,'Range Tables'!$B$164),H71="Carriers*",ifs(M71&lt;='Range Tables'!$G$173,'Range Tables'!$B$173,M71&lt;='Range Tables'!$G$174,'Range Tables'!$B$174,M71&lt;='Range Tables'!$G$175,'Range Tables'!$B$175,M71&lt;='Range Tables'!$G$176,'Range Tables'!$B$176,M71&lt;='Range Tables'!$G$177,'Range Tables'!$B$177,M71&lt;='Range Tables'!$G$179,'Range Tables'!$B$179),H71="Van*",ifs(M71&lt;='Range Tables'!$G$186,'Range Tables'!$B$186))</f>
        <v>120 - 180</v>
      </c>
      <c r="O71" s="113">
        <f>IFERROR(__xludf.DUMMYFUNCTION("SPLIT(N71,""-"")"),120.0)</f>
        <v>120</v>
      </c>
      <c r="P71" s="113">
        <f>IFERROR(__xludf.DUMMYFUNCTION("""COMPUTED_VALUE"""),180.0)</f>
        <v>180</v>
      </c>
      <c r="Q71" s="114">
        <f t="shared" si="2"/>
        <v>167.6524755</v>
      </c>
      <c r="R71" s="115">
        <f t="shared" si="3"/>
        <v>0.05749027859</v>
      </c>
      <c r="S71" s="114">
        <f t="shared" si="39"/>
        <v>4967.16007</v>
      </c>
      <c r="T71" s="113" t="str">
        <f t="shared" si="4"/>
        <v>no</v>
      </c>
      <c r="U71" s="115">
        <f t="shared" si="5"/>
        <v>0</v>
      </c>
      <c r="V71" s="113">
        <f t="shared" si="34"/>
        <v>0</v>
      </c>
      <c r="W71" s="115">
        <f t="shared" si="6"/>
        <v>0</v>
      </c>
      <c r="X71" s="85">
        <f t="shared" si="7"/>
        <v>0</v>
      </c>
      <c r="Y71" s="116">
        <f t="shared" si="8"/>
        <v>0</v>
      </c>
      <c r="Z71" s="113">
        <f t="shared" si="9"/>
        <v>0</v>
      </c>
      <c r="AA71" s="113" t="str">
        <f t="shared" si="10"/>
        <v>yes</v>
      </c>
      <c r="AB71" s="115">
        <f t="shared" si="11"/>
        <v>0.004886680384</v>
      </c>
      <c r="AC71" s="114">
        <f t="shared" si="35"/>
        <v>422.2091852</v>
      </c>
      <c r="AD71" s="116">
        <f t="shared" si="12"/>
        <v>0.06237695898</v>
      </c>
      <c r="AE71" s="114">
        <f t="shared" si="13"/>
        <v>5389.369256</v>
      </c>
      <c r="AF71" s="116">
        <f t="shared" si="14"/>
        <v>0.06431738115</v>
      </c>
      <c r="AG71" s="114">
        <f t="shared" si="15"/>
        <v>5557.021731</v>
      </c>
      <c r="AH71" s="113" t="str">
        <f t="shared" si="16"/>
        <v>no</v>
      </c>
      <c r="AI71" s="115">
        <f t="shared" si="17"/>
        <v>0</v>
      </c>
      <c r="AJ71" s="113">
        <f t="shared" si="36"/>
        <v>0</v>
      </c>
      <c r="AK71" s="116">
        <f t="shared" si="18"/>
        <v>0</v>
      </c>
      <c r="AL71" s="113">
        <f t="shared" si="19"/>
        <v>0</v>
      </c>
      <c r="AM71" s="115">
        <f t="shared" si="20"/>
        <v>0</v>
      </c>
      <c r="AN71" s="85">
        <f t="shared" si="21"/>
        <v>0</v>
      </c>
      <c r="AO71" s="113" t="str">
        <f t="shared" si="22"/>
        <v>no</v>
      </c>
      <c r="AP71" s="115">
        <f t="shared" si="23"/>
        <v>0</v>
      </c>
      <c r="AQ71" s="113">
        <f t="shared" si="37"/>
        <v>0</v>
      </c>
      <c r="AR71" s="116">
        <f t="shared" si="24"/>
        <v>0</v>
      </c>
      <c r="AS71" s="113">
        <f t="shared" si="25"/>
        <v>0</v>
      </c>
      <c r="AT71" s="116">
        <f t="shared" si="26"/>
        <v>0</v>
      </c>
      <c r="AU71" s="113">
        <f t="shared" si="27"/>
        <v>0</v>
      </c>
      <c r="AV71" s="113" t="str">
        <f t="shared" si="28"/>
        <v>no</v>
      </c>
      <c r="AW71" s="115">
        <f t="shared" si="29"/>
        <v>0</v>
      </c>
      <c r="AX71" s="85">
        <f t="shared" si="38"/>
        <v>0</v>
      </c>
      <c r="AY71" s="116">
        <f t="shared" si="30"/>
        <v>0</v>
      </c>
      <c r="AZ71" s="113">
        <f t="shared" si="31"/>
        <v>0</v>
      </c>
      <c r="BA71" s="116">
        <f t="shared" si="32"/>
        <v>0</v>
      </c>
      <c r="BB71" s="113">
        <f t="shared" si="33"/>
        <v>0</v>
      </c>
      <c r="BC71" s="112">
        <v>0.2861245506783988</v>
      </c>
      <c r="BD71" s="113" t="str">
        <f>ifs(BC71&lt;='Range Tables'!$G$81,'Range Tables'!$B$81,BC71&lt;='Range Tables'!$G$82,'Range Tables'!$B$82)</f>
        <v>Online*</v>
      </c>
      <c r="BE71" s="112">
        <v>0.09915514788661017</v>
      </c>
      <c r="BF71" s="112" t="str">
        <f>ifs(BE71&lt;='Range Tables'!$G$95,'Range Tables'!$B$95,BE71&lt;='Range Tables'!$G$96,'Range Tables'!$B$96,BE71&lt;='Range Tables'!$G$97,'Range Tables'!$B$97,BE71&lt;='Range Tables'!$G$98,'Range Tables'!$B$98,BE71&lt;='Range Tables'!$G$99,'Range Tables'!$B$99,BE71&lt;='Range Tables'!$G$100,'Range Tables'!$B$100,BE71&lt;='Range Tables'!$G$101,'Range Tables'!$B$101,BE71&lt;='Range Tables'!$G$102,'Range Tables'!$B$102,BE71&lt;='Range Tables'!$G$103,'Range Tables'!$B$103)</f>
        <v>Jammu</v>
      </c>
      <c r="BG71" s="112">
        <v>0.9830455617008262</v>
      </c>
      <c r="BH71" s="113" t="str">
        <f>ifs(BG71&lt;='Range Tables'!$G$112,'Range Tables'!$B$112,BG71&lt;='Range Tables'!$G$113,'Range Tables'!$B$113,BG71&lt;='Range Tables'!$G$114,'Range Tables'!$B$114)</f>
        <v>6+</v>
      </c>
      <c r="BI71" s="117">
        <v>0.39494642258474233</v>
      </c>
      <c r="BJ71" s="113" t="str">
        <f>ifs(BI71&lt;='Range Tables'!$G$118,'Range Tables'!$B$118,BI71&lt;='Range Tables'!$G$119,'Range Tables'!$B$119)</f>
        <v>Valid</v>
      </c>
    </row>
    <row r="72">
      <c r="A72" s="85">
        <v>69.0</v>
      </c>
      <c r="B72" s="112">
        <v>0.9583228996640297</v>
      </c>
      <c r="C72" s="113" t="str">
        <f>ifs(B72&lt;='Range Tables'!$G$54,'Range Tables'!$B$54,B72&lt;='Range Tables'!$G$55,'Range Tables'!$B$55,B72&lt;='Range Tables'!$G$56,'Range Tables'!$B$56,B72&lt;='Range Tables'!$G$57,'Range Tables'!$B$57,B72&lt;='Range Tables'!$G$58,'Range Tables'!$B$58,B72&lt;='Range Tables'!$G$59,'Range Tables'!$B$59,B72&lt;='Range Tables'!$G$60,'Range Tables'!$B$60,B72&lt;='Range Tables'!$G$61,'Range Tables'!$B$61,B72&lt;='Range Tables'!$G$63,'Range Tables'!$B$63,B72&lt;='Range Tables'!$G$64,'Range Tables'!$B$64,B72&lt;='Range Tables'!$G$66,'Range Tables'!$B$66)</f>
        <v>300 - 330</v>
      </c>
      <c r="D72" s="113">
        <f>IFERROR(__xludf.DUMMYFUNCTION("SPLIT(C72,""-"")"),300.0)</f>
        <v>300</v>
      </c>
      <c r="E72" s="113">
        <f>IFERROR(__xludf.DUMMYFUNCTION("""COMPUTED_VALUE"""),330.0)</f>
        <v>330</v>
      </c>
      <c r="F72" s="114">
        <f t="shared" si="40"/>
        <v>328.749687</v>
      </c>
      <c r="G72" s="112">
        <v>0.5274940294868776</v>
      </c>
      <c r="H72" s="113" t="str">
        <f>ifs(G72&lt;='Range Tables'!$G$86,'Range Tables'!$B$86,G72&lt;='Range Tables'!$G$87,'Range Tables'!$B$87,G72&lt;='Range Tables'!$G$88,'Range Tables'!$B$88,G72&lt;='Range Tables'!$G$89,'Range Tables'!$B$89,G72&lt;='Range Tables'!$G$90,'Range Tables'!$B$90,G72&lt;='Range Tables'!$G$91,'Range Tables'!$B$91)</f>
        <v>Bike</v>
      </c>
      <c r="I72" s="112">
        <v>0.9349346118586243</v>
      </c>
      <c r="J72" s="113" t="str">
        <f>IFS(
  H72="Car", IF(I72&lt;='Range Tables'!$G$19, 'Range Tables'!$B$19, 'Range Tables'!$B$20), 
  H72="Bike", IF(I72&lt;='Range Tables'!$G$25, 'Range Tables'!$B$25, 'Range Tables'!$B$26), 
  H72="Scooter", IF(I72&lt;='Range Tables'!$G$31, 'Range Tables'!$B$31, 'Range Tables'!$B$32), 
  H72="Auto", IF(I72&lt;='Range Tables'!$G$37, 'Range Tables'!$B$37, 'Range Tables'!$B$38), 
  H72="Carriers*", IF(I72&lt;='Range Tables'!$G$43, 'Range Tables'!$B$43, 'Range Tables'!$B$44), 
  H72="Van*", IF(I72&lt;='Range Tables'!$G$50, 'Range Tables'!$B$50, 'Range Tables'!$B$49)
)</f>
        <v>Petrol</v>
      </c>
      <c r="K72" s="112">
        <v>0.5845116689452737</v>
      </c>
      <c r="L72" s="113">
        <f>if(J72="Petrol",ifs(K72&lt;='Range Tables'!$G$5,'Range Tables'!$B$5,K72&lt;='Range Tables'!$G$6,'Range Tables'!$B$6,K72&lt;='Range Tables'!$G$7,'Range Tables'!$B$7),ifs(K72&lt;='Range Tables'!$G$13,'Range Tables'!$B$13,K72&lt;='Range Tables'!$G$14,'Range Tables'!$B$14))</f>
        <v>3</v>
      </c>
      <c r="M72" s="112">
        <v>0.2036757953078714</v>
      </c>
      <c r="N72" s="113" t="str">
        <f>ifs(H72="Car",ifs(M72&lt;='Range Tables'!$G$125,'Range Tables'!$B$125,M72&lt;='Range Tables'!$G$126,'Range Tables'!$B$126,M72&lt;='Range Tables'!$G$127,'Range Tables'!$B$127,M72&lt;='Range Tables'!$G$128,'Range Tables'!$B$128,M72&lt;='Range Tables'!$G$129,'Range Tables'!$B$129,'Range Tables'!$G$131,'Range Tables'!$B$131),H72="Bike",ifs(M72&lt;='Range Tables'!$G$136,'Range Tables'!$B$136,M72&lt;='Range Tables'!$G$137,'Range Tables'!$B$137,M72&lt;='Range Tables'!$G$138,'Range Tables'!$B$138,M72&lt;='Range Tables'!$G$142,'Range Tables'!$B$142),H72="Scooter",ifs(M72&lt;='Range Tables'!$G$148,'Range Tables'!$B$148,M72&lt;='Range Tables'!$G$149,'Range Tables'!$B$149,M72&lt;='Range Tables'!$G$150,'Range Tables'!$B$150,M72&lt;='Range Tables'!$G$151,'Range Tables'!$B$151),H72="Auto",ifs(M72&lt;='Range Tables'!$G$161,'Range Tables'!$B$161,M72&lt;='Range Tables'!$G$162,'Range Tables'!$B$162,M72&lt;='Range Tables'!$G$163,'Range Tables'!$B$163,M72&lt;='Range Tables'!$G$164,'Range Tables'!$B$164),H72="Carriers*",ifs(M72&lt;='Range Tables'!$G$173,'Range Tables'!$B$173,M72&lt;='Range Tables'!$G$174,'Range Tables'!$B$174,M72&lt;='Range Tables'!$G$175,'Range Tables'!$B$175,M72&lt;='Range Tables'!$G$176,'Range Tables'!$B$176,M72&lt;='Range Tables'!$G$177,'Range Tables'!$B$177,M72&lt;='Range Tables'!$G$179,'Range Tables'!$B$179),H72="Van*",ifs(M72&lt;='Range Tables'!$G$186,'Range Tables'!$B$186))</f>
        <v>60 - 120</v>
      </c>
      <c r="O72" s="113">
        <f>IFERROR(__xludf.DUMMYFUNCTION("SPLIT(N72,""-"")"),60.0)</f>
        <v>60</v>
      </c>
      <c r="P72" s="113">
        <f>IFERROR(__xludf.DUMMYFUNCTION("""COMPUTED_VALUE"""),120.0)</f>
        <v>120</v>
      </c>
      <c r="Q72" s="114">
        <f t="shared" si="2"/>
        <v>72.22054772</v>
      </c>
      <c r="R72" s="115">
        <f t="shared" si="3"/>
        <v>0.05799434154</v>
      </c>
      <c r="S72" s="114">
        <f t="shared" si="39"/>
        <v>5010.711109</v>
      </c>
      <c r="T72" s="113" t="str">
        <f t="shared" si="4"/>
        <v>no</v>
      </c>
      <c r="U72" s="115">
        <f t="shared" si="5"/>
        <v>0</v>
      </c>
      <c r="V72" s="113">
        <f t="shared" si="34"/>
        <v>0</v>
      </c>
      <c r="W72" s="115">
        <f t="shared" si="6"/>
        <v>0</v>
      </c>
      <c r="X72" s="85">
        <f t="shared" si="7"/>
        <v>0</v>
      </c>
      <c r="Y72" s="116">
        <f t="shared" si="8"/>
        <v>0</v>
      </c>
      <c r="Z72" s="113">
        <f t="shared" si="9"/>
        <v>0</v>
      </c>
      <c r="AA72" s="113" t="str">
        <f t="shared" si="10"/>
        <v>no</v>
      </c>
      <c r="AB72" s="115">
        <f t="shared" si="11"/>
        <v>0</v>
      </c>
      <c r="AC72" s="113">
        <f t="shared" si="35"/>
        <v>0</v>
      </c>
      <c r="AD72" s="116">
        <f t="shared" si="12"/>
        <v>0</v>
      </c>
      <c r="AE72" s="113">
        <f t="shared" si="13"/>
        <v>0</v>
      </c>
      <c r="AF72" s="116">
        <f t="shared" si="14"/>
        <v>0</v>
      </c>
      <c r="AG72" s="113">
        <f t="shared" si="15"/>
        <v>0</v>
      </c>
      <c r="AH72" s="113" t="str">
        <f t="shared" si="16"/>
        <v>yes</v>
      </c>
      <c r="AI72" s="115">
        <f t="shared" si="17"/>
        <v>0</v>
      </c>
      <c r="AJ72" s="113">
        <f t="shared" si="36"/>
        <v>0</v>
      </c>
      <c r="AK72" s="116">
        <f t="shared" si="18"/>
        <v>0.05799434154</v>
      </c>
      <c r="AL72" s="114">
        <f t="shared" si="19"/>
        <v>5010.711109</v>
      </c>
      <c r="AM72" s="115">
        <f t="shared" si="20"/>
        <v>0.05883022751</v>
      </c>
      <c r="AN72" s="118">
        <f t="shared" si="21"/>
        <v>5082.931657</v>
      </c>
      <c r="AO72" s="113" t="str">
        <f t="shared" si="22"/>
        <v>no</v>
      </c>
      <c r="AP72" s="115">
        <f t="shared" si="23"/>
        <v>0</v>
      </c>
      <c r="AQ72" s="113">
        <f t="shared" si="37"/>
        <v>0</v>
      </c>
      <c r="AR72" s="116">
        <f t="shared" si="24"/>
        <v>0</v>
      </c>
      <c r="AS72" s="113">
        <f t="shared" si="25"/>
        <v>0</v>
      </c>
      <c r="AT72" s="116">
        <f t="shared" si="26"/>
        <v>0</v>
      </c>
      <c r="AU72" s="113">
        <f t="shared" si="27"/>
        <v>0</v>
      </c>
      <c r="AV72" s="113" t="str">
        <f t="shared" si="28"/>
        <v>no</v>
      </c>
      <c r="AW72" s="115">
        <f t="shared" si="29"/>
        <v>0</v>
      </c>
      <c r="AX72" s="85">
        <f t="shared" si="38"/>
        <v>0</v>
      </c>
      <c r="AY72" s="116">
        <f t="shared" si="30"/>
        <v>0</v>
      </c>
      <c r="AZ72" s="113">
        <f t="shared" si="31"/>
        <v>0</v>
      </c>
      <c r="BA72" s="116">
        <f t="shared" si="32"/>
        <v>0</v>
      </c>
      <c r="BB72" s="113">
        <f t="shared" si="33"/>
        <v>0</v>
      </c>
      <c r="BC72" s="112">
        <v>0.09743341642991654</v>
      </c>
      <c r="BD72" s="113" t="str">
        <f>ifs(BC72&lt;='Range Tables'!$G$81,'Range Tables'!$B$81,BC72&lt;='Range Tables'!$G$82,'Range Tables'!$B$82)</f>
        <v>Online*</v>
      </c>
      <c r="BE72" s="112">
        <v>0.1352999703056823</v>
      </c>
      <c r="BF72" s="112" t="str">
        <f>ifs(BE72&lt;='Range Tables'!$G$95,'Range Tables'!$B$95,BE72&lt;='Range Tables'!$G$96,'Range Tables'!$B$96,BE72&lt;='Range Tables'!$G$97,'Range Tables'!$B$97,BE72&lt;='Range Tables'!$G$98,'Range Tables'!$B$98,BE72&lt;='Range Tables'!$G$99,'Range Tables'!$B$99,BE72&lt;='Range Tables'!$G$100,'Range Tables'!$B$100,BE72&lt;='Range Tables'!$G$101,'Range Tables'!$B$101,BE72&lt;='Range Tables'!$G$102,'Range Tables'!$B$102,BE72&lt;='Range Tables'!$G$103,'Range Tables'!$B$103)</f>
        <v>Jammu</v>
      </c>
      <c r="BG72" s="112">
        <v>0.6001553349469091</v>
      </c>
      <c r="BH72" s="113" t="str">
        <f>ifs(BG72&lt;='Range Tables'!$G$112,'Range Tables'!$B$112,BG72&lt;='Range Tables'!$G$113,'Range Tables'!$B$113,BG72&lt;='Range Tables'!$G$114,'Range Tables'!$B$114)</f>
        <v>0</v>
      </c>
      <c r="BI72" s="117">
        <v>0.1905874943991024</v>
      </c>
      <c r="BJ72" s="113" t="str">
        <f>ifs(BI72&lt;='Range Tables'!$G$118,'Range Tables'!$B$118,BI72&lt;='Range Tables'!$G$119,'Range Tables'!$B$119)</f>
        <v>Valid</v>
      </c>
    </row>
    <row r="73">
      <c r="A73" s="85">
        <v>70.0</v>
      </c>
      <c r="B73" s="112">
        <v>0.8834302966990055</v>
      </c>
      <c r="C73" s="113" t="str">
        <f>ifs(B73&lt;='Range Tables'!$G$54,'Range Tables'!$B$54,B73&lt;='Range Tables'!$G$55,'Range Tables'!$B$55,B73&lt;='Range Tables'!$G$56,'Range Tables'!$B$56,B73&lt;='Range Tables'!$G$57,'Range Tables'!$B$57,B73&lt;='Range Tables'!$G$58,'Range Tables'!$B$58,B73&lt;='Range Tables'!$G$59,'Range Tables'!$B$59,B73&lt;='Range Tables'!$G$60,'Range Tables'!$B$60,B73&lt;='Range Tables'!$G$61,'Range Tables'!$B$61,B73&lt;='Range Tables'!$G$63,'Range Tables'!$B$63,B73&lt;='Range Tables'!$G$64,'Range Tables'!$B$64,B73&lt;='Range Tables'!$G$66,'Range Tables'!$B$66)</f>
        <v>180 - 210</v>
      </c>
      <c r="D73" s="113">
        <f>IFERROR(__xludf.DUMMYFUNCTION("SPLIT(C73,""-"")"),180.0)</f>
        <v>180</v>
      </c>
      <c r="E73" s="113">
        <f>IFERROR(__xludf.DUMMYFUNCTION("""COMPUTED_VALUE"""),210.0)</f>
        <v>210</v>
      </c>
      <c r="F73" s="114">
        <f t="shared" si="40"/>
        <v>206.5029089</v>
      </c>
      <c r="G73" s="112">
        <v>0.6669982231077183</v>
      </c>
      <c r="H73" s="113" t="str">
        <f>ifs(G73&lt;='Range Tables'!$G$86,'Range Tables'!$B$86,G73&lt;='Range Tables'!$G$87,'Range Tables'!$B$87,G73&lt;='Range Tables'!$G$88,'Range Tables'!$B$88,G73&lt;='Range Tables'!$G$89,'Range Tables'!$B$89,G73&lt;='Range Tables'!$G$90,'Range Tables'!$B$90,G73&lt;='Range Tables'!$G$91,'Range Tables'!$B$91)</f>
        <v>Bike</v>
      </c>
      <c r="I73" s="112">
        <v>0.9654673199156089</v>
      </c>
      <c r="J73" s="113" t="str">
        <f>IFS(
  H73="Car", IF(I73&lt;='Range Tables'!$G$19, 'Range Tables'!$B$19, 'Range Tables'!$B$20), 
  H73="Bike", IF(I73&lt;='Range Tables'!$G$25, 'Range Tables'!$B$25, 'Range Tables'!$B$26), 
  H73="Scooter", IF(I73&lt;='Range Tables'!$G$31, 'Range Tables'!$B$31, 'Range Tables'!$B$32), 
  H73="Auto", IF(I73&lt;='Range Tables'!$G$37, 'Range Tables'!$B$37, 'Range Tables'!$B$38), 
  H73="Carriers*", IF(I73&lt;='Range Tables'!$G$43, 'Range Tables'!$B$43, 'Range Tables'!$B$44), 
  H73="Van*", IF(I73&lt;='Range Tables'!$G$50, 'Range Tables'!$B$50, 'Range Tables'!$B$49)
)</f>
        <v>Petrol</v>
      </c>
      <c r="K73" s="112">
        <v>0.14160581128733796</v>
      </c>
      <c r="L73" s="113">
        <f>if(J73="Petrol",ifs(K73&lt;='Range Tables'!$G$5,'Range Tables'!$B$5,K73&lt;='Range Tables'!$G$6,'Range Tables'!$B$6,K73&lt;='Range Tables'!$G$7,'Range Tables'!$B$7),ifs(K73&lt;='Range Tables'!$G$13,'Range Tables'!$B$13,K73&lt;='Range Tables'!$G$14,'Range Tables'!$B$14))</f>
        <v>2</v>
      </c>
      <c r="M73" s="112">
        <v>0.971049275645958</v>
      </c>
      <c r="N73" s="113" t="str">
        <f>ifs(H73="Car",ifs(M73&lt;='Range Tables'!$G$125,'Range Tables'!$B$125,M73&lt;='Range Tables'!$G$126,'Range Tables'!$B$126,M73&lt;='Range Tables'!$G$127,'Range Tables'!$B$127,M73&lt;='Range Tables'!$G$128,'Range Tables'!$B$128,M73&lt;='Range Tables'!$G$129,'Range Tables'!$B$129,'Range Tables'!$G$131,'Range Tables'!$B$131),H73="Bike",ifs(M73&lt;='Range Tables'!$G$136,'Range Tables'!$B$136,M73&lt;='Range Tables'!$G$137,'Range Tables'!$B$137,M73&lt;='Range Tables'!$G$138,'Range Tables'!$B$138,M73&lt;='Range Tables'!$G$142,'Range Tables'!$B$142),H73="Scooter",ifs(M73&lt;='Range Tables'!$G$148,'Range Tables'!$B$148,M73&lt;='Range Tables'!$G$149,'Range Tables'!$B$149,M73&lt;='Range Tables'!$G$150,'Range Tables'!$B$150,M73&lt;='Range Tables'!$G$151,'Range Tables'!$B$151),H73="Auto",ifs(M73&lt;='Range Tables'!$G$161,'Range Tables'!$B$161,M73&lt;='Range Tables'!$G$162,'Range Tables'!$B$162,M73&lt;='Range Tables'!$G$163,'Range Tables'!$B$163,M73&lt;='Range Tables'!$G$164,'Range Tables'!$B$164),H73="Carriers*",ifs(M73&lt;='Range Tables'!$G$173,'Range Tables'!$B$173,M73&lt;='Range Tables'!$G$174,'Range Tables'!$B$174,M73&lt;='Range Tables'!$G$175,'Range Tables'!$B$175,M73&lt;='Range Tables'!$G$176,'Range Tables'!$B$176,M73&lt;='Range Tables'!$G$177,'Range Tables'!$B$177,M73&lt;='Range Tables'!$G$179,'Range Tables'!$B$179),H73="Van*",ifs(M73&lt;='Range Tables'!$G$186,'Range Tables'!$B$186))</f>
        <v>360 - 420</v>
      </c>
      <c r="O73" s="113">
        <f>IFERROR(__xludf.DUMMYFUNCTION("SPLIT(N73,""-"")"),360.0)</f>
        <v>360</v>
      </c>
      <c r="P73" s="113">
        <f>IFERROR(__xludf.DUMMYFUNCTION("""COMPUTED_VALUE"""),420.0)</f>
        <v>420</v>
      </c>
      <c r="Q73" s="114">
        <f t="shared" si="2"/>
        <v>418.2629565</v>
      </c>
      <c r="R73" s="115">
        <f t="shared" si="3"/>
        <v>0.06179931477</v>
      </c>
      <c r="S73" s="114">
        <f t="shared" si="39"/>
        <v>5339.460796</v>
      </c>
      <c r="T73" s="113" t="str">
        <f t="shared" si="4"/>
        <v>no</v>
      </c>
      <c r="U73" s="115">
        <f t="shared" si="5"/>
        <v>0</v>
      </c>
      <c r="V73" s="113">
        <f t="shared" si="34"/>
        <v>0</v>
      </c>
      <c r="W73" s="115">
        <f t="shared" si="6"/>
        <v>0</v>
      </c>
      <c r="X73" s="85">
        <f t="shared" si="7"/>
        <v>0</v>
      </c>
      <c r="Y73" s="116">
        <f t="shared" si="8"/>
        <v>0</v>
      </c>
      <c r="Z73" s="113">
        <f t="shared" si="9"/>
        <v>0</v>
      </c>
      <c r="AA73" s="113" t="str">
        <f t="shared" si="10"/>
        <v>yes</v>
      </c>
      <c r="AB73" s="115">
        <f t="shared" si="11"/>
        <v>0</v>
      </c>
      <c r="AC73" s="113">
        <f t="shared" si="35"/>
        <v>0</v>
      </c>
      <c r="AD73" s="116">
        <f t="shared" si="12"/>
        <v>0.06179931477</v>
      </c>
      <c r="AE73" s="114">
        <f t="shared" si="13"/>
        <v>5339.460796</v>
      </c>
      <c r="AF73" s="116">
        <f t="shared" si="14"/>
        <v>0.06664032121</v>
      </c>
      <c r="AG73" s="114">
        <f t="shared" si="15"/>
        <v>5757.723753</v>
      </c>
      <c r="AH73" s="113" t="str">
        <f t="shared" si="16"/>
        <v>no</v>
      </c>
      <c r="AI73" s="115">
        <f t="shared" si="17"/>
        <v>0</v>
      </c>
      <c r="AJ73" s="113">
        <f t="shared" si="36"/>
        <v>0</v>
      </c>
      <c r="AK73" s="116">
        <f t="shared" si="18"/>
        <v>0</v>
      </c>
      <c r="AL73" s="113">
        <f t="shared" si="19"/>
        <v>0</v>
      </c>
      <c r="AM73" s="115">
        <f t="shared" si="20"/>
        <v>0</v>
      </c>
      <c r="AN73" s="85">
        <f t="shared" si="21"/>
        <v>0</v>
      </c>
      <c r="AO73" s="113" t="str">
        <f t="shared" si="22"/>
        <v>no</v>
      </c>
      <c r="AP73" s="115">
        <f t="shared" si="23"/>
        <v>0</v>
      </c>
      <c r="AQ73" s="113">
        <f t="shared" si="37"/>
        <v>0</v>
      </c>
      <c r="AR73" s="116">
        <f t="shared" si="24"/>
        <v>0</v>
      </c>
      <c r="AS73" s="113">
        <f t="shared" si="25"/>
        <v>0</v>
      </c>
      <c r="AT73" s="116">
        <f t="shared" si="26"/>
        <v>0</v>
      </c>
      <c r="AU73" s="113">
        <f t="shared" si="27"/>
        <v>0</v>
      </c>
      <c r="AV73" s="113" t="str">
        <f t="shared" si="28"/>
        <v>no</v>
      </c>
      <c r="AW73" s="115">
        <f t="shared" si="29"/>
        <v>0</v>
      </c>
      <c r="AX73" s="85">
        <f t="shared" si="38"/>
        <v>0</v>
      </c>
      <c r="AY73" s="116">
        <f t="shared" si="30"/>
        <v>0</v>
      </c>
      <c r="AZ73" s="113">
        <f t="shared" si="31"/>
        <v>0</v>
      </c>
      <c r="BA73" s="116">
        <f t="shared" si="32"/>
        <v>0</v>
      </c>
      <c r="BB73" s="113">
        <f t="shared" si="33"/>
        <v>0</v>
      </c>
      <c r="BC73" s="112">
        <v>0.2514612005718657</v>
      </c>
      <c r="BD73" s="113" t="str">
        <f>ifs(BC73&lt;='Range Tables'!$G$81,'Range Tables'!$B$81,BC73&lt;='Range Tables'!$G$82,'Range Tables'!$B$82)</f>
        <v>Online*</v>
      </c>
      <c r="BE73" s="112">
        <v>0.6418975004294363</v>
      </c>
      <c r="BF73" s="112" t="str">
        <f>ifs(BE73&lt;='Range Tables'!$G$95,'Range Tables'!$B$95,BE73&lt;='Range Tables'!$G$96,'Range Tables'!$B$96,BE73&lt;='Range Tables'!$G$97,'Range Tables'!$B$97,BE73&lt;='Range Tables'!$G$98,'Range Tables'!$B$98,BE73&lt;='Range Tables'!$G$99,'Range Tables'!$B$99,BE73&lt;='Range Tables'!$G$100,'Range Tables'!$B$100,BE73&lt;='Range Tables'!$G$101,'Range Tables'!$B$101,BE73&lt;='Range Tables'!$G$102,'Range Tables'!$B$102,BE73&lt;='Range Tables'!$G$103,'Range Tables'!$B$103)</f>
        <v>Jammu</v>
      </c>
      <c r="BG73" s="112">
        <v>0.40486740948341193</v>
      </c>
      <c r="BH73" s="113" t="str">
        <f>ifs(BG73&lt;='Range Tables'!$G$112,'Range Tables'!$B$112,BG73&lt;='Range Tables'!$G$113,'Range Tables'!$B$113,BG73&lt;='Range Tables'!$G$114,'Range Tables'!$B$114)</f>
        <v>0</v>
      </c>
      <c r="BI73" s="117">
        <v>0.5275854070210849</v>
      </c>
      <c r="BJ73" s="113" t="str">
        <f>ifs(BI73&lt;='Range Tables'!$G$118,'Range Tables'!$B$118,BI73&lt;='Range Tables'!$G$119,'Range Tables'!$B$119)</f>
        <v>Valid</v>
      </c>
    </row>
    <row r="74">
      <c r="A74" s="85">
        <v>71.0</v>
      </c>
      <c r="B74" s="112">
        <v>0.4372349368865125</v>
      </c>
      <c r="C74" s="113" t="str">
        <f>ifs(B74&lt;='Range Tables'!$G$54,'Range Tables'!$B$54,B74&lt;='Range Tables'!$G$55,'Range Tables'!$B$55,B74&lt;='Range Tables'!$G$56,'Range Tables'!$B$56,B74&lt;='Range Tables'!$G$57,'Range Tables'!$B$57,B74&lt;='Range Tables'!$G$58,'Range Tables'!$B$58,B74&lt;='Range Tables'!$G$59,'Range Tables'!$B$59,B74&lt;='Range Tables'!$G$60,'Range Tables'!$B$60,B74&lt;='Range Tables'!$G$61,'Range Tables'!$B$61,B74&lt;='Range Tables'!$G$63,'Range Tables'!$B$63,B74&lt;='Range Tables'!$G$64,'Range Tables'!$B$64,B74&lt;='Range Tables'!$G$66,'Range Tables'!$B$66)</f>
        <v>30 - 60 </v>
      </c>
      <c r="D74" s="113">
        <f>IFERROR(__xludf.DUMMYFUNCTION("SPLIT(C74,""-"")"),30.0)</f>
        <v>30</v>
      </c>
      <c r="E74" s="113">
        <f>IFERROR(__xludf.DUMMYFUNCTION("""COMPUTED_VALUE"""),60.0)</f>
        <v>60</v>
      </c>
      <c r="F74" s="114">
        <f t="shared" si="40"/>
        <v>43.11704811</v>
      </c>
      <c r="G74" s="112">
        <v>0.8699173659628646</v>
      </c>
      <c r="H74" s="113" t="str">
        <f>ifs(G74&lt;='Range Tables'!$G$86,'Range Tables'!$B$86,G74&lt;='Range Tables'!$G$87,'Range Tables'!$B$87,G74&lt;='Range Tables'!$G$88,'Range Tables'!$B$88,G74&lt;='Range Tables'!$G$89,'Range Tables'!$B$89,G74&lt;='Range Tables'!$G$90,'Range Tables'!$B$90,G74&lt;='Range Tables'!$G$91,'Range Tables'!$B$91)</f>
        <v>Auto</v>
      </c>
      <c r="I74" s="112">
        <v>0.16302169825603008</v>
      </c>
      <c r="J74" s="113" t="str">
        <f>IFS(
  H74="Car", IF(I74&lt;='Range Tables'!$G$19, 'Range Tables'!$B$19, 'Range Tables'!$B$20), 
  H74="Bike", IF(I74&lt;='Range Tables'!$G$25, 'Range Tables'!$B$25, 'Range Tables'!$B$26), 
  H74="Scooter", IF(I74&lt;='Range Tables'!$G$31, 'Range Tables'!$B$31, 'Range Tables'!$B$32), 
  H74="Auto", IF(I74&lt;='Range Tables'!$G$37, 'Range Tables'!$B$37, 'Range Tables'!$B$38), 
  H74="Carriers*", IF(I74&lt;='Range Tables'!$G$43, 'Range Tables'!$B$43, 'Range Tables'!$B$44), 
  H74="Van*", IF(I74&lt;='Range Tables'!$G$50, 'Range Tables'!$B$50, 'Range Tables'!$B$49)
)</f>
        <v>Petrol</v>
      </c>
      <c r="K74" s="112">
        <v>0.7359088030462239</v>
      </c>
      <c r="L74" s="113">
        <f>if(J74="Petrol",ifs(K74&lt;='Range Tables'!$G$5,'Range Tables'!$B$5,K74&lt;='Range Tables'!$G$6,'Range Tables'!$B$6,K74&lt;='Range Tables'!$G$7,'Range Tables'!$B$7),ifs(K74&lt;='Range Tables'!$G$13,'Range Tables'!$B$13,K74&lt;='Range Tables'!$G$14,'Range Tables'!$B$14))</f>
        <v>3</v>
      </c>
      <c r="M74" s="112">
        <v>0.40528649180332643</v>
      </c>
      <c r="N74" s="113" t="str">
        <f>ifs(H74="Car",ifs(M74&lt;='Range Tables'!$G$125,'Range Tables'!$B$125,M74&lt;='Range Tables'!$G$126,'Range Tables'!$B$126,M74&lt;='Range Tables'!$G$127,'Range Tables'!$B$127,M74&lt;='Range Tables'!$G$128,'Range Tables'!$B$128,M74&lt;='Range Tables'!$G$129,'Range Tables'!$B$129,'Range Tables'!$G$131,'Range Tables'!$B$131),H74="Bike",ifs(M74&lt;='Range Tables'!$G$136,'Range Tables'!$B$136,M74&lt;='Range Tables'!$G$137,'Range Tables'!$B$137,M74&lt;='Range Tables'!$G$138,'Range Tables'!$B$138,M74&lt;='Range Tables'!$G$142,'Range Tables'!$B$142),H74="Scooter",ifs(M74&lt;='Range Tables'!$G$148,'Range Tables'!$B$148,M74&lt;='Range Tables'!$G$149,'Range Tables'!$B$149,M74&lt;='Range Tables'!$G$150,'Range Tables'!$B$150,M74&lt;='Range Tables'!$G$151,'Range Tables'!$B$151),H74="Auto",ifs(M74&lt;='Range Tables'!$G$161,'Range Tables'!$B$161,M74&lt;='Range Tables'!$G$162,'Range Tables'!$B$162,M74&lt;='Range Tables'!$G$163,'Range Tables'!$B$163,M74&lt;='Range Tables'!$G$164,'Range Tables'!$B$164),H74="Carriers*",ifs(M74&lt;='Range Tables'!$G$173,'Range Tables'!$B$173,M74&lt;='Range Tables'!$G$174,'Range Tables'!$B$174,M74&lt;='Range Tables'!$G$175,'Range Tables'!$B$175,M74&lt;='Range Tables'!$G$176,'Range Tables'!$B$176,M74&lt;='Range Tables'!$G$177,'Range Tables'!$B$177,M74&lt;='Range Tables'!$G$179,'Range Tables'!$B$179),H74="Van*",ifs(M74&lt;='Range Tables'!$G$186,'Range Tables'!$B$186))</f>
        <v>60 - 120</v>
      </c>
      <c r="O74" s="113">
        <f>IFERROR(__xludf.DUMMYFUNCTION("SPLIT(N74,""-"")"),60.0)</f>
        <v>60</v>
      </c>
      <c r="P74" s="113">
        <f>IFERROR(__xludf.DUMMYFUNCTION("""COMPUTED_VALUE"""),120.0)</f>
        <v>120</v>
      </c>
      <c r="Q74" s="114">
        <f t="shared" si="2"/>
        <v>84.31718951</v>
      </c>
      <c r="R74" s="115">
        <f t="shared" si="3"/>
        <v>0.06418939473</v>
      </c>
      <c r="S74" s="114">
        <f t="shared" si="39"/>
        <v>5545.963705</v>
      </c>
      <c r="T74" s="113" t="str">
        <f t="shared" si="4"/>
        <v>no</v>
      </c>
      <c r="U74" s="115">
        <f t="shared" si="5"/>
        <v>0</v>
      </c>
      <c r="V74" s="113">
        <f t="shared" si="34"/>
        <v>0</v>
      </c>
      <c r="W74" s="115">
        <f t="shared" si="6"/>
        <v>0</v>
      </c>
      <c r="X74" s="85">
        <f t="shared" si="7"/>
        <v>0</v>
      </c>
      <c r="Y74" s="116">
        <f t="shared" si="8"/>
        <v>0</v>
      </c>
      <c r="Z74" s="113">
        <f t="shared" si="9"/>
        <v>0</v>
      </c>
      <c r="AA74" s="113" t="str">
        <f t="shared" si="10"/>
        <v>no</v>
      </c>
      <c r="AB74" s="115">
        <f t="shared" si="11"/>
        <v>0</v>
      </c>
      <c r="AC74" s="113">
        <f t="shared" si="35"/>
        <v>0</v>
      </c>
      <c r="AD74" s="116">
        <f t="shared" si="12"/>
        <v>0</v>
      </c>
      <c r="AE74" s="113">
        <f t="shared" si="13"/>
        <v>0</v>
      </c>
      <c r="AF74" s="116">
        <f t="shared" si="14"/>
        <v>0</v>
      </c>
      <c r="AG74" s="113">
        <f t="shared" si="15"/>
        <v>0</v>
      </c>
      <c r="AH74" s="113" t="str">
        <f t="shared" si="16"/>
        <v>yes</v>
      </c>
      <c r="AI74" s="115">
        <f t="shared" si="17"/>
        <v>0</v>
      </c>
      <c r="AJ74" s="113">
        <f t="shared" si="36"/>
        <v>0</v>
      </c>
      <c r="AK74" s="116">
        <f t="shared" si="18"/>
        <v>0.06418939473</v>
      </c>
      <c r="AL74" s="114">
        <f t="shared" si="19"/>
        <v>5545.963705</v>
      </c>
      <c r="AM74" s="115">
        <f t="shared" si="20"/>
        <v>0.06516528813</v>
      </c>
      <c r="AN74" s="118">
        <f t="shared" si="21"/>
        <v>5630.280895</v>
      </c>
      <c r="AO74" s="113" t="str">
        <f t="shared" si="22"/>
        <v>no</v>
      </c>
      <c r="AP74" s="115">
        <f t="shared" si="23"/>
        <v>0</v>
      </c>
      <c r="AQ74" s="113">
        <f t="shared" si="37"/>
        <v>0</v>
      </c>
      <c r="AR74" s="116">
        <f t="shared" si="24"/>
        <v>0</v>
      </c>
      <c r="AS74" s="113">
        <f t="shared" si="25"/>
        <v>0</v>
      </c>
      <c r="AT74" s="116">
        <f t="shared" si="26"/>
        <v>0</v>
      </c>
      <c r="AU74" s="113">
        <f t="shared" si="27"/>
        <v>0</v>
      </c>
      <c r="AV74" s="113" t="str">
        <f t="shared" si="28"/>
        <v>no</v>
      </c>
      <c r="AW74" s="115">
        <f t="shared" si="29"/>
        <v>0</v>
      </c>
      <c r="AX74" s="85">
        <f t="shared" si="38"/>
        <v>0</v>
      </c>
      <c r="AY74" s="116">
        <f t="shared" si="30"/>
        <v>0</v>
      </c>
      <c r="AZ74" s="113">
        <f t="shared" si="31"/>
        <v>0</v>
      </c>
      <c r="BA74" s="116">
        <f t="shared" si="32"/>
        <v>0</v>
      </c>
      <c r="BB74" s="113">
        <f t="shared" si="33"/>
        <v>0</v>
      </c>
      <c r="BC74" s="112">
        <v>0.7306507618420857</v>
      </c>
      <c r="BD74" s="113" t="str">
        <f>ifs(BC74&lt;='Range Tables'!$G$81,'Range Tables'!$B$81,BC74&lt;='Range Tables'!$G$82,'Range Tables'!$B$82)</f>
        <v>Offline*</v>
      </c>
      <c r="BE74" s="112">
        <v>0.9010769192893121</v>
      </c>
      <c r="BF74" s="112" t="str">
        <f>ifs(BE74&lt;='Range Tables'!$G$95,'Range Tables'!$B$95,BE74&lt;='Range Tables'!$G$96,'Range Tables'!$B$96,BE74&lt;='Range Tables'!$G$97,'Range Tables'!$B$97,BE74&lt;='Range Tables'!$G$98,'Range Tables'!$B$98,BE74&lt;='Range Tables'!$G$99,'Range Tables'!$B$99,BE74&lt;='Range Tables'!$G$100,'Range Tables'!$B$100,BE74&lt;='Range Tables'!$G$101,'Range Tables'!$B$101,BE74&lt;='Range Tables'!$G$102,'Range Tables'!$B$102,BE74&lt;='Range Tables'!$G$103,'Range Tables'!$B$103)</f>
        <v>Resai</v>
      </c>
      <c r="BG74" s="112">
        <v>0.1340625224992701</v>
      </c>
      <c r="BH74" s="113" t="str">
        <f>ifs(BG74&lt;='Range Tables'!$G$112,'Range Tables'!$B$112,BG74&lt;='Range Tables'!$G$113,'Range Tables'!$B$113,BG74&lt;='Range Tables'!$G$114,'Range Tables'!$B$114)</f>
        <v>0</v>
      </c>
      <c r="BI74" s="117">
        <v>0.6343235644419412</v>
      </c>
      <c r="BJ74" s="113" t="str">
        <f>ifs(BI74&lt;='Range Tables'!$G$118,'Range Tables'!$B$118,BI74&lt;='Range Tables'!$G$119,'Range Tables'!$B$119)</f>
        <v>Expired</v>
      </c>
    </row>
    <row r="75">
      <c r="A75" s="85">
        <v>72.0</v>
      </c>
      <c r="B75" s="112">
        <v>0.009718596692883885</v>
      </c>
      <c r="C75" s="113" t="str">
        <f>ifs(B75&lt;='Range Tables'!$G$54,'Range Tables'!$B$54,B75&lt;='Range Tables'!$G$55,'Range Tables'!$B$55,B75&lt;='Range Tables'!$G$56,'Range Tables'!$B$56,B75&lt;='Range Tables'!$G$57,'Range Tables'!$B$57,B75&lt;='Range Tables'!$G$58,'Range Tables'!$B$58,B75&lt;='Range Tables'!$G$59,'Range Tables'!$B$59,B75&lt;='Range Tables'!$G$60,'Range Tables'!$B$60,B75&lt;='Range Tables'!$G$61,'Range Tables'!$B$61,B75&lt;='Range Tables'!$G$63,'Range Tables'!$B$63,B75&lt;='Range Tables'!$G$64,'Range Tables'!$B$64,B75&lt;='Range Tables'!$G$66,'Range Tables'!$B$66)</f>
        <v>0 - 30</v>
      </c>
      <c r="D75" s="113">
        <f>IFERROR(__xludf.DUMMYFUNCTION("SPLIT(C75,""-"")"),0.0)</f>
        <v>0</v>
      </c>
      <c r="E75" s="113">
        <f>IFERROR(__xludf.DUMMYFUNCTION("""COMPUTED_VALUE"""),30.0)</f>
        <v>30</v>
      </c>
      <c r="F75" s="114">
        <f t="shared" si="40"/>
        <v>0.2915579008</v>
      </c>
      <c r="G75" s="112">
        <v>0.6307609608659462</v>
      </c>
      <c r="H75" s="113" t="str">
        <f>ifs(G75&lt;='Range Tables'!$G$86,'Range Tables'!$B$86,G75&lt;='Range Tables'!$G$87,'Range Tables'!$B$87,G75&lt;='Range Tables'!$G$88,'Range Tables'!$B$88,G75&lt;='Range Tables'!$G$89,'Range Tables'!$B$89,G75&lt;='Range Tables'!$G$90,'Range Tables'!$B$90,G75&lt;='Range Tables'!$G$91,'Range Tables'!$B$91)</f>
        <v>Bike</v>
      </c>
      <c r="I75" s="112">
        <v>0.3280321504470781</v>
      </c>
      <c r="J75" s="113" t="str">
        <f>IFS(
  H75="Car", IF(I75&lt;='Range Tables'!$G$19, 'Range Tables'!$B$19, 'Range Tables'!$B$20), 
  H75="Bike", IF(I75&lt;='Range Tables'!$G$25, 'Range Tables'!$B$25, 'Range Tables'!$B$26), 
  H75="Scooter", IF(I75&lt;='Range Tables'!$G$31, 'Range Tables'!$B$31, 'Range Tables'!$B$32), 
  H75="Auto", IF(I75&lt;='Range Tables'!$G$37, 'Range Tables'!$B$37, 'Range Tables'!$B$38), 
  H75="Carriers*", IF(I75&lt;='Range Tables'!$G$43, 'Range Tables'!$B$43, 'Range Tables'!$B$44), 
  H75="Van*", IF(I75&lt;='Range Tables'!$G$50, 'Range Tables'!$B$50, 'Range Tables'!$B$49)
)</f>
        <v>Petrol</v>
      </c>
      <c r="K75" s="112">
        <v>0.9160077280752192</v>
      </c>
      <c r="L75" s="113">
        <f>if(J75="Petrol",ifs(K75&lt;='Range Tables'!$G$5,'Range Tables'!$B$5,K75&lt;='Range Tables'!$G$6,'Range Tables'!$B$6,K75&lt;='Range Tables'!$G$7,'Range Tables'!$B$7),ifs(K75&lt;='Range Tables'!$G$13,'Range Tables'!$B$13,K75&lt;='Range Tables'!$G$14,'Range Tables'!$B$14))</f>
        <v>4</v>
      </c>
      <c r="M75" s="112">
        <v>0.3207565426119594</v>
      </c>
      <c r="N75" s="113" t="str">
        <f>ifs(H75="Car",ifs(M75&lt;='Range Tables'!$G$125,'Range Tables'!$B$125,M75&lt;='Range Tables'!$G$126,'Range Tables'!$B$126,M75&lt;='Range Tables'!$G$127,'Range Tables'!$B$127,M75&lt;='Range Tables'!$G$128,'Range Tables'!$B$128,M75&lt;='Range Tables'!$G$129,'Range Tables'!$B$129,'Range Tables'!$G$131,'Range Tables'!$B$131),H75="Bike",ifs(M75&lt;='Range Tables'!$G$136,'Range Tables'!$B$136,M75&lt;='Range Tables'!$G$137,'Range Tables'!$B$137,M75&lt;='Range Tables'!$G$138,'Range Tables'!$B$138,M75&lt;='Range Tables'!$G$142,'Range Tables'!$B$142),H75="Scooter",ifs(M75&lt;='Range Tables'!$G$148,'Range Tables'!$B$148,M75&lt;='Range Tables'!$G$149,'Range Tables'!$B$149,M75&lt;='Range Tables'!$G$150,'Range Tables'!$B$150,M75&lt;='Range Tables'!$G$151,'Range Tables'!$B$151),H75="Auto",ifs(M75&lt;='Range Tables'!$G$161,'Range Tables'!$B$161,M75&lt;='Range Tables'!$G$162,'Range Tables'!$B$162,M75&lt;='Range Tables'!$G$163,'Range Tables'!$B$163,M75&lt;='Range Tables'!$G$164,'Range Tables'!$B$164),H75="Carriers*",ifs(M75&lt;='Range Tables'!$G$173,'Range Tables'!$B$173,M75&lt;='Range Tables'!$G$174,'Range Tables'!$B$174,M75&lt;='Range Tables'!$G$175,'Range Tables'!$B$175,M75&lt;='Range Tables'!$G$176,'Range Tables'!$B$176,M75&lt;='Range Tables'!$G$177,'Range Tables'!$B$177,M75&lt;='Range Tables'!$G$179,'Range Tables'!$B$179),H75="Van*",ifs(M75&lt;='Range Tables'!$G$186,'Range Tables'!$B$186))</f>
        <v>60 - 120</v>
      </c>
      <c r="O75" s="113">
        <f>IFERROR(__xludf.DUMMYFUNCTION("SPLIT(N75,""-"")"),60.0)</f>
        <v>60</v>
      </c>
      <c r="P75" s="113">
        <f>IFERROR(__xludf.DUMMYFUNCTION("""COMPUTED_VALUE"""),120.0)</f>
        <v>120</v>
      </c>
      <c r="Q75" s="114">
        <f t="shared" si="2"/>
        <v>79.24539256</v>
      </c>
      <c r="R75" s="115">
        <f t="shared" si="3"/>
        <v>0.06468843464</v>
      </c>
      <c r="S75" s="114">
        <f t="shared" si="39"/>
        <v>5589.080753</v>
      </c>
      <c r="T75" s="113" t="str">
        <f t="shared" si="4"/>
        <v>no</v>
      </c>
      <c r="U75" s="115">
        <f t="shared" si="5"/>
        <v>0</v>
      </c>
      <c r="V75" s="113">
        <f t="shared" si="34"/>
        <v>0</v>
      </c>
      <c r="W75" s="115">
        <f t="shared" si="6"/>
        <v>0</v>
      </c>
      <c r="X75" s="85">
        <f t="shared" si="7"/>
        <v>0</v>
      </c>
      <c r="Y75" s="116">
        <f t="shared" si="8"/>
        <v>0</v>
      </c>
      <c r="Z75" s="113">
        <f t="shared" si="9"/>
        <v>0</v>
      </c>
      <c r="AA75" s="113" t="str">
        <f t="shared" si="10"/>
        <v>no</v>
      </c>
      <c r="AB75" s="115">
        <f t="shared" si="11"/>
        <v>0</v>
      </c>
      <c r="AC75" s="113">
        <f t="shared" si="35"/>
        <v>0</v>
      </c>
      <c r="AD75" s="116">
        <f t="shared" si="12"/>
        <v>0</v>
      </c>
      <c r="AE75" s="113">
        <f t="shared" si="13"/>
        <v>0</v>
      </c>
      <c r="AF75" s="116">
        <f t="shared" si="14"/>
        <v>0</v>
      </c>
      <c r="AG75" s="113">
        <f t="shared" si="15"/>
        <v>0</v>
      </c>
      <c r="AH75" s="113" t="str">
        <f t="shared" si="16"/>
        <v>no</v>
      </c>
      <c r="AI75" s="115">
        <f t="shared" si="17"/>
        <v>0</v>
      </c>
      <c r="AJ75" s="113">
        <f t="shared" si="36"/>
        <v>0</v>
      </c>
      <c r="AK75" s="116">
        <f t="shared" si="18"/>
        <v>0</v>
      </c>
      <c r="AL75" s="113">
        <f t="shared" si="19"/>
        <v>0</v>
      </c>
      <c r="AM75" s="115">
        <f t="shared" si="20"/>
        <v>0</v>
      </c>
      <c r="AN75" s="85">
        <f t="shared" si="21"/>
        <v>0</v>
      </c>
      <c r="AO75" s="113" t="str">
        <f t="shared" si="22"/>
        <v>yes</v>
      </c>
      <c r="AP75" s="115">
        <f t="shared" si="23"/>
        <v>0</v>
      </c>
      <c r="AQ75" s="113">
        <f t="shared" si="37"/>
        <v>0</v>
      </c>
      <c r="AR75" s="116">
        <f t="shared" si="24"/>
        <v>0.06468843464</v>
      </c>
      <c r="AS75" s="114">
        <f t="shared" si="25"/>
        <v>5589.080753</v>
      </c>
      <c r="AT75" s="116">
        <f t="shared" si="26"/>
        <v>0.06560562669</v>
      </c>
      <c r="AU75" s="114">
        <f t="shared" si="27"/>
        <v>5668.326146</v>
      </c>
      <c r="AV75" s="113" t="str">
        <f t="shared" si="28"/>
        <v>no</v>
      </c>
      <c r="AW75" s="115">
        <f t="shared" si="29"/>
        <v>0</v>
      </c>
      <c r="AX75" s="85">
        <f t="shared" si="38"/>
        <v>0</v>
      </c>
      <c r="AY75" s="116">
        <f t="shared" si="30"/>
        <v>0</v>
      </c>
      <c r="AZ75" s="113">
        <f t="shared" si="31"/>
        <v>0</v>
      </c>
      <c r="BA75" s="116">
        <f t="shared" si="32"/>
        <v>0</v>
      </c>
      <c r="BB75" s="113">
        <f t="shared" si="33"/>
        <v>0</v>
      </c>
      <c r="BC75" s="112">
        <v>0.5897257423855802</v>
      </c>
      <c r="BD75" s="113" t="str">
        <f>ifs(BC75&lt;='Range Tables'!$G$81,'Range Tables'!$B$81,BC75&lt;='Range Tables'!$G$82,'Range Tables'!$B$82)</f>
        <v>Offline*</v>
      </c>
      <c r="BE75" s="112">
        <v>0.6990975980530809</v>
      </c>
      <c r="BF75" s="112" t="str">
        <f>ifs(BE75&lt;='Range Tables'!$G$95,'Range Tables'!$B$95,BE75&lt;='Range Tables'!$G$96,'Range Tables'!$B$96,BE75&lt;='Range Tables'!$G$97,'Range Tables'!$B$97,BE75&lt;='Range Tables'!$G$98,'Range Tables'!$B$98,BE75&lt;='Range Tables'!$G$99,'Range Tables'!$B$99,BE75&lt;='Range Tables'!$G$100,'Range Tables'!$B$100,BE75&lt;='Range Tables'!$G$101,'Range Tables'!$B$101,BE75&lt;='Range Tables'!$G$102,'Range Tables'!$B$102,BE75&lt;='Range Tables'!$G$103,'Range Tables'!$B$103)</f>
        <v>Jammu</v>
      </c>
      <c r="BG75" s="112">
        <v>0.8523720155110135</v>
      </c>
      <c r="BH75" s="113" t="str">
        <f>ifs(BG75&lt;='Range Tables'!$G$112,'Range Tables'!$B$112,BG75&lt;='Range Tables'!$G$113,'Range Tables'!$B$113,BG75&lt;='Range Tables'!$G$114,'Range Tables'!$B$114)</f>
        <v>1-5</v>
      </c>
      <c r="BI75" s="117">
        <v>0.7181257199248002</v>
      </c>
      <c r="BJ75" s="113" t="str">
        <f>ifs(BI75&lt;='Range Tables'!$G$118,'Range Tables'!$B$118,BI75&lt;='Range Tables'!$G$119,'Range Tables'!$B$119)</f>
        <v>Expired</v>
      </c>
    </row>
    <row r="76">
      <c r="A76" s="85">
        <v>73.0</v>
      </c>
      <c r="B76" s="112">
        <v>0.16645393466439606</v>
      </c>
      <c r="C76" s="113" t="str">
        <f>ifs(B76&lt;='Range Tables'!$G$54,'Range Tables'!$B$54,B76&lt;='Range Tables'!$G$55,'Range Tables'!$B$55,B76&lt;='Range Tables'!$G$56,'Range Tables'!$B$56,B76&lt;='Range Tables'!$G$57,'Range Tables'!$B$57,B76&lt;='Range Tables'!$G$58,'Range Tables'!$B$58,B76&lt;='Range Tables'!$G$59,'Range Tables'!$B$59,B76&lt;='Range Tables'!$G$60,'Range Tables'!$B$60,B76&lt;='Range Tables'!$G$61,'Range Tables'!$B$61,B76&lt;='Range Tables'!$G$63,'Range Tables'!$B$63,B76&lt;='Range Tables'!$G$64,'Range Tables'!$B$64,B76&lt;='Range Tables'!$G$66,'Range Tables'!$B$66)</f>
        <v>0 - 30</v>
      </c>
      <c r="D76" s="113">
        <f>IFERROR(__xludf.DUMMYFUNCTION("SPLIT(C76,""-"")"),0.0)</f>
        <v>0</v>
      </c>
      <c r="E76" s="113">
        <f>IFERROR(__xludf.DUMMYFUNCTION("""COMPUTED_VALUE"""),30.0)</f>
        <v>30</v>
      </c>
      <c r="F76" s="114">
        <f t="shared" si="40"/>
        <v>4.99361804</v>
      </c>
      <c r="G76" s="112">
        <v>0.1783873239854985</v>
      </c>
      <c r="H76" s="113" t="str">
        <f>ifs(G76&lt;='Range Tables'!$G$86,'Range Tables'!$B$86,G76&lt;='Range Tables'!$G$87,'Range Tables'!$B$87,G76&lt;='Range Tables'!$G$88,'Range Tables'!$B$88,G76&lt;='Range Tables'!$G$89,'Range Tables'!$B$89,G76&lt;='Range Tables'!$G$90,'Range Tables'!$B$90,G76&lt;='Range Tables'!$G$91,'Range Tables'!$B$91)</f>
        <v>Car</v>
      </c>
      <c r="I76" s="112">
        <v>0.9986615780165259</v>
      </c>
      <c r="J76" s="113" t="str">
        <f>IFS(
  H76="Car", IF(I76&lt;='Range Tables'!$G$19, 'Range Tables'!$B$19, 'Range Tables'!$B$20), 
  H76="Bike", IF(I76&lt;='Range Tables'!$G$25, 'Range Tables'!$B$25, 'Range Tables'!$B$26), 
  H76="Scooter", IF(I76&lt;='Range Tables'!$G$31, 'Range Tables'!$B$31, 'Range Tables'!$B$32), 
  H76="Auto", IF(I76&lt;='Range Tables'!$G$37, 'Range Tables'!$B$37, 'Range Tables'!$B$38), 
  H76="Carriers*", IF(I76&lt;='Range Tables'!$G$43, 'Range Tables'!$B$43, 'Range Tables'!$B$44), 
  H76="Van*", IF(I76&lt;='Range Tables'!$G$50, 'Range Tables'!$B$50, 'Range Tables'!$B$49)
)</f>
        <v>Diesel</v>
      </c>
      <c r="K76" s="112">
        <v>0.21396594994272422</v>
      </c>
      <c r="L76" s="113">
        <f>if(J76="Petrol",ifs(K76&lt;='Range Tables'!$G$5,'Range Tables'!$B$5,K76&lt;='Range Tables'!$G$6,'Range Tables'!$B$6,K76&lt;='Range Tables'!$G$7,'Range Tables'!$B$7),ifs(K76&lt;='Range Tables'!$G$13,'Range Tables'!$B$13,K76&lt;='Range Tables'!$G$14,'Range Tables'!$B$14))</f>
        <v>1</v>
      </c>
      <c r="M76" s="112">
        <v>0.12612212217576813</v>
      </c>
      <c r="N76" s="113" t="str">
        <f>ifs(H76="Car",ifs(M76&lt;='Range Tables'!$G$125,'Range Tables'!$B$125,M76&lt;='Range Tables'!$G$126,'Range Tables'!$B$126,M76&lt;='Range Tables'!$G$127,'Range Tables'!$B$127,M76&lt;='Range Tables'!$G$128,'Range Tables'!$B$128,M76&lt;='Range Tables'!$G$129,'Range Tables'!$B$129,'Range Tables'!$G$131,'Range Tables'!$B$131),H76="Bike",ifs(M76&lt;='Range Tables'!$G$136,'Range Tables'!$B$136,M76&lt;='Range Tables'!$G$137,'Range Tables'!$B$137,M76&lt;='Range Tables'!$G$138,'Range Tables'!$B$138,M76&lt;='Range Tables'!$G$142,'Range Tables'!$B$142),H76="Scooter",ifs(M76&lt;='Range Tables'!$G$148,'Range Tables'!$B$148,M76&lt;='Range Tables'!$G$149,'Range Tables'!$B$149,M76&lt;='Range Tables'!$G$150,'Range Tables'!$B$150,M76&lt;='Range Tables'!$G$151,'Range Tables'!$B$151),H76="Auto",ifs(M76&lt;='Range Tables'!$G$161,'Range Tables'!$B$161,M76&lt;='Range Tables'!$G$162,'Range Tables'!$B$162,M76&lt;='Range Tables'!$G$163,'Range Tables'!$B$163,M76&lt;='Range Tables'!$G$164,'Range Tables'!$B$164),H76="Carriers*",ifs(M76&lt;='Range Tables'!$G$173,'Range Tables'!$B$173,M76&lt;='Range Tables'!$G$174,'Range Tables'!$B$174,M76&lt;='Range Tables'!$G$175,'Range Tables'!$B$175,M76&lt;='Range Tables'!$G$176,'Range Tables'!$B$176,M76&lt;='Range Tables'!$G$177,'Range Tables'!$B$177,M76&lt;='Range Tables'!$G$179,'Range Tables'!$B$179),H76="Van*",ifs(M76&lt;='Range Tables'!$G$186,'Range Tables'!$B$186))</f>
        <v>60 - 120</v>
      </c>
      <c r="O76" s="113">
        <f>IFERROR(__xludf.DUMMYFUNCTION("SPLIT(N76,""-"")"),60.0)</f>
        <v>60</v>
      </c>
      <c r="P76" s="113">
        <f>IFERROR(__xludf.DUMMYFUNCTION("""COMPUTED_VALUE"""),120.0)</f>
        <v>120</v>
      </c>
      <c r="Q76" s="114">
        <f t="shared" si="2"/>
        <v>67.56732733</v>
      </c>
      <c r="R76" s="115">
        <f t="shared" si="3"/>
        <v>0.06469180916</v>
      </c>
      <c r="S76" s="114">
        <f t="shared" si="39"/>
        <v>5589.372311</v>
      </c>
      <c r="T76" s="113" t="str">
        <f t="shared" si="4"/>
        <v>yes</v>
      </c>
      <c r="U76" s="115">
        <f t="shared" si="5"/>
        <v>0</v>
      </c>
      <c r="V76" s="113">
        <f t="shared" si="34"/>
        <v>0</v>
      </c>
      <c r="W76" s="115">
        <f t="shared" si="6"/>
        <v>0.06469180916</v>
      </c>
      <c r="X76" s="118">
        <f t="shared" si="7"/>
        <v>5589.372311</v>
      </c>
      <c r="Y76" s="116">
        <f t="shared" si="8"/>
        <v>0.06547383841</v>
      </c>
      <c r="Z76" s="114">
        <f t="shared" si="9"/>
        <v>5656.939638</v>
      </c>
      <c r="AA76" s="113" t="str">
        <f t="shared" si="10"/>
        <v>no</v>
      </c>
      <c r="AB76" s="115">
        <f t="shared" si="11"/>
        <v>0</v>
      </c>
      <c r="AC76" s="113">
        <f t="shared" si="35"/>
        <v>0</v>
      </c>
      <c r="AD76" s="116">
        <f t="shared" si="12"/>
        <v>0</v>
      </c>
      <c r="AE76" s="113">
        <f t="shared" si="13"/>
        <v>0</v>
      </c>
      <c r="AF76" s="116">
        <f t="shared" si="14"/>
        <v>0</v>
      </c>
      <c r="AG76" s="113">
        <f t="shared" si="15"/>
        <v>0</v>
      </c>
      <c r="AH76" s="113" t="str">
        <f t="shared" si="16"/>
        <v>no</v>
      </c>
      <c r="AI76" s="115">
        <f t="shared" si="17"/>
        <v>0</v>
      </c>
      <c r="AJ76" s="113">
        <f t="shared" si="36"/>
        <v>0</v>
      </c>
      <c r="AK76" s="116">
        <f t="shared" si="18"/>
        <v>0</v>
      </c>
      <c r="AL76" s="113">
        <f t="shared" si="19"/>
        <v>0</v>
      </c>
      <c r="AM76" s="115">
        <f t="shared" si="20"/>
        <v>0</v>
      </c>
      <c r="AN76" s="85">
        <f t="shared" si="21"/>
        <v>0</v>
      </c>
      <c r="AO76" s="113" t="str">
        <f t="shared" si="22"/>
        <v>no</v>
      </c>
      <c r="AP76" s="115">
        <f t="shared" si="23"/>
        <v>0</v>
      </c>
      <c r="AQ76" s="113">
        <f t="shared" si="37"/>
        <v>0</v>
      </c>
      <c r="AR76" s="116">
        <f t="shared" si="24"/>
        <v>0</v>
      </c>
      <c r="AS76" s="113">
        <f t="shared" si="25"/>
        <v>0</v>
      </c>
      <c r="AT76" s="116">
        <f t="shared" si="26"/>
        <v>0</v>
      </c>
      <c r="AU76" s="113">
        <f t="shared" si="27"/>
        <v>0</v>
      </c>
      <c r="AV76" s="113" t="str">
        <f t="shared" si="28"/>
        <v>no</v>
      </c>
      <c r="AW76" s="115">
        <f t="shared" si="29"/>
        <v>0</v>
      </c>
      <c r="AX76" s="85">
        <f t="shared" si="38"/>
        <v>0</v>
      </c>
      <c r="AY76" s="116">
        <f t="shared" si="30"/>
        <v>0</v>
      </c>
      <c r="AZ76" s="113">
        <f t="shared" si="31"/>
        <v>0</v>
      </c>
      <c r="BA76" s="116">
        <f t="shared" si="32"/>
        <v>0</v>
      </c>
      <c r="BB76" s="113">
        <f t="shared" si="33"/>
        <v>0</v>
      </c>
      <c r="BC76" s="112">
        <v>0.3423910423233337</v>
      </c>
      <c r="BD76" s="113" t="str">
        <f>ifs(BC76&lt;='Range Tables'!$G$81,'Range Tables'!$B$81,BC76&lt;='Range Tables'!$G$82,'Range Tables'!$B$82)</f>
        <v>Offline*</v>
      </c>
      <c r="BE76" s="112">
        <v>0.9727095513432881</v>
      </c>
      <c r="BF76" s="112" t="str">
        <f>ifs(BE76&lt;='Range Tables'!$G$95,'Range Tables'!$B$95,BE76&lt;='Range Tables'!$G$96,'Range Tables'!$B$96,BE76&lt;='Range Tables'!$G$97,'Range Tables'!$B$97,BE76&lt;='Range Tables'!$G$98,'Range Tables'!$B$98,BE76&lt;='Range Tables'!$G$99,'Range Tables'!$B$99,BE76&lt;='Range Tables'!$G$100,'Range Tables'!$B$100,BE76&lt;='Range Tables'!$G$101,'Range Tables'!$B$101,BE76&lt;='Range Tables'!$G$102,'Range Tables'!$B$102,BE76&lt;='Range Tables'!$G$103,'Range Tables'!$B$103)</f>
        <v>Ramban</v>
      </c>
      <c r="BG76" s="112">
        <v>0.09359075401978201</v>
      </c>
      <c r="BH76" s="113" t="str">
        <f>ifs(BG76&lt;='Range Tables'!$G$112,'Range Tables'!$B$112,BG76&lt;='Range Tables'!$G$113,'Range Tables'!$B$113,BG76&lt;='Range Tables'!$G$114,'Range Tables'!$B$114)</f>
        <v>0</v>
      </c>
      <c r="BI76" s="117">
        <v>0.4694447080778039</v>
      </c>
      <c r="BJ76" s="113" t="str">
        <f>ifs(BI76&lt;='Range Tables'!$G$118,'Range Tables'!$B$118,BI76&lt;='Range Tables'!$G$119,'Range Tables'!$B$119)</f>
        <v>Valid</v>
      </c>
    </row>
    <row r="77">
      <c r="A77" s="85">
        <v>74.0</v>
      </c>
      <c r="B77" s="112">
        <v>0.8988195311841692</v>
      </c>
      <c r="C77" s="113" t="str">
        <f>ifs(B77&lt;='Range Tables'!$G$54,'Range Tables'!$B$54,B77&lt;='Range Tables'!$G$55,'Range Tables'!$B$55,B77&lt;='Range Tables'!$G$56,'Range Tables'!$B$56,B77&lt;='Range Tables'!$G$57,'Range Tables'!$B$57,B77&lt;='Range Tables'!$G$58,'Range Tables'!$B$58,B77&lt;='Range Tables'!$G$59,'Range Tables'!$B$59,B77&lt;='Range Tables'!$G$60,'Range Tables'!$B$60,B77&lt;='Range Tables'!$G$61,'Range Tables'!$B$61,B77&lt;='Range Tables'!$G$63,'Range Tables'!$B$63,B77&lt;='Range Tables'!$G$64,'Range Tables'!$B$64,B77&lt;='Range Tables'!$G$66,'Range Tables'!$B$66)</f>
        <v>180 - 210</v>
      </c>
      <c r="D77" s="113">
        <f>IFERROR(__xludf.DUMMYFUNCTION("SPLIT(C77,""-"")"),180.0)</f>
        <v>180</v>
      </c>
      <c r="E77" s="113">
        <f>IFERROR(__xludf.DUMMYFUNCTION("""COMPUTED_VALUE"""),210.0)</f>
        <v>210</v>
      </c>
      <c r="F77" s="114">
        <f t="shared" si="40"/>
        <v>206.9645859</v>
      </c>
      <c r="G77" s="112">
        <v>0.6455687418187878</v>
      </c>
      <c r="H77" s="113" t="str">
        <f>ifs(G77&lt;='Range Tables'!$G$86,'Range Tables'!$B$86,G77&lt;='Range Tables'!$G$87,'Range Tables'!$B$87,G77&lt;='Range Tables'!$G$88,'Range Tables'!$B$88,G77&lt;='Range Tables'!$G$89,'Range Tables'!$B$89,G77&lt;='Range Tables'!$G$90,'Range Tables'!$B$90,G77&lt;='Range Tables'!$G$91,'Range Tables'!$B$91)</f>
        <v>Bike</v>
      </c>
      <c r="I77" s="112">
        <v>0.9230355186659693</v>
      </c>
      <c r="J77" s="113" t="str">
        <f>IFS(
  H77="Car", IF(I77&lt;='Range Tables'!$G$19, 'Range Tables'!$B$19, 'Range Tables'!$B$20), 
  H77="Bike", IF(I77&lt;='Range Tables'!$G$25, 'Range Tables'!$B$25, 'Range Tables'!$B$26), 
  H77="Scooter", IF(I77&lt;='Range Tables'!$G$31, 'Range Tables'!$B$31, 'Range Tables'!$B$32), 
  H77="Auto", IF(I77&lt;='Range Tables'!$G$37, 'Range Tables'!$B$37, 'Range Tables'!$B$38), 
  H77="Carriers*", IF(I77&lt;='Range Tables'!$G$43, 'Range Tables'!$B$43, 'Range Tables'!$B$44), 
  H77="Van*", IF(I77&lt;='Range Tables'!$G$50, 'Range Tables'!$B$50, 'Range Tables'!$B$49)
)</f>
        <v>Petrol</v>
      </c>
      <c r="K77" s="112">
        <v>0.10584078689318721</v>
      </c>
      <c r="L77" s="113">
        <f>if(J77="Petrol",ifs(K77&lt;='Range Tables'!$G$5,'Range Tables'!$B$5,K77&lt;='Range Tables'!$G$6,'Range Tables'!$B$6,K77&lt;='Range Tables'!$G$7,'Range Tables'!$B$7),ifs(K77&lt;='Range Tables'!$G$13,'Range Tables'!$B$13,K77&lt;='Range Tables'!$G$14,'Range Tables'!$B$14))</f>
        <v>2</v>
      </c>
      <c r="M77" s="112">
        <v>0.40465808766565525</v>
      </c>
      <c r="N77" s="113" t="str">
        <f>ifs(H77="Car",ifs(M77&lt;='Range Tables'!$G$125,'Range Tables'!$B$125,M77&lt;='Range Tables'!$G$126,'Range Tables'!$B$126,M77&lt;='Range Tables'!$G$127,'Range Tables'!$B$127,M77&lt;='Range Tables'!$G$128,'Range Tables'!$B$128,M77&lt;='Range Tables'!$G$129,'Range Tables'!$B$129,'Range Tables'!$G$131,'Range Tables'!$B$131),H77="Bike",ifs(M77&lt;='Range Tables'!$G$136,'Range Tables'!$B$136,M77&lt;='Range Tables'!$G$137,'Range Tables'!$B$137,M77&lt;='Range Tables'!$G$138,'Range Tables'!$B$138,M77&lt;='Range Tables'!$G$142,'Range Tables'!$B$142),H77="Scooter",ifs(M77&lt;='Range Tables'!$G$148,'Range Tables'!$B$148,M77&lt;='Range Tables'!$G$149,'Range Tables'!$B$149,M77&lt;='Range Tables'!$G$150,'Range Tables'!$B$150,M77&lt;='Range Tables'!$G$151,'Range Tables'!$B$151),H77="Auto",ifs(M77&lt;='Range Tables'!$G$161,'Range Tables'!$B$161,M77&lt;='Range Tables'!$G$162,'Range Tables'!$B$162,M77&lt;='Range Tables'!$G$163,'Range Tables'!$B$163,M77&lt;='Range Tables'!$G$164,'Range Tables'!$B$164),H77="Carriers*",ifs(M77&lt;='Range Tables'!$G$173,'Range Tables'!$B$173,M77&lt;='Range Tables'!$G$174,'Range Tables'!$B$174,M77&lt;='Range Tables'!$G$175,'Range Tables'!$B$175,M77&lt;='Range Tables'!$G$176,'Range Tables'!$B$176,M77&lt;='Range Tables'!$G$177,'Range Tables'!$B$177,M77&lt;='Range Tables'!$G$179,'Range Tables'!$B$179),H77="Van*",ifs(M77&lt;='Range Tables'!$G$186,'Range Tables'!$B$186))</f>
        <v>60 - 120</v>
      </c>
      <c r="O77" s="113">
        <f>IFERROR(__xludf.DUMMYFUNCTION("SPLIT(N77,""-"")"),60.0)</f>
        <v>60</v>
      </c>
      <c r="P77" s="113">
        <f>IFERROR(__xludf.DUMMYFUNCTION("""COMPUTED_VALUE"""),120.0)</f>
        <v>120</v>
      </c>
      <c r="Q77" s="114">
        <f t="shared" si="2"/>
        <v>84.27948526</v>
      </c>
      <c r="R77" s="115">
        <f t="shared" si="3"/>
        <v>0.06474960566</v>
      </c>
      <c r="S77" s="114">
        <f t="shared" si="39"/>
        <v>5594.365929</v>
      </c>
      <c r="T77" s="113" t="str">
        <f t="shared" si="4"/>
        <v>no</v>
      </c>
      <c r="U77" s="115">
        <f t="shared" si="5"/>
        <v>0</v>
      </c>
      <c r="V77" s="113">
        <f t="shared" si="34"/>
        <v>0</v>
      </c>
      <c r="W77" s="115">
        <f t="shared" si="6"/>
        <v>0</v>
      </c>
      <c r="X77" s="85">
        <f t="shared" si="7"/>
        <v>0</v>
      </c>
      <c r="Y77" s="116">
        <f t="shared" si="8"/>
        <v>0</v>
      </c>
      <c r="Z77" s="113">
        <f t="shared" si="9"/>
        <v>0</v>
      </c>
      <c r="AA77" s="113" t="str">
        <f t="shared" si="10"/>
        <v>yes</v>
      </c>
      <c r="AB77" s="115">
        <f t="shared" si="11"/>
        <v>0</v>
      </c>
      <c r="AC77" s="113">
        <f t="shared" si="35"/>
        <v>0</v>
      </c>
      <c r="AD77" s="116">
        <f t="shared" si="12"/>
        <v>0.06474960566</v>
      </c>
      <c r="AE77" s="114">
        <f t="shared" si="13"/>
        <v>5594.365929</v>
      </c>
      <c r="AF77" s="116">
        <f t="shared" si="14"/>
        <v>0.06572506267</v>
      </c>
      <c r="AG77" s="114">
        <f t="shared" si="15"/>
        <v>5678.645414</v>
      </c>
      <c r="AH77" s="113" t="str">
        <f t="shared" si="16"/>
        <v>no</v>
      </c>
      <c r="AI77" s="115">
        <f t="shared" si="17"/>
        <v>0</v>
      </c>
      <c r="AJ77" s="113">
        <f t="shared" si="36"/>
        <v>0</v>
      </c>
      <c r="AK77" s="116">
        <f t="shared" si="18"/>
        <v>0</v>
      </c>
      <c r="AL77" s="113">
        <f t="shared" si="19"/>
        <v>0</v>
      </c>
      <c r="AM77" s="115">
        <f t="shared" si="20"/>
        <v>0</v>
      </c>
      <c r="AN77" s="85">
        <f t="shared" si="21"/>
        <v>0</v>
      </c>
      <c r="AO77" s="113" t="str">
        <f t="shared" si="22"/>
        <v>no</v>
      </c>
      <c r="AP77" s="115">
        <f t="shared" si="23"/>
        <v>0</v>
      </c>
      <c r="AQ77" s="113">
        <f t="shared" si="37"/>
        <v>0</v>
      </c>
      <c r="AR77" s="116">
        <f t="shared" si="24"/>
        <v>0</v>
      </c>
      <c r="AS77" s="113">
        <f t="shared" si="25"/>
        <v>0</v>
      </c>
      <c r="AT77" s="116">
        <f t="shared" si="26"/>
        <v>0</v>
      </c>
      <c r="AU77" s="113">
        <f t="shared" si="27"/>
        <v>0</v>
      </c>
      <c r="AV77" s="113" t="str">
        <f t="shared" si="28"/>
        <v>no</v>
      </c>
      <c r="AW77" s="115">
        <f t="shared" si="29"/>
        <v>0</v>
      </c>
      <c r="AX77" s="85">
        <f t="shared" si="38"/>
        <v>0</v>
      </c>
      <c r="AY77" s="116">
        <f t="shared" si="30"/>
        <v>0</v>
      </c>
      <c r="AZ77" s="113">
        <f t="shared" si="31"/>
        <v>0</v>
      </c>
      <c r="BA77" s="116">
        <f t="shared" si="32"/>
        <v>0</v>
      </c>
      <c r="BB77" s="113">
        <f t="shared" si="33"/>
        <v>0</v>
      </c>
      <c r="BC77" s="112">
        <v>0.614685308421055</v>
      </c>
      <c r="BD77" s="113" t="str">
        <f>ifs(BC77&lt;='Range Tables'!$G$81,'Range Tables'!$B$81,BC77&lt;='Range Tables'!$G$82,'Range Tables'!$B$82)</f>
        <v>Offline*</v>
      </c>
      <c r="BE77" s="112">
        <v>0.44372526711691007</v>
      </c>
      <c r="BF77" s="112" t="str">
        <f>ifs(BE77&lt;='Range Tables'!$G$95,'Range Tables'!$B$95,BE77&lt;='Range Tables'!$G$96,'Range Tables'!$B$96,BE77&lt;='Range Tables'!$G$97,'Range Tables'!$B$97,BE77&lt;='Range Tables'!$G$98,'Range Tables'!$B$98,BE77&lt;='Range Tables'!$G$99,'Range Tables'!$B$99,BE77&lt;='Range Tables'!$G$100,'Range Tables'!$B$100,BE77&lt;='Range Tables'!$G$101,'Range Tables'!$B$101,BE77&lt;='Range Tables'!$G$102,'Range Tables'!$B$102,BE77&lt;='Range Tables'!$G$103,'Range Tables'!$B$103)</f>
        <v>Jammu</v>
      </c>
      <c r="BG77" s="112">
        <v>0.9409693083240569</v>
      </c>
      <c r="BH77" s="113" t="str">
        <f>ifs(BG77&lt;='Range Tables'!$G$112,'Range Tables'!$B$112,BG77&lt;='Range Tables'!$G$113,'Range Tables'!$B$113,BG77&lt;='Range Tables'!$G$114,'Range Tables'!$B$114)</f>
        <v>1-5</v>
      </c>
      <c r="BI77" s="117">
        <v>0.8192316087207987</v>
      </c>
      <c r="BJ77" s="113" t="str">
        <f>ifs(BI77&lt;='Range Tables'!$G$118,'Range Tables'!$B$118,BI77&lt;='Range Tables'!$G$119,'Range Tables'!$B$119)</f>
        <v>Expired</v>
      </c>
    </row>
    <row r="78">
      <c r="A78" s="85">
        <v>75.0</v>
      </c>
      <c r="B78" s="112">
        <v>0.0950476766500934</v>
      </c>
      <c r="C78" s="113" t="str">
        <f>ifs(B78&lt;='Range Tables'!$G$54,'Range Tables'!$B$54,B78&lt;='Range Tables'!$G$55,'Range Tables'!$B$55,B78&lt;='Range Tables'!$G$56,'Range Tables'!$B$56,B78&lt;='Range Tables'!$G$57,'Range Tables'!$B$57,B78&lt;='Range Tables'!$G$58,'Range Tables'!$B$58,B78&lt;='Range Tables'!$G$59,'Range Tables'!$B$59,B78&lt;='Range Tables'!$G$60,'Range Tables'!$B$60,B78&lt;='Range Tables'!$G$61,'Range Tables'!$B$61,B78&lt;='Range Tables'!$G$63,'Range Tables'!$B$63,B78&lt;='Range Tables'!$G$64,'Range Tables'!$B$64,B78&lt;='Range Tables'!$G$66,'Range Tables'!$B$66)</f>
        <v>0 - 30</v>
      </c>
      <c r="D78" s="113">
        <f>IFERROR(__xludf.DUMMYFUNCTION("SPLIT(C78,""-"")"),0.0)</f>
        <v>0</v>
      </c>
      <c r="E78" s="113">
        <f>IFERROR(__xludf.DUMMYFUNCTION("""COMPUTED_VALUE"""),30.0)</f>
        <v>30</v>
      </c>
      <c r="F78" s="114">
        <f t="shared" si="40"/>
        <v>2.8514303</v>
      </c>
      <c r="G78" s="112">
        <v>0.24112201039042314</v>
      </c>
      <c r="H78" s="113" t="str">
        <f>ifs(G78&lt;='Range Tables'!$G$86,'Range Tables'!$B$86,G78&lt;='Range Tables'!$G$87,'Range Tables'!$B$87,G78&lt;='Range Tables'!$G$88,'Range Tables'!$B$88,G78&lt;='Range Tables'!$G$89,'Range Tables'!$B$89,G78&lt;='Range Tables'!$G$90,'Range Tables'!$B$90,G78&lt;='Range Tables'!$G$91,'Range Tables'!$B$91)</f>
        <v>Car</v>
      </c>
      <c r="I78" s="112">
        <v>0.8740929089385325</v>
      </c>
      <c r="J78" s="113" t="str">
        <f>IFS(
  H78="Car", IF(I78&lt;='Range Tables'!$G$19, 'Range Tables'!$B$19, 'Range Tables'!$B$20), 
  H78="Bike", IF(I78&lt;='Range Tables'!$G$25, 'Range Tables'!$B$25, 'Range Tables'!$B$26), 
  H78="Scooter", IF(I78&lt;='Range Tables'!$G$31, 'Range Tables'!$B$31, 'Range Tables'!$B$32), 
  H78="Auto", IF(I78&lt;='Range Tables'!$G$37, 'Range Tables'!$B$37, 'Range Tables'!$B$38), 
  H78="Carriers*", IF(I78&lt;='Range Tables'!$G$43, 'Range Tables'!$B$43, 'Range Tables'!$B$44), 
  H78="Van*", IF(I78&lt;='Range Tables'!$G$50, 'Range Tables'!$B$50, 'Range Tables'!$B$49)
)</f>
        <v>Petrol</v>
      </c>
      <c r="K78" s="112">
        <v>0.9276242395673994</v>
      </c>
      <c r="L78" s="113">
        <f>if(J78="Petrol",ifs(K78&lt;='Range Tables'!$G$5,'Range Tables'!$B$5,K78&lt;='Range Tables'!$G$6,'Range Tables'!$B$6,K78&lt;='Range Tables'!$G$7,'Range Tables'!$B$7),ifs(K78&lt;='Range Tables'!$G$13,'Range Tables'!$B$13,K78&lt;='Range Tables'!$G$14,'Range Tables'!$B$14))</f>
        <v>4</v>
      </c>
      <c r="M78" s="112">
        <v>0.7922253961406253</v>
      </c>
      <c r="N78" s="113" t="str">
        <f>ifs(H78="Car",ifs(M78&lt;='Range Tables'!$G$125,'Range Tables'!$B$125,M78&lt;='Range Tables'!$G$126,'Range Tables'!$B$126,M78&lt;='Range Tables'!$G$127,'Range Tables'!$B$127,M78&lt;='Range Tables'!$G$128,'Range Tables'!$B$128,M78&lt;='Range Tables'!$G$129,'Range Tables'!$B$129,'Range Tables'!$G$131,'Range Tables'!$B$131),H78="Bike",ifs(M78&lt;='Range Tables'!$G$136,'Range Tables'!$B$136,M78&lt;='Range Tables'!$G$137,'Range Tables'!$B$137,M78&lt;='Range Tables'!$G$138,'Range Tables'!$B$138,M78&lt;='Range Tables'!$G$142,'Range Tables'!$B$142),H78="Scooter",ifs(M78&lt;='Range Tables'!$G$148,'Range Tables'!$B$148,M78&lt;='Range Tables'!$G$149,'Range Tables'!$B$149,M78&lt;='Range Tables'!$G$150,'Range Tables'!$B$150,M78&lt;='Range Tables'!$G$151,'Range Tables'!$B$151),H78="Auto",ifs(M78&lt;='Range Tables'!$G$161,'Range Tables'!$B$161,M78&lt;='Range Tables'!$G$162,'Range Tables'!$B$162,M78&lt;='Range Tables'!$G$163,'Range Tables'!$B$163,M78&lt;='Range Tables'!$G$164,'Range Tables'!$B$164),H78="Carriers*",ifs(M78&lt;='Range Tables'!$G$173,'Range Tables'!$B$173,M78&lt;='Range Tables'!$G$174,'Range Tables'!$B$174,M78&lt;='Range Tables'!$G$175,'Range Tables'!$B$175,M78&lt;='Range Tables'!$G$176,'Range Tables'!$B$176,M78&lt;='Range Tables'!$G$177,'Range Tables'!$B$177,M78&lt;='Range Tables'!$G$179,'Range Tables'!$B$179),H78="Van*",ifs(M78&lt;='Range Tables'!$G$186,'Range Tables'!$B$186))</f>
        <v>120 - 180</v>
      </c>
      <c r="O78" s="113">
        <f>IFERROR(__xludf.DUMMYFUNCTION("SPLIT(N78,""-"")"),120.0)</f>
        <v>120</v>
      </c>
      <c r="P78" s="113">
        <f>IFERROR(__xludf.DUMMYFUNCTION("""COMPUTED_VALUE"""),180.0)</f>
        <v>180</v>
      </c>
      <c r="Q78" s="114">
        <f t="shared" si="2"/>
        <v>167.5335238</v>
      </c>
      <c r="R78" s="115">
        <f t="shared" si="3"/>
        <v>0.06714502911</v>
      </c>
      <c r="S78" s="114">
        <f t="shared" si="39"/>
        <v>5801.330515</v>
      </c>
      <c r="T78" s="113" t="str">
        <f t="shared" si="4"/>
        <v>no</v>
      </c>
      <c r="U78" s="115">
        <f t="shared" si="5"/>
        <v>0</v>
      </c>
      <c r="V78" s="113">
        <f t="shared" si="34"/>
        <v>0</v>
      </c>
      <c r="W78" s="115">
        <f t="shared" si="6"/>
        <v>0</v>
      </c>
      <c r="X78" s="85">
        <f t="shared" si="7"/>
        <v>0</v>
      </c>
      <c r="Y78" s="116">
        <f t="shared" si="8"/>
        <v>0</v>
      </c>
      <c r="Z78" s="113">
        <f t="shared" si="9"/>
        <v>0</v>
      </c>
      <c r="AA78" s="113" t="str">
        <f t="shared" si="10"/>
        <v>no</v>
      </c>
      <c r="AB78" s="115">
        <f t="shared" si="11"/>
        <v>0</v>
      </c>
      <c r="AC78" s="113">
        <f t="shared" si="35"/>
        <v>0</v>
      </c>
      <c r="AD78" s="116">
        <f t="shared" si="12"/>
        <v>0</v>
      </c>
      <c r="AE78" s="113">
        <f t="shared" si="13"/>
        <v>0</v>
      </c>
      <c r="AF78" s="116">
        <f t="shared" si="14"/>
        <v>0</v>
      </c>
      <c r="AG78" s="113">
        <f t="shared" si="15"/>
        <v>0</v>
      </c>
      <c r="AH78" s="113" t="str">
        <f t="shared" si="16"/>
        <v>no</v>
      </c>
      <c r="AI78" s="115">
        <f t="shared" si="17"/>
        <v>0</v>
      </c>
      <c r="AJ78" s="113">
        <f t="shared" si="36"/>
        <v>0</v>
      </c>
      <c r="AK78" s="116">
        <f t="shared" si="18"/>
        <v>0</v>
      </c>
      <c r="AL78" s="113">
        <f t="shared" si="19"/>
        <v>0</v>
      </c>
      <c r="AM78" s="115">
        <f t="shared" si="20"/>
        <v>0</v>
      </c>
      <c r="AN78" s="85">
        <f t="shared" si="21"/>
        <v>0</v>
      </c>
      <c r="AO78" s="113" t="str">
        <f t="shared" si="22"/>
        <v>yes</v>
      </c>
      <c r="AP78" s="115">
        <f t="shared" si="23"/>
        <v>0</v>
      </c>
      <c r="AQ78" s="113">
        <f t="shared" si="37"/>
        <v>0</v>
      </c>
      <c r="AR78" s="116">
        <f t="shared" si="24"/>
        <v>0.06714502911</v>
      </c>
      <c r="AS78" s="114">
        <f t="shared" si="25"/>
        <v>5801.330515</v>
      </c>
      <c r="AT78" s="116">
        <f t="shared" si="26"/>
        <v>0.06908407452</v>
      </c>
      <c r="AU78" s="114">
        <f t="shared" si="27"/>
        <v>5968.864039</v>
      </c>
      <c r="AV78" s="113" t="str">
        <f t="shared" si="28"/>
        <v>no</v>
      </c>
      <c r="AW78" s="115">
        <f t="shared" si="29"/>
        <v>0</v>
      </c>
      <c r="AX78" s="85">
        <f t="shared" si="38"/>
        <v>0</v>
      </c>
      <c r="AY78" s="116">
        <f t="shared" si="30"/>
        <v>0</v>
      </c>
      <c r="AZ78" s="113">
        <f t="shared" si="31"/>
        <v>0</v>
      </c>
      <c r="BA78" s="116">
        <f t="shared" si="32"/>
        <v>0</v>
      </c>
      <c r="BB78" s="113">
        <f t="shared" si="33"/>
        <v>0</v>
      </c>
      <c r="BC78" s="112">
        <v>0.16714684310710015</v>
      </c>
      <c r="BD78" s="113" t="str">
        <f>ifs(BC78&lt;='Range Tables'!$G$81,'Range Tables'!$B$81,BC78&lt;='Range Tables'!$G$82,'Range Tables'!$B$82)</f>
        <v>Online*</v>
      </c>
      <c r="BE78" s="112">
        <v>0.0593691420603345</v>
      </c>
      <c r="BF78" s="112" t="str">
        <f>ifs(BE78&lt;='Range Tables'!$G$95,'Range Tables'!$B$95,BE78&lt;='Range Tables'!$G$96,'Range Tables'!$B$96,BE78&lt;='Range Tables'!$G$97,'Range Tables'!$B$97,BE78&lt;='Range Tables'!$G$98,'Range Tables'!$B$98,BE78&lt;='Range Tables'!$G$99,'Range Tables'!$B$99,BE78&lt;='Range Tables'!$G$100,'Range Tables'!$B$100,BE78&lt;='Range Tables'!$G$101,'Range Tables'!$B$101,BE78&lt;='Range Tables'!$G$102,'Range Tables'!$B$102,BE78&lt;='Range Tables'!$G$103,'Range Tables'!$B$103)</f>
        <v>Jammu</v>
      </c>
      <c r="BG78" s="112">
        <v>0.750949831115987</v>
      </c>
      <c r="BH78" s="113" t="str">
        <f>ifs(BG78&lt;='Range Tables'!$G$112,'Range Tables'!$B$112,BG78&lt;='Range Tables'!$G$113,'Range Tables'!$B$113,BG78&lt;='Range Tables'!$G$114,'Range Tables'!$B$114)</f>
        <v>0</v>
      </c>
      <c r="BI78" s="117">
        <v>0.6117303269756694</v>
      </c>
      <c r="BJ78" s="113" t="str">
        <f>ifs(BI78&lt;='Range Tables'!$G$118,'Range Tables'!$B$118,BI78&lt;='Range Tables'!$G$119,'Range Tables'!$B$119)</f>
        <v>Expired</v>
      </c>
    </row>
    <row r="79">
      <c r="A79" s="85">
        <v>76.0</v>
      </c>
      <c r="B79" s="112">
        <v>0.504827288956072</v>
      </c>
      <c r="C79" s="113" t="str">
        <f>ifs(B79&lt;='Range Tables'!$G$54,'Range Tables'!$B$54,B79&lt;='Range Tables'!$G$55,'Range Tables'!$B$55,B79&lt;='Range Tables'!$G$56,'Range Tables'!$B$56,B79&lt;='Range Tables'!$G$57,'Range Tables'!$B$57,B79&lt;='Range Tables'!$G$58,'Range Tables'!$B$58,B79&lt;='Range Tables'!$G$59,'Range Tables'!$B$59,B79&lt;='Range Tables'!$G$60,'Range Tables'!$B$60,B79&lt;='Range Tables'!$G$61,'Range Tables'!$B$61,B79&lt;='Range Tables'!$G$63,'Range Tables'!$B$63,B79&lt;='Range Tables'!$G$64,'Range Tables'!$B$64,B79&lt;='Range Tables'!$G$66,'Range Tables'!$B$66)</f>
        <v>30 - 60 </v>
      </c>
      <c r="D79" s="113">
        <f>IFERROR(__xludf.DUMMYFUNCTION("SPLIT(C79,""-"")"),30.0)</f>
        <v>30</v>
      </c>
      <c r="E79" s="113">
        <f>IFERROR(__xludf.DUMMYFUNCTION("""COMPUTED_VALUE"""),60.0)</f>
        <v>60</v>
      </c>
      <c r="F79" s="114">
        <f t="shared" si="40"/>
        <v>45.14481867</v>
      </c>
      <c r="G79" s="112">
        <v>0.34645811201774623</v>
      </c>
      <c r="H79" s="113" t="str">
        <f>ifs(G79&lt;='Range Tables'!$G$86,'Range Tables'!$B$86,G79&lt;='Range Tables'!$G$87,'Range Tables'!$B$87,G79&lt;='Range Tables'!$G$88,'Range Tables'!$B$88,G79&lt;='Range Tables'!$G$89,'Range Tables'!$B$89,G79&lt;='Range Tables'!$G$90,'Range Tables'!$B$90,G79&lt;='Range Tables'!$G$91,'Range Tables'!$B$91)</f>
        <v>Car</v>
      </c>
      <c r="I79" s="112">
        <v>0.6714945693723162</v>
      </c>
      <c r="J79" s="113" t="str">
        <f>IFS(
  H79="Car", IF(I79&lt;='Range Tables'!$G$19, 'Range Tables'!$B$19, 'Range Tables'!$B$20), 
  H79="Bike", IF(I79&lt;='Range Tables'!$G$25, 'Range Tables'!$B$25, 'Range Tables'!$B$26), 
  H79="Scooter", IF(I79&lt;='Range Tables'!$G$31, 'Range Tables'!$B$31, 'Range Tables'!$B$32), 
  H79="Auto", IF(I79&lt;='Range Tables'!$G$37, 'Range Tables'!$B$37, 'Range Tables'!$B$38), 
  H79="Carriers*", IF(I79&lt;='Range Tables'!$G$43, 'Range Tables'!$B$43, 'Range Tables'!$B$44), 
  H79="Van*", IF(I79&lt;='Range Tables'!$G$50, 'Range Tables'!$B$50, 'Range Tables'!$B$49)
)</f>
        <v>Petrol</v>
      </c>
      <c r="K79" s="112">
        <v>0.7962045950208074</v>
      </c>
      <c r="L79" s="113">
        <f>if(J79="Petrol",ifs(K79&lt;='Range Tables'!$G$5,'Range Tables'!$B$5,K79&lt;='Range Tables'!$G$6,'Range Tables'!$B$6,K79&lt;='Range Tables'!$G$7,'Range Tables'!$B$7),ifs(K79&lt;='Range Tables'!$G$13,'Range Tables'!$B$13,K79&lt;='Range Tables'!$G$14,'Range Tables'!$B$14))</f>
        <v>3</v>
      </c>
      <c r="M79" s="112">
        <v>0.020056010830129978</v>
      </c>
      <c r="N79" s="113" t="str">
        <f>ifs(H79="Car",ifs(M79&lt;='Range Tables'!$G$125,'Range Tables'!$B$125,M79&lt;='Range Tables'!$G$126,'Range Tables'!$B$126,M79&lt;='Range Tables'!$G$127,'Range Tables'!$B$127,M79&lt;='Range Tables'!$G$128,'Range Tables'!$B$128,M79&lt;='Range Tables'!$G$129,'Range Tables'!$B$129,'Range Tables'!$G$131,'Range Tables'!$B$131),H79="Bike",ifs(M79&lt;='Range Tables'!$G$136,'Range Tables'!$B$136,M79&lt;='Range Tables'!$G$137,'Range Tables'!$B$137,M79&lt;='Range Tables'!$G$138,'Range Tables'!$B$138,M79&lt;='Range Tables'!$G$142,'Range Tables'!$B$142),H79="Scooter",ifs(M79&lt;='Range Tables'!$G$148,'Range Tables'!$B$148,M79&lt;='Range Tables'!$G$149,'Range Tables'!$B$149,M79&lt;='Range Tables'!$G$150,'Range Tables'!$B$150,M79&lt;='Range Tables'!$G$151,'Range Tables'!$B$151),H79="Auto",ifs(M79&lt;='Range Tables'!$G$161,'Range Tables'!$B$161,M79&lt;='Range Tables'!$G$162,'Range Tables'!$B$162,M79&lt;='Range Tables'!$G$163,'Range Tables'!$B$163,M79&lt;='Range Tables'!$G$164,'Range Tables'!$B$164),H79="Carriers*",ifs(M79&lt;='Range Tables'!$G$173,'Range Tables'!$B$173,M79&lt;='Range Tables'!$G$174,'Range Tables'!$B$174,M79&lt;='Range Tables'!$G$175,'Range Tables'!$B$175,M79&lt;='Range Tables'!$G$176,'Range Tables'!$B$176,M79&lt;='Range Tables'!$G$177,'Range Tables'!$B$177,M79&lt;='Range Tables'!$G$179,'Range Tables'!$B$179),H79="Van*",ifs(M79&lt;='Range Tables'!$G$186,'Range Tables'!$B$186))</f>
        <v>60 - 120</v>
      </c>
      <c r="O79" s="113">
        <f>IFERROR(__xludf.DUMMYFUNCTION("SPLIT(N79,""-"")"),60.0)</f>
        <v>60</v>
      </c>
      <c r="P79" s="113">
        <f>IFERROR(__xludf.DUMMYFUNCTION("""COMPUTED_VALUE"""),120.0)</f>
        <v>120</v>
      </c>
      <c r="Q79" s="114">
        <f t="shared" si="2"/>
        <v>61.20336065</v>
      </c>
      <c r="R79" s="115">
        <f t="shared" si="3"/>
        <v>0.06717803177</v>
      </c>
      <c r="S79" s="114">
        <f t="shared" si="39"/>
        <v>5804.181945</v>
      </c>
      <c r="T79" s="113" t="str">
        <f t="shared" si="4"/>
        <v>no</v>
      </c>
      <c r="U79" s="115">
        <f t="shared" si="5"/>
        <v>0</v>
      </c>
      <c r="V79" s="113">
        <f t="shared" si="34"/>
        <v>0</v>
      </c>
      <c r="W79" s="115">
        <f t="shared" si="6"/>
        <v>0</v>
      </c>
      <c r="X79" s="85">
        <f t="shared" si="7"/>
        <v>0</v>
      </c>
      <c r="Y79" s="116">
        <f t="shared" si="8"/>
        <v>0</v>
      </c>
      <c r="Z79" s="113">
        <f t="shared" si="9"/>
        <v>0</v>
      </c>
      <c r="AA79" s="113" t="str">
        <f t="shared" si="10"/>
        <v>no</v>
      </c>
      <c r="AB79" s="115">
        <f t="shared" si="11"/>
        <v>0</v>
      </c>
      <c r="AC79" s="113">
        <f t="shared" si="35"/>
        <v>0</v>
      </c>
      <c r="AD79" s="116">
        <f t="shared" si="12"/>
        <v>0</v>
      </c>
      <c r="AE79" s="113">
        <f t="shared" si="13"/>
        <v>0</v>
      </c>
      <c r="AF79" s="116">
        <f t="shared" si="14"/>
        <v>0</v>
      </c>
      <c r="AG79" s="113">
        <f t="shared" si="15"/>
        <v>0</v>
      </c>
      <c r="AH79" s="113" t="str">
        <f t="shared" si="16"/>
        <v>yes</v>
      </c>
      <c r="AI79" s="115">
        <f t="shared" si="17"/>
        <v>0</v>
      </c>
      <c r="AJ79" s="113">
        <f t="shared" si="36"/>
        <v>0</v>
      </c>
      <c r="AK79" s="116">
        <f t="shared" si="18"/>
        <v>0.06717803177</v>
      </c>
      <c r="AL79" s="114">
        <f t="shared" si="19"/>
        <v>5804.181945</v>
      </c>
      <c r="AM79" s="115">
        <f t="shared" si="20"/>
        <v>0.067886404</v>
      </c>
      <c r="AN79" s="118">
        <f t="shared" si="21"/>
        <v>5865.385306</v>
      </c>
      <c r="AO79" s="113" t="str">
        <f t="shared" si="22"/>
        <v>no</v>
      </c>
      <c r="AP79" s="115">
        <f t="shared" si="23"/>
        <v>0</v>
      </c>
      <c r="AQ79" s="113">
        <f t="shared" si="37"/>
        <v>0</v>
      </c>
      <c r="AR79" s="116">
        <f t="shared" si="24"/>
        <v>0</v>
      </c>
      <c r="AS79" s="113">
        <f t="shared" si="25"/>
        <v>0</v>
      </c>
      <c r="AT79" s="116">
        <f t="shared" si="26"/>
        <v>0</v>
      </c>
      <c r="AU79" s="113">
        <f t="shared" si="27"/>
        <v>0</v>
      </c>
      <c r="AV79" s="113" t="str">
        <f t="shared" si="28"/>
        <v>no</v>
      </c>
      <c r="AW79" s="115">
        <f t="shared" si="29"/>
        <v>0</v>
      </c>
      <c r="AX79" s="85">
        <f t="shared" si="38"/>
        <v>0</v>
      </c>
      <c r="AY79" s="116">
        <f t="shared" si="30"/>
        <v>0</v>
      </c>
      <c r="AZ79" s="113">
        <f t="shared" si="31"/>
        <v>0</v>
      </c>
      <c r="BA79" s="116">
        <f t="shared" si="32"/>
        <v>0</v>
      </c>
      <c r="BB79" s="113">
        <f t="shared" si="33"/>
        <v>0</v>
      </c>
      <c r="BC79" s="112">
        <v>0.43362087504782976</v>
      </c>
      <c r="BD79" s="113" t="str">
        <f>ifs(BC79&lt;='Range Tables'!$G$81,'Range Tables'!$B$81,BC79&lt;='Range Tables'!$G$82,'Range Tables'!$B$82)</f>
        <v>Offline*</v>
      </c>
      <c r="BE79" s="112">
        <v>0.9075659236106086</v>
      </c>
      <c r="BF79" s="112" t="str">
        <f>ifs(BE79&lt;='Range Tables'!$G$95,'Range Tables'!$B$95,BE79&lt;='Range Tables'!$G$96,'Range Tables'!$B$96,BE79&lt;='Range Tables'!$G$97,'Range Tables'!$B$97,BE79&lt;='Range Tables'!$G$98,'Range Tables'!$B$98,BE79&lt;='Range Tables'!$G$99,'Range Tables'!$B$99,BE79&lt;='Range Tables'!$G$100,'Range Tables'!$B$100,BE79&lt;='Range Tables'!$G$101,'Range Tables'!$B$101,BE79&lt;='Range Tables'!$G$102,'Range Tables'!$B$102,BE79&lt;='Range Tables'!$G$103,'Range Tables'!$B$103)</f>
        <v>Resai</v>
      </c>
      <c r="BG79" s="112">
        <v>0.13470831501460645</v>
      </c>
      <c r="BH79" s="113" t="str">
        <f>ifs(BG79&lt;='Range Tables'!$G$112,'Range Tables'!$B$112,BG79&lt;='Range Tables'!$G$113,'Range Tables'!$B$113,BG79&lt;='Range Tables'!$G$114,'Range Tables'!$B$114)</f>
        <v>0</v>
      </c>
      <c r="BI79" s="117">
        <v>0.4766945441293954</v>
      </c>
      <c r="BJ79" s="113" t="str">
        <f>ifs(BI79&lt;='Range Tables'!$G$118,'Range Tables'!$B$118,BI79&lt;='Range Tables'!$G$119,'Range Tables'!$B$119)</f>
        <v>Valid</v>
      </c>
    </row>
    <row r="80">
      <c r="A80" s="85">
        <v>77.0</v>
      </c>
      <c r="B80" s="112">
        <v>0.06038440723805971</v>
      </c>
      <c r="C80" s="113" t="str">
        <f>ifs(B80&lt;='Range Tables'!$G$54,'Range Tables'!$B$54,B80&lt;='Range Tables'!$G$55,'Range Tables'!$B$55,B80&lt;='Range Tables'!$G$56,'Range Tables'!$B$56,B80&lt;='Range Tables'!$G$57,'Range Tables'!$B$57,B80&lt;='Range Tables'!$G$58,'Range Tables'!$B$58,B80&lt;='Range Tables'!$G$59,'Range Tables'!$B$59,B80&lt;='Range Tables'!$G$60,'Range Tables'!$B$60,B80&lt;='Range Tables'!$G$61,'Range Tables'!$B$61,B80&lt;='Range Tables'!$G$63,'Range Tables'!$B$63,B80&lt;='Range Tables'!$G$64,'Range Tables'!$B$64,B80&lt;='Range Tables'!$G$66,'Range Tables'!$B$66)</f>
        <v>0 - 30</v>
      </c>
      <c r="D80" s="113">
        <f>IFERROR(__xludf.DUMMYFUNCTION("SPLIT(C80,""-"")"),0.0)</f>
        <v>0</v>
      </c>
      <c r="E80" s="113">
        <f>IFERROR(__xludf.DUMMYFUNCTION("""COMPUTED_VALUE"""),30.0)</f>
        <v>30</v>
      </c>
      <c r="F80" s="114">
        <f t="shared" si="40"/>
        <v>1.811532217</v>
      </c>
      <c r="G80" s="112">
        <v>0.11638795070555075</v>
      </c>
      <c r="H80" s="113" t="str">
        <f>ifs(G80&lt;='Range Tables'!$G$86,'Range Tables'!$B$86,G80&lt;='Range Tables'!$G$87,'Range Tables'!$B$87,G80&lt;='Range Tables'!$G$88,'Range Tables'!$B$88,G80&lt;='Range Tables'!$G$89,'Range Tables'!$B$89,G80&lt;='Range Tables'!$G$90,'Range Tables'!$B$90,G80&lt;='Range Tables'!$G$91,'Range Tables'!$B$91)</f>
        <v>Car</v>
      </c>
      <c r="I80" s="112">
        <v>0.8615765160646508</v>
      </c>
      <c r="J80" s="113" t="str">
        <f>IFS(
  H80="Car", IF(I80&lt;='Range Tables'!$G$19, 'Range Tables'!$B$19, 'Range Tables'!$B$20), 
  H80="Bike", IF(I80&lt;='Range Tables'!$G$25, 'Range Tables'!$B$25, 'Range Tables'!$B$26), 
  H80="Scooter", IF(I80&lt;='Range Tables'!$G$31, 'Range Tables'!$B$31, 'Range Tables'!$B$32), 
  H80="Auto", IF(I80&lt;='Range Tables'!$G$37, 'Range Tables'!$B$37, 'Range Tables'!$B$38), 
  H80="Carriers*", IF(I80&lt;='Range Tables'!$G$43, 'Range Tables'!$B$43, 'Range Tables'!$B$44), 
  H80="Van*", IF(I80&lt;='Range Tables'!$G$50, 'Range Tables'!$B$50, 'Range Tables'!$B$49)
)</f>
        <v>Petrol</v>
      </c>
      <c r="K80" s="112">
        <v>0.10290994686192656</v>
      </c>
      <c r="L80" s="113">
        <f>if(J80="Petrol",ifs(K80&lt;='Range Tables'!$G$5,'Range Tables'!$B$5,K80&lt;='Range Tables'!$G$6,'Range Tables'!$B$6,K80&lt;='Range Tables'!$G$7,'Range Tables'!$B$7),ifs(K80&lt;='Range Tables'!$G$13,'Range Tables'!$B$13,K80&lt;='Range Tables'!$G$14,'Range Tables'!$B$14))</f>
        <v>2</v>
      </c>
      <c r="M80" s="112">
        <v>0.8540947865908202</v>
      </c>
      <c r="N80" s="113" t="str">
        <f>ifs(H80="Car",ifs(M80&lt;='Range Tables'!$G$125,'Range Tables'!$B$125,M80&lt;='Range Tables'!$G$126,'Range Tables'!$B$126,M80&lt;='Range Tables'!$G$127,'Range Tables'!$B$127,M80&lt;='Range Tables'!$G$128,'Range Tables'!$B$128,M80&lt;='Range Tables'!$G$129,'Range Tables'!$B$129,'Range Tables'!$G$131,'Range Tables'!$B$131),H80="Bike",ifs(M80&lt;='Range Tables'!$G$136,'Range Tables'!$B$136,M80&lt;='Range Tables'!$G$137,'Range Tables'!$B$137,M80&lt;='Range Tables'!$G$138,'Range Tables'!$B$138,M80&lt;='Range Tables'!$G$142,'Range Tables'!$B$142),H80="Scooter",ifs(M80&lt;='Range Tables'!$G$148,'Range Tables'!$B$148,M80&lt;='Range Tables'!$G$149,'Range Tables'!$B$149,M80&lt;='Range Tables'!$G$150,'Range Tables'!$B$150,M80&lt;='Range Tables'!$G$151,'Range Tables'!$B$151),H80="Auto",ifs(M80&lt;='Range Tables'!$G$161,'Range Tables'!$B$161,M80&lt;='Range Tables'!$G$162,'Range Tables'!$B$162,M80&lt;='Range Tables'!$G$163,'Range Tables'!$B$163,M80&lt;='Range Tables'!$G$164,'Range Tables'!$B$164),H80="Carriers*",ifs(M80&lt;='Range Tables'!$G$173,'Range Tables'!$B$173,M80&lt;='Range Tables'!$G$174,'Range Tables'!$B$174,M80&lt;='Range Tables'!$G$175,'Range Tables'!$B$175,M80&lt;='Range Tables'!$G$176,'Range Tables'!$B$176,M80&lt;='Range Tables'!$G$177,'Range Tables'!$B$177,M80&lt;='Range Tables'!$G$179,'Range Tables'!$B$179),H80="Van*",ifs(M80&lt;='Range Tables'!$G$186,'Range Tables'!$B$186))</f>
        <v>180 - 240</v>
      </c>
      <c r="O80" s="113">
        <f>IFERROR(__xludf.DUMMYFUNCTION("SPLIT(N80,""-"")"),180.0)</f>
        <v>180</v>
      </c>
      <c r="P80" s="113">
        <f>IFERROR(__xludf.DUMMYFUNCTION("""COMPUTED_VALUE"""),240.0)</f>
        <v>240</v>
      </c>
      <c r="Q80" s="114">
        <f t="shared" si="2"/>
        <v>231.2456872</v>
      </c>
      <c r="R80" s="115">
        <f t="shared" si="3"/>
        <v>0.06770054125</v>
      </c>
      <c r="S80" s="114">
        <f t="shared" si="39"/>
        <v>5849.326764</v>
      </c>
      <c r="T80" s="113" t="str">
        <f t="shared" si="4"/>
        <v>no</v>
      </c>
      <c r="U80" s="115">
        <f t="shared" si="5"/>
        <v>0</v>
      </c>
      <c r="V80" s="113">
        <f t="shared" si="34"/>
        <v>0</v>
      </c>
      <c r="W80" s="115">
        <f t="shared" si="6"/>
        <v>0</v>
      </c>
      <c r="X80" s="85">
        <f t="shared" si="7"/>
        <v>0</v>
      </c>
      <c r="Y80" s="116">
        <f t="shared" si="8"/>
        <v>0</v>
      </c>
      <c r="Z80" s="113">
        <f t="shared" si="9"/>
        <v>0</v>
      </c>
      <c r="AA80" s="113" t="str">
        <f t="shared" si="10"/>
        <v>yes</v>
      </c>
      <c r="AB80" s="115">
        <f t="shared" si="11"/>
        <v>0</v>
      </c>
      <c r="AC80" s="113">
        <f t="shared" si="35"/>
        <v>0</v>
      </c>
      <c r="AD80" s="116">
        <f t="shared" si="12"/>
        <v>0.06770054125</v>
      </c>
      <c r="AE80" s="114">
        <f t="shared" si="13"/>
        <v>5849.326764</v>
      </c>
      <c r="AF80" s="116">
        <f t="shared" si="14"/>
        <v>0.07037699596</v>
      </c>
      <c r="AG80" s="114">
        <f t="shared" si="15"/>
        <v>6080.572451</v>
      </c>
      <c r="AH80" s="113" t="str">
        <f t="shared" si="16"/>
        <v>no</v>
      </c>
      <c r="AI80" s="115">
        <f t="shared" si="17"/>
        <v>0</v>
      </c>
      <c r="AJ80" s="113">
        <f t="shared" si="36"/>
        <v>0</v>
      </c>
      <c r="AK80" s="116">
        <f t="shared" si="18"/>
        <v>0</v>
      </c>
      <c r="AL80" s="113">
        <f t="shared" si="19"/>
        <v>0</v>
      </c>
      <c r="AM80" s="115">
        <f t="shared" si="20"/>
        <v>0</v>
      </c>
      <c r="AN80" s="85">
        <f t="shared" si="21"/>
        <v>0</v>
      </c>
      <c r="AO80" s="113" t="str">
        <f t="shared" si="22"/>
        <v>no</v>
      </c>
      <c r="AP80" s="115">
        <f t="shared" si="23"/>
        <v>0</v>
      </c>
      <c r="AQ80" s="113">
        <f t="shared" si="37"/>
        <v>0</v>
      </c>
      <c r="AR80" s="116">
        <f t="shared" si="24"/>
        <v>0</v>
      </c>
      <c r="AS80" s="113">
        <f t="shared" si="25"/>
        <v>0</v>
      </c>
      <c r="AT80" s="116">
        <f t="shared" si="26"/>
        <v>0</v>
      </c>
      <c r="AU80" s="113">
        <f t="shared" si="27"/>
        <v>0</v>
      </c>
      <c r="AV80" s="113" t="str">
        <f t="shared" si="28"/>
        <v>no</v>
      </c>
      <c r="AW80" s="115">
        <f t="shared" si="29"/>
        <v>0</v>
      </c>
      <c r="AX80" s="85">
        <f t="shared" si="38"/>
        <v>0</v>
      </c>
      <c r="AY80" s="116">
        <f t="shared" si="30"/>
        <v>0</v>
      </c>
      <c r="AZ80" s="113">
        <f t="shared" si="31"/>
        <v>0</v>
      </c>
      <c r="BA80" s="116">
        <f t="shared" si="32"/>
        <v>0</v>
      </c>
      <c r="BB80" s="113">
        <f t="shared" si="33"/>
        <v>0</v>
      </c>
      <c r="BC80" s="112">
        <v>0.6430018135114403</v>
      </c>
      <c r="BD80" s="113" t="str">
        <f>ifs(BC80&lt;='Range Tables'!$G$81,'Range Tables'!$B$81,BC80&lt;='Range Tables'!$G$82,'Range Tables'!$B$82)</f>
        <v>Offline*</v>
      </c>
      <c r="BE80" s="112">
        <v>0.7463883359505296</v>
      </c>
      <c r="BF80" s="112" t="str">
        <f>ifs(BE80&lt;='Range Tables'!$G$95,'Range Tables'!$B$95,BE80&lt;='Range Tables'!$G$96,'Range Tables'!$B$96,BE80&lt;='Range Tables'!$G$97,'Range Tables'!$B$97,BE80&lt;='Range Tables'!$G$98,'Range Tables'!$B$98,BE80&lt;='Range Tables'!$G$99,'Range Tables'!$B$99,BE80&lt;='Range Tables'!$G$100,'Range Tables'!$B$100,BE80&lt;='Range Tables'!$G$101,'Range Tables'!$B$101,BE80&lt;='Range Tables'!$G$102,'Range Tables'!$B$102,BE80&lt;='Range Tables'!$G$103,'Range Tables'!$B$103)</f>
        <v>Jammu</v>
      </c>
      <c r="BG80" s="112">
        <v>0.14128258904955915</v>
      </c>
      <c r="BH80" s="113" t="str">
        <f>ifs(BG80&lt;='Range Tables'!$G$112,'Range Tables'!$B$112,BG80&lt;='Range Tables'!$G$113,'Range Tables'!$B$113,BG80&lt;='Range Tables'!$G$114,'Range Tables'!$B$114)</f>
        <v>0</v>
      </c>
      <c r="BI80" s="117">
        <v>1.815983690275358E-4</v>
      </c>
      <c r="BJ80" s="113" t="str">
        <f>ifs(BI80&lt;='Range Tables'!$G$118,'Range Tables'!$B$118,BI80&lt;='Range Tables'!$G$119,'Range Tables'!$B$119)</f>
        <v>Valid</v>
      </c>
    </row>
    <row r="81">
      <c r="A81" s="85">
        <v>78.0</v>
      </c>
      <c r="B81" s="112">
        <v>0.39615474329638056</v>
      </c>
      <c r="C81" s="113" t="str">
        <f>ifs(B81&lt;='Range Tables'!$G$54,'Range Tables'!$B$54,B81&lt;='Range Tables'!$G$55,'Range Tables'!$B$55,B81&lt;='Range Tables'!$G$56,'Range Tables'!$B$56,B81&lt;='Range Tables'!$G$57,'Range Tables'!$B$57,B81&lt;='Range Tables'!$G$58,'Range Tables'!$B$58,B81&lt;='Range Tables'!$G$59,'Range Tables'!$B$59,B81&lt;='Range Tables'!$G$60,'Range Tables'!$B$60,B81&lt;='Range Tables'!$G$61,'Range Tables'!$B$61,B81&lt;='Range Tables'!$G$63,'Range Tables'!$B$63,B81&lt;='Range Tables'!$G$64,'Range Tables'!$B$64,B81&lt;='Range Tables'!$G$66,'Range Tables'!$B$66)</f>
        <v>30 - 60 </v>
      </c>
      <c r="D81" s="113">
        <f>IFERROR(__xludf.DUMMYFUNCTION("SPLIT(C81,""-"")"),30.0)</f>
        <v>30</v>
      </c>
      <c r="E81" s="113">
        <f>IFERROR(__xludf.DUMMYFUNCTION("""COMPUTED_VALUE"""),60.0)</f>
        <v>60</v>
      </c>
      <c r="F81" s="114">
        <f t="shared" si="40"/>
        <v>41.8846423</v>
      </c>
      <c r="G81" s="112">
        <v>0.03299559165736521</v>
      </c>
      <c r="H81" s="113" t="str">
        <f>ifs(G81&lt;='Range Tables'!$G$86,'Range Tables'!$B$86,G81&lt;='Range Tables'!$G$87,'Range Tables'!$B$87,G81&lt;='Range Tables'!$G$88,'Range Tables'!$B$88,G81&lt;='Range Tables'!$G$89,'Range Tables'!$B$89,G81&lt;='Range Tables'!$G$90,'Range Tables'!$B$90,G81&lt;='Range Tables'!$G$91,'Range Tables'!$B$91)</f>
        <v>Car</v>
      </c>
      <c r="I81" s="112">
        <v>0.994748948042569</v>
      </c>
      <c r="J81" s="113" t="str">
        <f>IFS(
  H81="Car", IF(I81&lt;='Range Tables'!$G$19, 'Range Tables'!$B$19, 'Range Tables'!$B$20), 
  H81="Bike", IF(I81&lt;='Range Tables'!$G$25, 'Range Tables'!$B$25, 'Range Tables'!$B$26), 
  H81="Scooter", IF(I81&lt;='Range Tables'!$G$31, 'Range Tables'!$B$31, 'Range Tables'!$B$32), 
  H81="Auto", IF(I81&lt;='Range Tables'!$G$37, 'Range Tables'!$B$37, 'Range Tables'!$B$38), 
  H81="Carriers*", IF(I81&lt;='Range Tables'!$G$43, 'Range Tables'!$B$43, 'Range Tables'!$B$44), 
  H81="Van*", IF(I81&lt;='Range Tables'!$G$50, 'Range Tables'!$B$50, 'Range Tables'!$B$49)
)</f>
        <v>Diesel</v>
      </c>
      <c r="K81" s="112">
        <v>0.7338632166992801</v>
      </c>
      <c r="L81" s="113">
        <f>if(J81="Petrol",ifs(K81&lt;='Range Tables'!$G$5,'Range Tables'!$B$5,K81&lt;='Range Tables'!$G$6,'Range Tables'!$B$6,K81&lt;='Range Tables'!$G$7,'Range Tables'!$B$7),ifs(K81&lt;='Range Tables'!$G$13,'Range Tables'!$B$13,K81&lt;='Range Tables'!$G$14,'Range Tables'!$B$14))</f>
        <v>1</v>
      </c>
      <c r="M81" s="112">
        <v>0.014708542004219782</v>
      </c>
      <c r="N81" s="113" t="str">
        <f>ifs(H81="Car",ifs(M81&lt;='Range Tables'!$G$125,'Range Tables'!$B$125,M81&lt;='Range Tables'!$G$126,'Range Tables'!$B$126,M81&lt;='Range Tables'!$G$127,'Range Tables'!$B$127,M81&lt;='Range Tables'!$G$128,'Range Tables'!$B$128,M81&lt;='Range Tables'!$G$129,'Range Tables'!$B$129,'Range Tables'!$G$131,'Range Tables'!$B$131),H81="Bike",ifs(M81&lt;='Range Tables'!$G$136,'Range Tables'!$B$136,M81&lt;='Range Tables'!$G$137,'Range Tables'!$B$137,M81&lt;='Range Tables'!$G$138,'Range Tables'!$B$138,M81&lt;='Range Tables'!$G$142,'Range Tables'!$B$142),H81="Scooter",ifs(M81&lt;='Range Tables'!$G$148,'Range Tables'!$B$148,M81&lt;='Range Tables'!$G$149,'Range Tables'!$B$149,M81&lt;='Range Tables'!$G$150,'Range Tables'!$B$150,M81&lt;='Range Tables'!$G$151,'Range Tables'!$B$151),H81="Auto",ifs(M81&lt;='Range Tables'!$G$161,'Range Tables'!$B$161,M81&lt;='Range Tables'!$G$162,'Range Tables'!$B$162,M81&lt;='Range Tables'!$G$163,'Range Tables'!$B$163,M81&lt;='Range Tables'!$G$164,'Range Tables'!$B$164),H81="Carriers*",ifs(M81&lt;='Range Tables'!$G$173,'Range Tables'!$B$173,M81&lt;='Range Tables'!$G$174,'Range Tables'!$B$174,M81&lt;='Range Tables'!$G$175,'Range Tables'!$B$175,M81&lt;='Range Tables'!$G$176,'Range Tables'!$B$176,M81&lt;='Range Tables'!$G$177,'Range Tables'!$B$177,M81&lt;='Range Tables'!$G$179,'Range Tables'!$B$179),H81="Van*",ifs(M81&lt;='Range Tables'!$G$186,'Range Tables'!$B$186))</f>
        <v>60 - 120</v>
      </c>
      <c r="O81" s="113">
        <f>IFERROR(__xludf.DUMMYFUNCTION("SPLIT(N81,""-"")"),60.0)</f>
        <v>60</v>
      </c>
      <c r="P81" s="113">
        <f>IFERROR(__xludf.DUMMYFUNCTION("""COMPUTED_VALUE"""),120.0)</f>
        <v>120</v>
      </c>
      <c r="Q81" s="114">
        <f t="shared" si="2"/>
        <v>60.88251252</v>
      </c>
      <c r="R81" s="115">
        <f t="shared" si="3"/>
        <v>0.06772150806</v>
      </c>
      <c r="S81" s="114">
        <f t="shared" si="39"/>
        <v>5851.138296</v>
      </c>
      <c r="T81" s="113" t="str">
        <f t="shared" si="4"/>
        <v>yes</v>
      </c>
      <c r="U81" s="115">
        <f t="shared" si="5"/>
        <v>0</v>
      </c>
      <c r="V81" s="113">
        <f t="shared" si="34"/>
        <v>0</v>
      </c>
      <c r="W81" s="115">
        <f t="shared" si="6"/>
        <v>0.06772150806</v>
      </c>
      <c r="X81" s="118">
        <f t="shared" si="7"/>
        <v>5851.138296</v>
      </c>
      <c r="Y81" s="116">
        <f t="shared" si="8"/>
        <v>0.06842616677</v>
      </c>
      <c r="Z81" s="114">
        <f t="shared" si="9"/>
        <v>5912.020809</v>
      </c>
      <c r="AA81" s="113" t="str">
        <f t="shared" si="10"/>
        <v>no</v>
      </c>
      <c r="AB81" s="115">
        <f t="shared" si="11"/>
        <v>0</v>
      </c>
      <c r="AC81" s="113">
        <f t="shared" si="35"/>
        <v>0</v>
      </c>
      <c r="AD81" s="116">
        <f t="shared" si="12"/>
        <v>0</v>
      </c>
      <c r="AE81" s="113">
        <f t="shared" si="13"/>
        <v>0</v>
      </c>
      <c r="AF81" s="116">
        <f t="shared" si="14"/>
        <v>0</v>
      </c>
      <c r="AG81" s="113">
        <f t="shared" si="15"/>
        <v>0</v>
      </c>
      <c r="AH81" s="113" t="str">
        <f t="shared" si="16"/>
        <v>no</v>
      </c>
      <c r="AI81" s="115">
        <f t="shared" si="17"/>
        <v>0</v>
      </c>
      <c r="AJ81" s="113">
        <f t="shared" si="36"/>
        <v>0</v>
      </c>
      <c r="AK81" s="116">
        <f t="shared" si="18"/>
        <v>0</v>
      </c>
      <c r="AL81" s="113">
        <f t="shared" si="19"/>
        <v>0</v>
      </c>
      <c r="AM81" s="115">
        <f t="shared" si="20"/>
        <v>0</v>
      </c>
      <c r="AN81" s="85">
        <f t="shared" si="21"/>
        <v>0</v>
      </c>
      <c r="AO81" s="113" t="str">
        <f t="shared" si="22"/>
        <v>no</v>
      </c>
      <c r="AP81" s="115">
        <f t="shared" si="23"/>
        <v>0</v>
      </c>
      <c r="AQ81" s="113">
        <f t="shared" si="37"/>
        <v>0</v>
      </c>
      <c r="AR81" s="116">
        <f t="shared" si="24"/>
        <v>0</v>
      </c>
      <c r="AS81" s="113">
        <f t="shared" si="25"/>
        <v>0</v>
      </c>
      <c r="AT81" s="116">
        <f t="shared" si="26"/>
        <v>0</v>
      </c>
      <c r="AU81" s="113">
        <f t="shared" si="27"/>
        <v>0</v>
      </c>
      <c r="AV81" s="113" t="str">
        <f t="shared" si="28"/>
        <v>no</v>
      </c>
      <c r="AW81" s="115">
        <f t="shared" si="29"/>
        <v>0</v>
      </c>
      <c r="AX81" s="85">
        <f t="shared" si="38"/>
        <v>0</v>
      </c>
      <c r="AY81" s="116">
        <f t="shared" si="30"/>
        <v>0</v>
      </c>
      <c r="AZ81" s="113">
        <f t="shared" si="31"/>
        <v>0</v>
      </c>
      <c r="BA81" s="116">
        <f t="shared" si="32"/>
        <v>0</v>
      </c>
      <c r="BB81" s="113">
        <f t="shared" si="33"/>
        <v>0</v>
      </c>
      <c r="BC81" s="112">
        <v>0.270649977553033</v>
      </c>
      <c r="BD81" s="113" t="str">
        <f>ifs(BC81&lt;='Range Tables'!$G$81,'Range Tables'!$B$81,BC81&lt;='Range Tables'!$G$82,'Range Tables'!$B$82)</f>
        <v>Online*</v>
      </c>
      <c r="BE81" s="112">
        <v>0.7125312931206239</v>
      </c>
      <c r="BF81" s="112" t="str">
        <f>ifs(BE81&lt;='Range Tables'!$G$95,'Range Tables'!$B$95,BE81&lt;='Range Tables'!$G$96,'Range Tables'!$B$96,BE81&lt;='Range Tables'!$G$97,'Range Tables'!$B$97,BE81&lt;='Range Tables'!$G$98,'Range Tables'!$B$98,BE81&lt;='Range Tables'!$G$99,'Range Tables'!$B$99,BE81&lt;='Range Tables'!$G$100,'Range Tables'!$B$100,BE81&lt;='Range Tables'!$G$101,'Range Tables'!$B$101,BE81&lt;='Range Tables'!$G$102,'Range Tables'!$B$102,BE81&lt;='Range Tables'!$G$103,'Range Tables'!$B$103)</f>
        <v>Jammu</v>
      </c>
      <c r="BG81" s="112">
        <v>0.9519293270170386</v>
      </c>
      <c r="BH81" s="113" t="str">
        <f>ifs(BG81&lt;='Range Tables'!$G$112,'Range Tables'!$B$112,BG81&lt;='Range Tables'!$G$113,'Range Tables'!$B$113,BG81&lt;='Range Tables'!$G$114,'Range Tables'!$B$114)</f>
        <v>1-5</v>
      </c>
      <c r="BI81" s="117">
        <v>0.27946734545157925</v>
      </c>
      <c r="BJ81" s="113" t="str">
        <f>ifs(BI81&lt;='Range Tables'!$G$118,'Range Tables'!$B$118,BI81&lt;='Range Tables'!$G$119,'Range Tables'!$B$119)</f>
        <v>Valid</v>
      </c>
    </row>
    <row r="82">
      <c r="A82" s="85">
        <v>79.0</v>
      </c>
      <c r="B82" s="112">
        <v>0.7968216804296069</v>
      </c>
      <c r="C82" s="113" t="str">
        <f>ifs(B82&lt;='Range Tables'!$G$54,'Range Tables'!$B$54,B82&lt;='Range Tables'!$G$55,'Range Tables'!$B$55,B82&lt;='Range Tables'!$G$56,'Range Tables'!$B$56,B82&lt;='Range Tables'!$G$57,'Range Tables'!$B$57,B82&lt;='Range Tables'!$G$58,'Range Tables'!$B$58,B82&lt;='Range Tables'!$G$59,'Range Tables'!$B$59,B82&lt;='Range Tables'!$G$60,'Range Tables'!$B$60,B82&lt;='Range Tables'!$G$61,'Range Tables'!$B$61,B82&lt;='Range Tables'!$G$63,'Range Tables'!$B$63,B82&lt;='Range Tables'!$G$64,'Range Tables'!$B$64,B82&lt;='Range Tables'!$G$66,'Range Tables'!$B$66)</f>
        <v>120 - 150</v>
      </c>
      <c r="D82" s="113">
        <f>IFERROR(__xludf.DUMMYFUNCTION("SPLIT(C82,""-"")"),120.0)</f>
        <v>120</v>
      </c>
      <c r="E82" s="113">
        <f>IFERROR(__xludf.DUMMYFUNCTION("""COMPUTED_VALUE"""),150.0)</f>
        <v>150</v>
      </c>
      <c r="F82" s="114">
        <f t="shared" si="40"/>
        <v>143.9046504</v>
      </c>
      <c r="G82" s="112">
        <v>0.7727175959187659</v>
      </c>
      <c r="H82" s="113" t="str">
        <f>ifs(G82&lt;='Range Tables'!$G$86,'Range Tables'!$B$86,G82&lt;='Range Tables'!$G$87,'Range Tables'!$B$87,G82&lt;='Range Tables'!$G$88,'Range Tables'!$B$88,G82&lt;='Range Tables'!$G$89,'Range Tables'!$B$89,G82&lt;='Range Tables'!$G$90,'Range Tables'!$B$90,G82&lt;='Range Tables'!$G$91,'Range Tables'!$B$91)</f>
        <v>Scooter</v>
      </c>
      <c r="I82" s="112">
        <v>0.15506541444589006</v>
      </c>
      <c r="J82" s="113" t="str">
        <f>IFS(
  H82="Car", IF(I82&lt;='Range Tables'!$G$19, 'Range Tables'!$B$19, 'Range Tables'!$B$20), 
  H82="Bike", IF(I82&lt;='Range Tables'!$G$25, 'Range Tables'!$B$25, 'Range Tables'!$B$26), 
  H82="Scooter", IF(I82&lt;='Range Tables'!$G$31, 'Range Tables'!$B$31, 'Range Tables'!$B$32), 
  H82="Auto", IF(I82&lt;='Range Tables'!$G$37, 'Range Tables'!$B$37, 'Range Tables'!$B$38), 
  H82="Carriers*", IF(I82&lt;='Range Tables'!$G$43, 'Range Tables'!$B$43, 'Range Tables'!$B$44), 
  H82="Van*", IF(I82&lt;='Range Tables'!$G$50, 'Range Tables'!$B$50, 'Range Tables'!$B$49)
)</f>
        <v>Petrol</v>
      </c>
      <c r="K82" s="112">
        <v>0.6137628587768401</v>
      </c>
      <c r="L82" s="113">
        <f>if(J82="Petrol",ifs(K82&lt;='Range Tables'!$G$5,'Range Tables'!$B$5,K82&lt;='Range Tables'!$G$6,'Range Tables'!$B$6,K82&lt;='Range Tables'!$G$7,'Range Tables'!$B$7),ifs(K82&lt;='Range Tables'!$G$13,'Range Tables'!$B$13,K82&lt;='Range Tables'!$G$14,'Range Tables'!$B$14))</f>
        <v>3</v>
      </c>
      <c r="M82" s="112">
        <v>0.3797992402205138</v>
      </c>
      <c r="N82" s="113" t="str">
        <f>ifs(H82="Car",ifs(M82&lt;='Range Tables'!$G$125,'Range Tables'!$B$125,M82&lt;='Range Tables'!$G$126,'Range Tables'!$B$126,M82&lt;='Range Tables'!$G$127,'Range Tables'!$B$127,M82&lt;='Range Tables'!$G$128,'Range Tables'!$B$128,M82&lt;='Range Tables'!$G$129,'Range Tables'!$B$129,'Range Tables'!$G$131,'Range Tables'!$B$131),H82="Bike",ifs(M82&lt;='Range Tables'!$G$136,'Range Tables'!$B$136,M82&lt;='Range Tables'!$G$137,'Range Tables'!$B$137,M82&lt;='Range Tables'!$G$138,'Range Tables'!$B$138,M82&lt;='Range Tables'!$G$142,'Range Tables'!$B$142),H82="Scooter",ifs(M82&lt;='Range Tables'!$G$148,'Range Tables'!$B$148,M82&lt;='Range Tables'!$G$149,'Range Tables'!$B$149,M82&lt;='Range Tables'!$G$150,'Range Tables'!$B$150,M82&lt;='Range Tables'!$G$151,'Range Tables'!$B$151),H82="Auto",ifs(M82&lt;='Range Tables'!$G$161,'Range Tables'!$B$161,M82&lt;='Range Tables'!$G$162,'Range Tables'!$B$162,M82&lt;='Range Tables'!$G$163,'Range Tables'!$B$163,M82&lt;='Range Tables'!$G$164,'Range Tables'!$B$164),H82="Carriers*",ifs(M82&lt;='Range Tables'!$G$173,'Range Tables'!$B$173,M82&lt;='Range Tables'!$G$174,'Range Tables'!$B$174,M82&lt;='Range Tables'!$G$175,'Range Tables'!$B$175,M82&lt;='Range Tables'!$G$176,'Range Tables'!$B$176,M82&lt;='Range Tables'!$G$177,'Range Tables'!$B$177,M82&lt;='Range Tables'!$G$179,'Range Tables'!$B$179),H82="Van*",ifs(M82&lt;='Range Tables'!$G$186,'Range Tables'!$B$186))</f>
        <v>60 - 120</v>
      </c>
      <c r="O82" s="113">
        <f>IFERROR(__xludf.DUMMYFUNCTION("SPLIT(N82,""-"")"),60.0)</f>
        <v>60</v>
      </c>
      <c r="P82" s="113">
        <f>IFERROR(__xludf.DUMMYFUNCTION("""COMPUTED_VALUE"""),120.0)</f>
        <v>120</v>
      </c>
      <c r="Q82" s="114">
        <f t="shared" si="2"/>
        <v>82.78795441</v>
      </c>
      <c r="R82" s="115">
        <f t="shared" si="3"/>
        <v>0.06820628401</v>
      </c>
      <c r="S82" s="114">
        <f t="shared" si="39"/>
        <v>5893.022939</v>
      </c>
      <c r="T82" s="113" t="str">
        <f t="shared" si="4"/>
        <v>no</v>
      </c>
      <c r="U82" s="115">
        <f t="shared" si="5"/>
        <v>0</v>
      </c>
      <c r="V82" s="113">
        <f t="shared" si="34"/>
        <v>0</v>
      </c>
      <c r="W82" s="115">
        <f t="shared" si="6"/>
        <v>0</v>
      </c>
      <c r="X82" s="85">
        <f t="shared" si="7"/>
        <v>0</v>
      </c>
      <c r="Y82" s="116">
        <f t="shared" si="8"/>
        <v>0</v>
      </c>
      <c r="Z82" s="113">
        <f t="shared" si="9"/>
        <v>0</v>
      </c>
      <c r="AA82" s="113" t="str">
        <f t="shared" si="10"/>
        <v>no</v>
      </c>
      <c r="AB82" s="115">
        <f t="shared" si="11"/>
        <v>0</v>
      </c>
      <c r="AC82" s="113">
        <f t="shared" si="35"/>
        <v>0</v>
      </c>
      <c r="AD82" s="116">
        <f t="shared" si="12"/>
        <v>0</v>
      </c>
      <c r="AE82" s="113">
        <f t="shared" si="13"/>
        <v>0</v>
      </c>
      <c r="AF82" s="116">
        <f t="shared" si="14"/>
        <v>0</v>
      </c>
      <c r="AG82" s="113">
        <f t="shared" si="15"/>
        <v>0</v>
      </c>
      <c r="AH82" s="113" t="str">
        <f t="shared" si="16"/>
        <v>yes</v>
      </c>
      <c r="AI82" s="115">
        <f t="shared" si="17"/>
        <v>0</v>
      </c>
      <c r="AJ82" s="113">
        <f t="shared" si="36"/>
        <v>0</v>
      </c>
      <c r="AK82" s="116">
        <f t="shared" si="18"/>
        <v>0.06820628401</v>
      </c>
      <c r="AL82" s="114">
        <f t="shared" si="19"/>
        <v>5893.022939</v>
      </c>
      <c r="AM82" s="115">
        <f t="shared" si="20"/>
        <v>0.06916447793</v>
      </c>
      <c r="AN82" s="118">
        <f t="shared" si="21"/>
        <v>5975.810893</v>
      </c>
      <c r="AO82" s="113" t="str">
        <f t="shared" si="22"/>
        <v>no</v>
      </c>
      <c r="AP82" s="115">
        <f t="shared" si="23"/>
        <v>0</v>
      </c>
      <c r="AQ82" s="113">
        <f t="shared" si="37"/>
        <v>0</v>
      </c>
      <c r="AR82" s="116">
        <f t="shared" si="24"/>
        <v>0</v>
      </c>
      <c r="AS82" s="113">
        <f t="shared" si="25"/>
        <v>0</v>
      </c>
      <c r="AT82" s="116">
        <f t="shared" si="26"/>
        <v>0</v>
      </c>
      <c r="AU82" s="113">
        <f t="shared" si="27"/>
        <v>0</v>
      </c>
      <c r="AV82" s="113" t="str">
        <f t="shared" si="28"/>
        <v>no</v>
      </c>
      <c r="AW82" s="115">
        <f t="shared" si="29"/>
        <v>0</v>
      </c>
      <c r="AX82" s="85">
        <f t="shared" si="38"/>
        <v>0</v>
      </c>
      <c r="AY82" s="116">
        <f t="shared" si="30"/>
        <v>0</v>
      </c>
      <c r="AZ82" s="113">
        <f t="shared" si="31"/>
        <v>0</v>
      </c>
      <c r="BA82" s="116">
        <f t="shared" si="32"/>
        <v>0</v>
      </c>
      <c r="BB82" s="113">
        <f t="shared" si="33"/>
        <v>0</v>
      </c>
      <c r="BC82" s="112">
        <v>0.6738379501806585</v>
      </c>
      <c r="BD82" s="113" t="str">
        <f>ifs(BC82&lt;='Range Tables'!$G$81,'Range Tables'!$B$81,BC82&lt;='Range Tables'!$G$82,'Range Tables'!$B$82)</f>
        <v>Offline*</v>
      </c>
      <c r="BE82" s="112">
        <v>0.5925737556808803</v>
      </c>
      <c r="BF82" s="112" t="str">
        <f>ifs(BE82&lt;='Range Tables'!$G$95,'Range Tables'!$B$95,BE82&lt;='Range Tables'!$G$96,'Range Tables'!$B$96,BE82&lt;='Range Tables'!$G$97,'Range Tables'!$B$97,BE82&lt;='Range Tables'!$G$98,'Range Tables'!$B$98,BE82&lt;='Range Tables'!$G$99,'Range Tables'!$B$99,BE82&lt;='Range Tables'!$G$100,'Range Tables'!$B$100,BE82&lt;='Range Tables'!$G$101,'Range Tables'!$B$101,BE82&lt;='Range Tables'!$G$102,'Range Tables'!$B$102,BE82&lt;='Range Tables'!$G$103,'Range Tables'!$B$103)</f>
        <v>Jammu</v>
      </c>
      <c r="BG82" s="112">
        <v>0.639103957791976</v>
      </c>
      <c r="BH82" s="113" t="str">
        <f>ifs(BG82&lt;='Range Tables'!$G$112,'Range Tables'!$B$112,BG82&lt;='Range Tables'!$G$113,'Range Tables'!$B$113,BG82&lt;='Range Tables'!$G$114,'Range Tables'!$B$114)</f>
        <v>0</v>
      </c>
      <c r="BI82" s="117">
        <v>0.022023386582931126</v>
      </c>
      <c r="BJ82" s="113" t="str">
        <f>ifs(BI82&lt;='Range Tables'!$G$118,'Range Tables'!$B$118,BI82&lt;='Range Tables'!$G$119,'Range Tables'!$B$119)</f>
        <v>Valid</v>
      </c>
    </row>
    <row r="83">
      <c r="A83" s="85">
        <v>80.0</v>
      </c>
      <c r="B83" s="112">
        <v>0.5106187189803133</v>
      </c>
      <c r="C83" s="113" t="str">
        <f>ifs(B83&lt;='Range Tables'!$G$54,'Range Tables'!$B$54,B83&lt;='Range Tables'!$G$55,'Range Tables'!$B$55,B83&lt;='Range Tables'!$G$56,'Range Tables'!$B$56,B83&lt;='Range Tables'!$G$57,'Range Tables'!$B$57,B83&lt;='Range Tables'!$G$58,'Range Tables'!$B$58,B83&lt;='Range Tables'!$G$59,'Range Tables'!$B$59,B83&lt;='Range Tables'!$G$60,'Range Tables'!$B$60,B83&lt;='Range Tables'!$G$61,'Range Tables'!$B$61,B83&lt;='Range Tables'!$G$63,'Range Tables'!$B$63,B83&lt;='Range Tables'!$G$64,'Range Tables'!$B$64,B83&lt;='Range Tables'!$G$66,'Range Tables'!$B$66)</f>
        <v>30 - 60 </v>
      </c>
      <c r="D83" s="113">
        <f>IFERROR(__xludf.DUMMYFUNCTION("SPLIT(C83,""-"")"),30.0)</f>
        <v>30</v>
      </c>
      <c r="E83" s="113">
        <f>IFERROR(__xludf.DUMMYFUNCTION("""COMPUTED_VALUE"""),60.0)</f>
        <v>60</v>
      </c>
      <c r="F83" s="114">
        <f t="shared" si="40"/>
        <v>45.31856157</v>
      </c>
      <c r="G83" s="112">
        <v>0.2770237628451151</v>
      </c>
      <c r="H83" s="113" t="str">
        <f>ifs(G83&lt;='Range Tables'!$G$86,'Range Tables'!$B$86,G83&lt;='Range Tables'!$G$87,'Range Tables'!$B$87,G83&lt;='Range Tables'!$G$88,'Range Tables'!$B$88,G83&lt;='Range Tables'!$G$89,'Range Tables'!$B$89,G83&lt;='Range Tables'!$G$90,'Range Tables'!$B$90,G83&lt;='Range Tables'!$G$91,'Range Tables'!$B$91)</f>
        <v>Car</v>
      </c>
      <c r="I83" s="112">
        <v>0.5803262207384103</v>
      </c>
      <c r="J83" s="113" t="str">
        <f>IFS(
  H83="Car", IF(I83&lt;='Range Tables'!$G$19, 'Range Tables'!$B$19, 'Range Tables'!$B$20), 
  H83="Bike", IF(I83&lt;='Range Tables'!$G$25, 'Range Tables'!$B$25, 'Range Tables'!$B$26), 
  H83="Scooter", IF(I83&lt;='Range Tables'!$G$31, 'Range Tables'!$B$31, 'Range Tables'!$B$32), 
  H83="Auto", IF(I83&lt;='Range Tables'!$G$37, 'Range Tables'!$B$37, 'Range Tables'!$B$38), 
  H83="Carriers*", IF(I83&lt;='Range Tables'!$G$43, 'Range Tables'!$B$43, 'Range Tables'!$B$44), 
  H83="Van*", IF(I83&lt;='Range Tables'!$G$50, 'Range Tables'!$B$50, 'Range Tables'!$B$49)
)</f>
        <v>Petrol</v>
      </c>
      <c r="K83" s="112">
        <v>0.8423414033929688</v>
      </c>
      <c r="L83" s="113">
        <f>if(J83="Petrol",ifs(K83&lt;='Range Tables'!$G$5,'Range Tables'!$B$5,K83&lt;='Range Tables'!$G$6,'Range Tables'!$B$6,K83&lt;='Range Tables'!$G$7,'Range Tables'!$B$7),ifs(K83&lt;='Range Tables'!$G$13,'Range Tables'!$B$13,K83&lt;='Range Tables'!$G$14,'Range Tables'!$B$14))</f>
        <v>4</v>
      </c>
      <c r="M83" s="112">
        <v>0.7325096502786972</v>
      </c>
      <c r="N83" s="113" t="str">
        <f>ifs(H83="Car",ifs(M83&lt;='Range Tables'!$G$125,'Range Tables'!$B$125,M83&lt;='Range Tables'!$G$126,'Range Tables'!$B$126,M83&lt;='Range Tables'!$G$127,'Range Tables'!$B$127,M83&lt;='Range Tables'!$G$128,'Range Tables'!$B$128,M83&lt;='Range Tables'!$G$129,'Range Tables'!$B$129,'Range Tables'!$G$131,'Range Tables'!$B$131),H83="Bike",ifs(M83&lt;='Range Tables'!$G$136,'Range Tables'!$B$136,M83&lt;='Range Tables'!$G$137,'Range Tables'!$B$137,M83&lt;='Range Tables'!$G$138,'Range Tables'!$B$138,M83&lt;='Range Tables'!$G$142,'Range Tables'!$B$142),H83="Scooter",ifs(M83&lt;='Range Tables'!$G$148,'Range Tables'!$B$148,M83&lt;='Range Tables'!$G$149,'Range Tables'!$B$149,M83&lt;='Range Tables'!$G$150,'Range Tables'!$B$150,M83&lt;='Range Tables'!$G$151,'Range Tables'!$B$151),H83="Auto",ifs(M83&lt;='Range Tables'!$G$161,'Range Tables'!$B$161,M83&lt;='Range Tables'!$G$162,'Range Tables'!$B$162,M83&lt;='Range Tables'!$G$163,'Range Tables'!$B$163,M83&lt;='Range Tables'!$G$164,'Range Tables'!$B$164),H83="Carriers*",ifs(M83&lt;='Range Tables'!$G$173,'Range Tables'!$B$173,M83&lt;='Range Tables'!$G$174,'Range Tables'!$B$174,M83&lt;='Range Tables'!$G$175,'Range Tables'!$B$175,M83&lt;='Range Tables'!$G$176,'Range Tables'!$B$176,M83&lt;='Range Tables'!$G$177,'Range Tables'!$B$177,M83&lt;='Range Tables'!$G$179,'Range Tables'!$B$179),H83="Van*",ifs(M83&lt;='Range Tables'!$G$186,'Range Tables'!$B$186))</f>
        <v>120 - 180</v>
      </c>
      <c r="O83" s="113">
        <f>IFERROR(__xludf.DUMMYFUNCTION("SPLIT(N83,""-"")"),120.0)</f>
        <v>120</v>
      </c>
      <c r="P83" s="113">
        <f>IFERROR(__xludf.DUMMYFUNCTION("""COMPUTED_VALUE"""),180.0)</f>
        <v>180</v>
      </c>
      <c r="Q83" s="114">
        <f t="shared" si="2"/>
        <v>163.950579</v>
      </c>
      <c r="R83" s="115">
        <f t="shared" si="3"/>
        <v>0.06987184709</v>
      </c>
      <c r="S83" s="114">
        <f t="shared" si="39"/>
        <v>6036.927589</v>
      </c>
      <c r="T83" s="113" t="str">
        <f t="shared" si="4"/>
        <v>no</v>
      </c>
      <c r="U83" s="115">
        <f t="shared" si="5"/>
        <v>0</v>
      </c>
      <c r="V83" s="113">
        <f t="shared" si="34"/>
        <v>0</v>
      </c>
      <c r="W83" s="115">
        <f t="shared" si="6"/>
        <v>0</v>
      </c>
      <c r="X83" s="85">
        <f t="shared" si="7"/>
        <v>0</v>
      </c>
      <c r="Y83" s="116">
        <f t="shared" si="8"/>
        <v>0</v>
      </c>
      <c r="Z83" s="113">
        <f t="shared" si="9"/>
        <v>0</v>
      </c>
      <c r="AA83" s="113" t="str">
        <f t="shared" si="10"/>
        <v>no</v>
      </c>
      <c r="AB83" s="115">
        <f t="shared" si="11"/>
        <v>0</v>
      </c>
      <c r="AC83" s="113">
        <f t="shared" si="35"/>
        <v>0</v>
      </c>
      <c r="AD83" s="116">
        <f t="shared" si="12"/>
        <v>0</v>
      </c>
      <c r="AE83" s="113">
        <f t="shared" si="13"/>
        <v>0</v>
      </c>
      <c r="AF83" s="116">
        <f t="shared" si="14"/>
        <v>0</v>
      </c>
      <c r="AG83" s="113">
        <f t="shared" si="15"/>
        <v>0</v>
      </c>
      <c r="AH83" s="113" t="str">
        <f t="shared" si="16"/>
        <v>no</v>
      </c>
      <c r="AI83" s="115">
        <f t="shared" si="17"/>
        <v>0</v>
      </c>
      <c r="AJ83" s="113">
        <f t="shared" si="36"/>
        <v>0</v>
      </c>
      <c r="AK83" s="116">
        <f t="shared" si="18"/>
        <v>0</v>
      </c>
      <c r="AL83" s="113">
        <f t="shared" si="19"/>
        <v>0</v>
      </c>
      <c r="AM83" s="115">
        <f t="shared" si="20"/>
        <v>0</v>
      </c>
      <c r="AN83" s="85">
        <f t="shared" si="21"/>
        <v>0</v>
      </c>
      <c r="AO83" s="113" t="str">
        <f t="shared" si="22"/>
        <v>yes</v>
      </c>
      <c r="AP83" s="115">
        <f t="shared" si="23"/>
        <v>0</v>
      </c>
      <c r="AQ83" s="113">
        <f t="shared" si="37"/>
        <v>0</v>
      </c>
      <c r="AR83" s="116">
        <f t="shared" si="24"/>
        <v>0.06987184709</v>
      </c>
      <c r="AS83" s="114">
        <f t="shared" si="25"/>
        <v>6036.927589</v>
      </c>
      <c r="AT83" s="116">
        <f t="shared" si="26"/>
        <v>0.07176942324</v>
      </c>
      <c r="AU83" s="114">
        <f t="shared" si="27"/>
        <v>6200.878168</v>
      </c>
      <c r="AV83" s="113" t="str">
        <f t="shared" si="28"/>
        <v>no</v>
      </c>
      <c r="AW83" s="115">
        <f t="shared" si="29"/>
        <v>0</v>
      </c>
      <c r="AX83" s="85">
        <f t="shared" si="38"/>
        <v>0</v>
      </c>
      <c r="AY83" s="116">
        <f t="shared" si="30"/>
        <v>0</v>
      </c>
      <c r="AZ83" s="113">
        <f t="shared" si="31"/>
        <v>0</v>
      </c>
      <c r="BA83" s="116">
        <f t="shared" si="32"/>
        <v>0</v>
      </c>
      <c r="BB83" s="113">
        <f t="shared" si="33"/>
        <v>0</v>
      </c>
      <c r="BC83" s="112">
        <v>0.028488915170988505</v>
      </c>
      <c r="BD83" s="113" t="str">
        <f>ifs(BC83&lt;='Range Tables'!$G$81,'Range Tables'!$B$81,BC83&lt;='Range Tables'!$G$82,'Range Tables'!$B$82)</f>
        <v>Online*</v>
      </c>
      <c r="BE83" s="112">
        <v>0.6097820372067732</v>
      </c>
      <c r="BF83" s="112" t="str">
        <f>ifs(BE83&lt;='Range Tables'!$G$95,'Range Tables'!$B$95,BE83&lt;='Range Tables'!$G$96,'Range Tables'!$B$96,BE83&lt;='Range Tables'!$G$97,'Range Tables'!$B$97,BE83&lt;='Range Tables'!$G$98,'Range Tables'!$B$98,BE83&lt;='Range Tables'!$G$99,'Range Tables'!$B$99,BE83&lt;='Range Tables'!$G$100,'Range Tables'!$B$100,BE83&lt;='Range Tables'!$G$101,'Range Tables'!$B$101,BE83&lt;='Range Tables'!$G$102,'Range Tables'!$B$102,BE83&lt;='Range Tables'!$G$103,'Range Tables'!$B$103)</f>
        <v>Jammu</v>
      </c>
      <c r="BG83" s="112">
        <v>0.11085923975548961</v>
      </c>
      <c r="BH83" s="113" t="str">
        <f>ifs(BG83&lt;='Range Tables'!$G$112,'Range Tables'!$B$112,BG83&lt;='Range Tables'!$G$113,'Range Tables'!$B$113,BG83&lt;='Range Tables'!$G$114,'Range Tables'!$B$114)</f>
        <v>0</v>
      </c>
      <c r="BI83" s="117">
        <v>0.7079820509352781</v>
      </c>
      <c r="BJ83" s="113" t="str">
        <f>ifs(BI83&lt;='Range Tables'!$G$118,'Range Tables'!$B$118,BI83&lt;='Range Tables'!$G$119,'Range Tables'!$B$119)</f>
        <v>Expired</v>
      </c>
    </row>
    <row r="84">
      <c r="A84" s="85">
        <v>81.0</v>
      </c>
      <c r="B84" s="112">
        <v>0.19689040144813563</v>
      </c>
      <c r="C84" s="113" t="str">
        <f>ifs(B84&lt;='Range Tables'!$G$54,'Range Tables'!$B$54,B84&lt;='Range Tables'!$G$55,'Range Tables'!$B$55,B84&lt;='Range Tables'!$G$56,'Range Tables'!$B$56,B84&lt;='Range Tables'!$G$57,'Range Tables'!$B$57,B84&lt;='Range Tables'!$G$58,'Range Tables'!$B$58,B84&lt;='Range Tables'!$G$59,'Range Tables'!$B$59,B84&lt;='Range Tables'!$G$60,'Range Tables'!$B$60,B84&lt;='Range Tables'!$G$61,'Range Tables'!$B$61,B84&lt;='Range Tables'!$G$63,'Range Tables'!$B$63,B84&lt;='Range Tables'!$G$64,'Range Tables'!$B$64,B84&lt;='Range Tables'!$G$66,'Range Tables'!$B$66)</f>
        <v>0 - 30</v>
      </c>
      <c r="D84" s="113">
        <f>IFERROR(__xludf.DUMMYFUNCTION("SPLIT(C84,""-"")"),0.0)</f>
        <v>0</v>
      </c>
      <c r="E84" s="113">
        <f>IFERROR(__xludf.DUMMYFUNCTION("""COMPUTED_VALUE"""),30.0)</f>
        <v>30</v>
      </c>
      <c r="F84" s="114">
        <f t="shared" si="40"/>
        <v>5.906712043</v>
      </c>
      <c r="G84" s="112">
        <v>0.6444821449575017</v>
      </c>
      <c r="H84" s="113" t="str">
        <f>ifs(G84&lt;='Range Tables'!$G$86,'Range Tables'!$B$86,G84&lt;='Range Tables'!$G$87,'Range Tables'!$B$87,G84&lt;='Range Tables'!$G$88,'Range Tables'!$B$88,G84&lt;='Range Tables'!$G$89,'Range Tables'!$B$89,G84&lt;='Range Tables'!$G$90,'Range Tables'!$B$90,G84&lt;='Range Tables'!$G$91,'Range Tables'!$B$91)</f>
        <v>Bike</v>
      </c>
      <c r="I84" s="112">
        <v>0.20102944827649238</v>
      </c>
      <c r="J84" s="113" t="str">
        <f>IFS(
  H84="Car", IF(I84&lt;='Range Tables'!$G$19, 'Range Tables'!$B$19, 'Range Tables'!$B$20), 
  H84="Bike", IF(I84&lt;='Range Tables'!$G$25, 'Range Tables'!$B$25, 'Range Tables'!$B$26), 
  H84="Scooter", IF(I84&lt;='Range Tables'!$G$31, 'Range Tables'!$B$31, 'Range Tables'!$B$32), 
  H84="Auto", IF(I84&lt;='Range Tables'!$G$37, 'Range Tables'!$B$37, 'Range Tables'!$B$38), 
  H84="Carriers*", IF(I84&lt;='Range Tables'!$G$43, 'Range Tables'!$B$43, 'Range Tables'!$B$44), 
  H84="Van*", IF(I84&lt;='Range Tables'!$G$50, 'Range Tables'!$B$50, 'Range Tables'!$B$49)
)</f>
        <v>Petrol</v>
      </c>
      <c r="K84" s="112">
        <v>0.7430826616800527</v>
      </c>
      <c r="L84" s="113">
        <f>if(J84="Petrol",ifs(K84&lt;='Range Tables'!$G$5,'Range Tables'!$B$5,K84&lt;='Range Tables'!$G$6,'Range Tables'!$B$6,K84&lt;='Range Tables'!$G$7,'Range Tables'!$B$7),ifs(K84&lt;='Range Tables'!$G$13,'Range Tables'!$B$13,K84&lt;='Range Tables'!$G$14,'Range Tables'!$B$14))</f>
        <v>3</v>
      </c>
      <c r="M84" s="112">
        <v>0.25825252481321004</v>
      </c>
      <c r="N84" s="113" t="str">
        <f>ifs(H84="Car",ifs(M84&lt;='Range Tables'!$G$125,'Range Tables'!$B$125,M84&lt;='Range Tables'!$G$126,'Range Tables'!$B$126,M84&lt;='Range Tables'!$G$127,'Range Tables'!$B$127,M84&lt;='Range Tables'!$G$128,'Range Tables'!$B$128,M84&lt;='Range Tables'!$G$129,'Range Tables'!$B$129,'Range Tables'!$G$131,'Range Tables'!$B$131),H84="Bike",ifs(M84&lt;='Range Tables'!$G$136,'Range Tables'!$B$136,M84&lt;='Range Tables'!$G$137,'Range Tables'!$B$137,M84&lt;='Range Tables'!$G$138,'Range Tables'!$B$138,M84&lt;='Range Tables'!$G$142,'Range Tables'!$B$142),H84="Scooter",ifs(M84&lt;='Range Tables'!$G$148,'Range Tables'!$B$148,M84&lt;='Range Tables'!$G$149,'Range Tables'!$B$149,M84&lt;='Range Tables'!$G$150,'Range Tables'!$B$150,M84&lt;='Range Tables'!$G$151,'Range Tables'!$B$151),H84="Auto",ifs(M84&lt;='Range Tables'!$G$161,'Range Tables'!$B$161,M84&lt;='Range Tables'!$G$162,'Range Tables'!$B$162,M84&lt;='Range Tables'!$G$163,'Range Tables'!$B$163,M84&lt;='Range Tables'!$G$164,'Range Tables'!$B$164),H84="Carriers*",ifs(M84&lt;='Range Tables'!$G$173,'Range Tables'!$B$173,M84&lt;='Range Tables'!$G$174,'Range Tables'!$B$174,M84&lt;='Range Tables'!$G$175,'Range Tables'!$B$175,M84&lt;='Range Tables'!$G$176,'Range Tables'!$B$176,M84&lt;='Range Tables'!$G$177,'Range Tables'!$B$177,M84&lt;='Range Tables'!$G$179,'Range Tables'!$B$179),H84="Van*",ifs(M84&lt;='Range Tables'!$G$186,'Range Tables'!$B$186))</f>
        <v>60 - 120</v>
      </c>
      <c r="O84" s="113">
        <f>IFERROR(__xludf.DUMMYFUNCTION("SPLIT(N84,""-"")"),60.0)</f>
        <v>60</v>
      </c>
      <c r="P84" s="113">
        <f>IFERROR(__xludf.DUMMYFUNCTION("""COMPUTED_VALUE"""),120.0)</f>
        <v>120</v>
      </c>
      <c r="Q84" s="114">
        <f t="shared" si="2"/>
        <v>75.49515149</v>
      </c>
      <c r="R84" s="115">
        <f t="shared" si="3"/>
        <v>0.07039636748</v>
      </c>
      <c r="S84" s="114">
        <f t="shared" si="39"/>
        <v>6082.246151</v>
      </c>
      <c r="T84" s="113" t="str">
        <f t="shared" si="4"/>
        <v>no</v>
      </c>
      <c r="U84" s="115">
        <f t="shared" si="5"/>
        <v>0</v>
      </c>
      <c r="V84" s="113">
        <f t="shared" si="34"/>
        <v>0</v>
      </c>
      <c r="W84" s="115">
        <f t="shared" si="6"/>
        <v>0</v>
      </c>
      <c r="X84" s="85">
        <f t="shared" si="7"/>
        <v>0</v>
      </c>
      <c r="Y84" s="116">
        <f t="shared" si="8"/>
        <v>0</v>
      </c>
      <c r="Z84" s="113">
        <f t="shared" si="9"/>
        <v>0</v>
      </c>
      <c r="AA84" s="113" t="str">
        <f t="shared" si="10"/>
        <v>no</v>
      </c>
      <c r="AB84" s="115">
        <f t="shared" si="11"/>
        <v>0</v>
      </c>
      <c r="AC84" s="113">
        <f t="shared" si="35"/>
        <v>0</v>
      </c>
      <c r="AD84" s="116">
        <f t="shared" si="12"/>
        <v>0</v>
      </c>
      <c r="AE84" s="113">
        <f t="shared" si="13"/>
        <v>0</v>
      </c>
      <c r="AF84" s="116">
        <f t="shared" si="14"/>
        <v>0</v>
      </c>
      <c r="AG84" s="113">
        <f t="shared" si="15"/>
        <v>0</v>
      </c>
      <c r="AH84" s="113" t="str">
        <f t="shared" si="16"/>
        <v>yes</v>
      </c>
      <c r="AI84" s="115">
        <f t="shared" si="17"/>
        <v>0</v>
      </c>
      <c r="AJ84" s="113">
        <f t="shared" si="36"/>
        <v>0</v>
      </c>
      <c r="AK84" s="116">
        <f t="shared" si="18"/>
        <v>0.07039636748</v>
      </c>
      <c r="AL84" s="114">
        <f t="shared" si="19"/>
        <v>6082.246151</v>
      </c>
      <c r="AM84" s="115">
        <f t="shared" si="20"/>
        <v>0.07127015396</v>
      </c>
      <c r="AN84" s="118">
        <f t="shared" si="21"/>
        <v>6157.741302</v>
      </c>
      <c r="AO84" s="113" t="str">
        <f t="shared" si="22"/>
        <v>no</v>
      </c>
      <c r="AP84" s="115">
        <f t="shared" si="23"/>
        <v>0</v>
      </c>
      <c r="AQ84" s="113">
        <f t="shared" si="37"/>
        <v>0</v>
      </c>
      <c r="AR84" s="116">
        <f t="shared" si="24"/>
        <v>0</v>
      </c>
      <c r="AS84" s="113">
        <f t="shared" si="25"/>
        <v>0</v>
      </c>
      <c r="AT84" s="116">
        <f t="shared" si="26"/>
        <v>0</v>
      </c>
      <c r="AU84" s="113">
        <f t="shared" si="27"/>
        <v>0</v>
      </c>
      <c r="AV84" s="113" t="str">
        <f t="shared" si="28"/>
        <v>no</v>
      </c>
      <c r="AW84" s="115">
        <f t="shared" si="29"/>
        <v>0</v>
      </c>
      <c r="AX84" s="85">
        <f t="shared" si="38"/>
        <v>0</v>
      </c>
      <c r="AY84" s="116">
        <f t="shared" si="30"/>
        <v>0</v>
      </c>
      <c r="AZ84" s="113">
        <f t="shared" si="31"/>
        <v>0</v>
      </c>
      <c r="BA84" s="116">
        <f t="shared" si="32"/>
        <v>0</v>
      </c>
      <c r="BB84" s="113">
        <f t="shared" si="33"/>
        <v>0</v>
      </c>
      <c r="BC84" s="112">
        <v>0.5522363505312295</v>
      </c>
      <c r="BD84" s="113" t="str">
        <f>ifs(BC84&lt;='Range Tables'!$G$81,'Range Tables'!$B$81,BC84&lt;='Range Tables'!$G$82,'Range Tables'!$B$82)</f>
        <v>Offline*</v>
      </c>
      <c r="BE84" s="112">
        <v>0.015381716052882632</v>
      </c>
      <c r="BF84" s="112" t="str">
        <f>ifs(BE84&lt;='Range Tables'!$G$95,'Range Tables'!$B$95,BE84&lt;='Range Tables'!$G$96,'Range Tables'!$B$96,BE84&lt;='Range Tables'!$G$97,'Range Tables'!$B$97,BE84&lt;='Range Tables'!$G$98,'Range Tables'!$B$98,BE84&lt;='Range Tables'!$G$99,'Range Tables'!$B$99,BE84&lt;='Range Tables'!$G$100,'Range Tables'!$B$100,BE84&lt;='Range Tables'!$G$101,'Range Tables'!$B$101,BE84&lt;='Range Tables'!$G$102,'Range Tables'!$B$102,BE84&lt;='Range Tables'!$G$103,'Range Tables'!$B$103)</f>
        <v>Jammu</v>
      </c>
      <c r="BG84" s="112">
        <v>0.20230157193750398</v>
      </c>
      <c r="BH84" s="113" t="str">
        <f>ifs(BG84&lt;='Range Tables'!$G$112,'Range Tables'!$B$112,BG84&lt;='Range Tables'!$G$113,'Range Tables'!$B$113,BG84&lt;='Range Tables'!$G$114,'Range Tables'!$B$114)</f>
        <v>0</v>
      </c>
      <c r="BI84" s="117">
        <v>0.20754615119292863</v>
      </c>
      <c r="BJ84" s="113" t="str">
        <f>ifs(BI84&lt;='Range Tables'!$G$118,'Range Tables'!$B$118,BI84&lt;='Range Tables'!$G$119,'Range Tables'!$B$119)</f>
        <v>Valid</v>
      </c>
    </row>
    <row r="85">
      <c r="A85" s="85">
        <v>82.0</v>
      </c>
      <c r="B85" s="112">
        <v>0.904259775133069</v>
      </c>
      <c r="C85" s="113" t="str">
        <f>ifs(B85&lt;='Range Tables'!$G$54,'Range Tables'!$B$54,B85&lt;='Range Tables'!$G$55,'Range Tables'!$B$55,B85&lt;='Range Tables'!$G$56,'Range Tables'!$B$56,B85&lt;='Range Tables'!$G$57,'Range Tables'!$B$57,B85&lt;='Range Tables'!$G$58,'Range Tables'!$B$58,B85&lt;='Range Tables'!$G$59,'Range Tables'!$B$59,B85&lt;='Range Tables'!$G$60,'Range Tables'!$B$60,B85&lt;='Range Tables'!$G$61,'Range Tables'!$B$61,B85&lt;='Range Tables'!$G$63,'Range Tables'!$B$63,B85&lt;='Range Tables'!$G$64,'Range Tables'!$B$64,B85&lt;='Range Tables'!$G$66,'Range Tables'!$B$66)</f>
        <v>210 - 240</v>
      </c>
      <c r="D85" s="113">
        <f>IFERROR(__xludf.DUMMYFUNCTION("SPLIT(C85,""-"")"),210.0)</f>
        <v>210</v>
      </c>
      <c r="E85" s="113">
        <f>IFERROR(__xludf.DUMMYFUNCTION("""COMPUTED_VALUE"""),240.0)</f>
        <v>240</v>
      </c>
      <c r="F85" s="114">
        <f t="shared" si="40"/>
        <v>237.1277933</v>
      </c>
      <c r="G85" s="112">
        <v>0.2955023067653446</v>
      </c>
      <c r="H85" s="113" t="str">
        <f>ifs(G85&lt;='Range Tables'!$G$86,'Range Tables'!$B$86,G85&lt;='Range Tables'!$G$87,'Range Tables'!$B$87,G85&lt;='Range Tables'!$G$88,'Range Tables'!$B$88,G85&lt;='Range Tables'!$G$89,'Range Tables'!$B$89,G85&lt;='Range Tables'!$G$90,'Range Tables'!$B$90,G85&lt;='Range Tables'!$G$91,'Range Tables'!$B$91)</f>
        <v>Car</v>
      </c>
      <c r="I85" s="112">
        <v>0.4884564466782818</v>
      </c>
      <c r="J85" s="113" t="str">
        <f>IFS(
  H85="Car", IF(I85&lt;='Range Tables'!$G$19, 'Range Tables'!$B$19, 'Range Tables'!$B$20), 
  H85="Bike", IF(I85&lt;='Range Tables'!$G$25, 'Range Tables'!$B$25, 'Range Tables'!$B$26), 
  H85="Scooter", IF(I85&lt;='Range Tables'!$G$31, 'Range Tables'!$B$31, 'Range Tables'!$B$32), 
  H85="Auto", IF(I85&lt;='Range Tables'!$G$37, 'Range Tables'!$B$37, 'Range Tables'!$B$38), 
  H85="Carriers*", IF(I85&lt;='Range Tables'!$G$43, 'Range Tables'!$B$43, 'Range Tables'!$B$44), 
  H85="Van*", IF(I85&lt;='Range Tables'!$G$50, 'Range Tables'!$B$50, 'Range Tables'!$B$49)
)</f>
        <v>Petrol</v>
      </c>
      <c r="K85" s="112">
        <v>0.48657205116733726</v>
      </c>
      <c r="L85" s="113">
        <f>if(J85="Petrol",ifs(K85&lt;='Range Tables'!$G$5,'Range Tables'!$B$5,K85&lt;='Range Tables'!$G$6,'Range Tables'!$B$6,K85&lt;='Range Tables'!$G$7,'Range Tables'!$B$7),ifs(K85&lt;='Range Tables'!$G$13,'Range Tables'!$B$13,K85&lt;='Range Tables'!$G$14,'Range Tables'!$B$14))</f>
        <v>2</v>
      </c>
      <c r="M85" s="112">
        <v>0.7532283805333271</v>
      </c>
      <c r="N85" s="113" t="str">
        <f>ifs(H85="Car",ifs(M85&lt;='Range Tables'!$G$125,'Range Tables'!$B$125,M85&lt;='Range Tables'!$G$126,'Range Tables'!$B$126,M85&lt;='Range Tables'!$G$127,'Range Tables'!$B$127,M85&lt;='Range Tables'!$G$128,'Range Tables'!$B$128,M85&lt;='Range Tables'!$G$129,'Range Tables'!$B$129,'Range Tables'!$G$131,'Range Tables'!$B$131),H85="Bike",ifs(M85&lt;='Range Tables'!$G$136,'Range Tables'!$B$136,M85&lt;='Range Tables'!$G$137,'Range Tables'!$B$137,M85&lt;='Range Tables'!$G$138,'Range Tables'!$B$138,M85&lt;='Range Tables'!$G$142,'Range Tables'!$B$142),H85="Scooter",ifs(M85&lt;='Range Tables'!$G$148,'Range Tables'!$B$148,M85&lt;='Range Tables'!$G$149,'Range Tables'!$B$149,M85&lt;='Range Tables'!$G$150,'Range Tables'!$B$150,M85&lt;='Range Tables'!$G$151,'Range Tables'!$B$151),H85="Auto",ifs(M85&lt;='Range Tables'!$G$161,'Range Tables'!$B$161,M85&lt;='Range Tables'!$G$162,'Range Tables'!$B$162,M85&lt;='Range Tables'!$G$163,'Range Tables'!$B$163,M85&lt;='Range Tables'!$G$164,'Range Tables'!$B$164),H85="Carriers*",ifs(M85&lt;='Range Tables'!$G$173,'Range Tables'!$B$173,M85&lt;='Range Tables'!$G$174,'Range Tables'!$B$174,M85&lt;='Range Tables'!$G$175,'Range Tables'!$B$175,M85&lt;='Range Tables'!$G$176,'Range Tables'!$B$176,M85&lt;='Range Tables'!$G$177,'Range Tables'!$B$177,M85&lt;='Range Tables'!$G$179,'Range Tables'!$B$179),H85="Van*",ifs(M85&lt;='Range Tables'!$G$186,'Range Tables'!$B$186))</f>
        <v>120 - 180</v>
      </c>
      <c r="O85" s="113">
        <f>IFERROR(__xludf.DUMMYFUNCTION("SPLIT(N85,""-"")"),120.0)</f>
        <v>120</v>
      </c>
      <c r="P85" s="113">
        <f>IFERROR(__xludf.DUMMYFUNCTION("""COMPUTED_VALUE"""),180.0)</f>
        <v>180</v>
      </c>
      <c r="Q85" s="114">
        <f t="shared" si="2"/>
        <v>165.1937028</v>
      </c>
      <c r="R85" s="115">
        <f t="shared" si="3"/>
        <v>0.07046473221</v>
      </c>
      <c r="S85" s="114">
        <f t="shared" si="39"/>
        <v>6088.152863</v>
      </c>
      <c r="T85" s="113" t="str">
        <f t="shared" si="4"/>
        <v>no</v>
      </c>
      <c r="U85" s="115">
        <f t="shared" si="5"/>
        <v>0</v>
      </c>
      <c r="V85" s="113">
        <f t="shared" si="34"/>
        <v>0</v>
      </c>
      <c r="W85" s="115">
        <f t="shared" si="6"/>
        <v>0</v>
      </c>
      <c r="X85" s="85">
        <f t="shared" si="7"/>
        <v>0</v>
      </c>
      <c r="Y85" s="116">
        <f t="shared" si="8"/>
        <v>0</v>
      </c>
      <c r="Z85" s="113">
        <f t="shared" si="9"/>
        <v>0</v>
      </c>
      <c r="AA85" s="113" t="str">
        <f t="shared" si="10"/>
        <v>yes</v>
      </c>
      <c r="AB85" s="115">
        <f t="shared" si="11"/>
        <v>0</v>
      </c>
      <c r="AC85" s="113">
        <f t="shared" si="35"/>
        <v>0</v>
      </c>
      <c r="AD85" s="116">
        <f t="shared" si="12"/>
        <v>0.07046473221</v>
      </c>
      <c r="AE85" s="114">
        <f t="shared" si="13"/>
        <v>6088.152863</v>
      </c>
      <c r="AF85" s="116">
        <f t="shared" si="14"/>
        <v>0.07237669636</v>
      </c>
      <c r="AG85" s="114">
        <f t="shared" si="15"/>
        <v>6253.346565</v>
      </c>
      <c r="AH85" s="113" t="str">
        <f t="shared" si="16"/>
        <v>no</v>
      </c>
      <c r="AI85" s="115">
        <f t="shared" si="17"/>
        <v>0</v>
      </c>
      <c r="AJ85" s="113">
        <f t="shared" si="36"/>
        <v>0</v>
      </c>
      <c r="AK85" s="116">
        <f t="shared" si="18"/>
        <v>0</v>
      </c>
      <c r="AL85" s="113">
        <f t="shared" si="19"/>
        <v>0</v>
      </c>
      <c r="AM85" s="115">
        <f t="shared" si="20"/>
        <v>0</v>
      </c>
      <c r="AN85" s="85">
        <f t="shared" si="21"/>
        <v>0</v>
      </c>
      <c r="AO85" s="113" t="str">
        <f t="shared" si="22"/>
        <v>no</v>
      </c>
      <c r="AP85" s="115">
        <f t="shared" si="23"/>
        <v>0</v>
      </c>
      <c r="AQ85" s="113">
        <f t="shared" si="37"/>
        <v>0</v>
      </c>
      <c r="AR85" s="116">
        <f t="shared" si="24"/>
        <v>0</v>
      </c>
      <c r="AS85" s="113">
        <f t="shared" si="25"/>
        <v>0</v>
      </c>
      <c r="AT85" s="116">
        <f t="shared" si="26"/>
        <v>0</v>
      </c>
      <c r="AU85" s="113">
        <f t="shared" si="27"/>
        <v>0</v>
      </c>
      <c r="AV85" s="113" t="str">
        <f t="shared" si="28"/>
        <v>no</v>
      </c>
      <c r="AW85" s="115">
        <f t="shared" si="29"/>
        <v>0</v>
      </c>
      <c r="AX85" s="85">
        <f t="shared" si="38"/>
        <v>0</v>
      </c>
      <c r="AY85" s="116">
        <f t="shared" si="30"/>
        <v>0</v>
      </c>
      <c r="AZ85" s="113">
        <f t="shared" si="31"/>
        <v>0</v>
      </c>
      <c r="BA85" s="116">
        <f t="shared" si="32"/>
        <v>0</v>
      </c>
      <c r="BB85" s="113">
        <f t="shared" si="33"/>
        <v>0</v>
      </c>
      <c r="BC85" s="112">
        <v>0.5670936514775539</v>
      </c>
      <c r="BD85" s="113" t="str">
        <f>ifs(BC85&lt;='Range Tables'!$G$81,'Range Tables'!$B$81,BC85&lt;='Range Tables'!$G$82,'Range Tables'!$B$82)</f>
        <v>Offline*</v>
      </c>
      <c r="BE85" s="112">
        <v>0.3930548173753676</v>
      </c>
      <c r="BF85" s="112" t="str">
        <f>ifs(BE85&lt;='Range Tables'!$G$95,'Range Tables'!$B$95,BE85&lt;='Range Tables'!$G$96,'Range Tables'!$B$96,BE85&lt;='Range Tables'!$G$97,'Range Tables'!$B$97,BE85&lt;='Range Tables'!$G$98,'Range Tables'!$B$98,BE85&lt;='Range Tables'!$G$99,'Range Tables'!$B$99,BE85&lt;='Range Tables'!$G$100,'Range Tables'!$B$100,BE85&lt;='Range Tables'!$G$101,'Range Tables'!$B$101,BE85&lt;='Range Tables'!$G$102,'Range Tables'!$B$102,BE85&lt;='Range Tables'!$G$103,'Range Tables'!$B$103)</f>
        <v>Jammu</v>
      </c>
      <c r="BG85" s="112">
        <v>0.19563574090957114</v>
      </c>
      <c r="BH85" s="113" t="str">
        <f>ifs(BG85&lt;='Range Tables'!$G$112,'Range Tables'!$B$112,BG85&lt;='Range Tables'!$G$113,'Range Tables'!$B$113,BG85&lt;='Range Tables'!$G$114,'Range Tables'!$B$114)</f>
        <v>0</v>
      </c>
      <c r="BI85" s="117">
        <v>0.7998629587296683</v>
      </c>
      <c r="BJ85" s="113" t="str">
        <f>ifs(BI85&lt;='Range Tables'!$G$118,'Range Tables'!$B$118,BI85&lt;='Range Tables'!$G$119,'Range Tables'!$B$119)</f>
        <v>Expired</v>
      </c>
    </row>
    <row r="86">
      <c r="A86" s="85">
        <v>83.0</v>
      </c>
      <c r="B86" s="112">
        <v>0.7186549618104809</v>
      </c>
      <c r="C86" s="113" t="str">
        <f>ifs(B86&lt;='Range Tables'!$G$54,'Range Tables'!$B$54,B86&lt;='Range Tables'!$G$55,'Range Tables'!$B$55,B86&lt;='Range Tables'!$G$56,'Range Tables'!$B$56,B86&lt;='Range Tables'!$G$57,'Range Tables'!$B$57,B86&lt;='Range Tables'!$G$58,'Range Tables'!$B$58,B86&lt;='Range Tables'!$G$59,'Range Tables'!$B$59,B86&lt;='Range Tables'!$G$60,'Range Tables'!$B$60,B86&lt;='Range Tables'!$G$61,'Range Tables'!$B$61,B86&lt;='Range Tables'!$G$63,'Range Tables'!$B$63,B86&lt;='Range Tables'!$G$64,'Range Tables'!$B$64,B86&lt;='Range Tables'!$G$66,'Range Tables'!$B$66)</f>
        <v>90 - 120</v>
      </c>
      <c r="D86" s="113">
        <f>IFERROR(__xludf.DUMMYFUNCTION("SPLIT(C86,""-"")"),90.0)</f>
        <v>90</v>
      </c>
      <c r="E86" s="113">
        <f>IFERROR(__xludf.DUMMYFUNCTION("""COMPUTED_VALUE"""),120.0)</f>
        <v>120</v>
      </c>
      <c r="F86" s="114">
        <f t="shared" si="40"/>
        <v>111.5596489</v>
      </c>
      <c r="G86" s="112">
        <v>0.25878155765448185</v>
      </c>
      <c r="H86" s="113" t="str">
        <f>ifs(G86&lt;='Range Tables'!$G$86,'Range Tables'!$B$86,G86&lt;='Range Tables'!$G$87,'Range Tables'!$B$87,G86&lt;='Range Tables'!$G$88,'Range Tables'!$B$88,G86&lt;='Range Tables'!$G$89,'Range Tables'!$B$89,G86&lt;='Range Tables'!$G$90,'Range Tables'!$B$90,G86&lt;='Range Tables'!$G$91,'Range Tables'!$B$91)</f>
        <v>Car</v>
      </c>
      <c r="I86" s="112">
        <v>0.7529955533650824</v>
      </c>
      <c r="J86" s="113" t="str">
        <f>IFS(
  H86="Car", IF(I86&lt;='Range Tables'!$G$19, 'Range Tables'!$B$19, 'Range Tables'!$B$20), 
  H86="Bike", IF(I86&lt;='Range Tables'!$G$25, 'Range Tables'!$B$25, 'Range Tables'!$B$26), 
  H86="Scooter", IF(I86&lt;='Range Tables'!$G$31, 'Range Tables'!$B$31, 'Range Tables'!$B$32), 
  H86="Auto", IF(I86&lt;='Range Tables'!$G$37, 'Range Tables'!$B$37, 'Range Tables'!$B$38), 
  H86="Carriers*", IF(I86&lt;='Range Tables'!$G$43, 'Range Tables'!$B$43, 'Range Tables'!$B$44), 
  H86="Van*", IF(I86&lt;='Range Tables'!$G$50, 'Range Tables'!$B$50, 'Range Tables'!$B$49)
)</f>
        <v>Petrol</v>
      </c>
      <c r="K86" s="112">
        <v>0.4662928493487759</v>
      </c>
      <c r="L86" s="113">
        <f>if(J86="Petrol",ifs(K86&lt;='Range Tables'!$G$5,'Range Tables'!$B$5,K86&lt;='Range Tables'!$G$6,'Range Tables'!$B$6,K86&lt;='Range Tables'!$G$7,'Range Tables'!$B$7),ifs(K86&lt;='Range Tables'!$G$13,'Range Tables'!$B$13,K86&lt;='Range Tables'!$G$14,'Range Tables'!$B$14))</f>
        <v>2</v>
      </c>
      <c r="M86" s="112">
        <v>0.04004360938606777</v>
      </c>
      <c r="N86" s="113" t="str">
        <f>ifs(H86="Car",ifs(M86&lt;='Range Tables'!$G$125,'Range Tables'!$B$125,M86&lt;='Range Tables'!$G$126,'Range Tables'!$B$126,M86&lt;='Range Tables'!$G$127,'Range Tables'!$B$127,M86&lt;='Range Tables'!$G$128,'Range Tables'!$B$128,M86&lt;='Range Tables'!$G$129,'Range Tables'!$B$129,'Range Tables'!$G$131,'Range Tables'!$B$131),H86="Bike",ifs(M86&lt;='Range Tables'!$G$136,'Range Tables'!$B$136,M86&lt;='Range Tables'!$G$137,'Range Tables'!$B$137,M86&lt;='Range Tables'!$G$138,'Range Tables'!$B$138,M86&lt;='Range Tables'!$G$142,'Range Tables'!$B$142),H86="Scooter",ifs(M86&lt;='Range Tables'!$G$148,'Range Tables'!$B$148,M86&lt;='Range Tables'!$G$149,'Range Tables'!$B$149,M86&lt;='Range Tables'!$G$150,'Range Tables'!$B$150,M86&lt;='Range Tables'!$G$151,'Range Tables'!$B$151),H86="Auto",ifs(M86&lt;='Range Tables'!$G$161,'Range Tables'!$B$161,M86&lt;='Range Tables'!$G$162,'Range Tables'!$B$162,M86&lt;='Range Tables'!$G$163,'Range Tables'!$B$163,M86&lt;='Range Tables'!$G$164,'Range Tables'!$B$164),H86="Carriers*",ifs(M86&lt;='Range Tables'!$G$173,'Range Tables'!$B$173,M86&lt;='Range Tables'!$G$174,'Range Tables'!$B$174,M86&lt;='Range Tables'!$G$175,'Range Tables'!$B$175,M86&lt;='Range Tables'!$G$176,'Range Tables'!$B$176,M86&lt;='Range Tables'!$G$177,'Range Tables'!$B$177,M86&lt;='Range Tables'!$G$179,'Range Tables'!$B$179),H86="Van*",ifs(M86&lt;='Range Tables'!$G$186,'Range Tables'!$B$186))</f>
        <v>60 - 120</v>
      </c>
      <c r="O86" s="113">
        <f>IFERROR(__xludf.DUMMYFUNCTION("SPLIT(N86,""-"")"),60.0)</f>
        <v>60</v>
      </c>
      <c r="P86" s="113">
        <f>IFERROR(__xludf.DUMMYFUNCTION("""COMPUTED_VALUE"""),120.0)</f>
        <v>120</v>
      </c>
      <c r="Q86" s="114">
        <f t="shared" si="2"/>
        <v>62.40261656</v>
      </c>
      <c r="R86" s="115">
        <f t="shared" si="3"/>
        <v>0.07320926685</v>
      </c>
      <c r="S86" s="114">
        <f t="shared" si="39"/>
        <v>6325.280656</v>
      </c>
      <c r="T86" s="113" t="str">
        <f t="shared" si="4"/>
        <v>no</v>
      </c>
      <c r="U86" s="115">
        <f t="shared" si="5"/>
        <v>0</v>
      </c>
      <c r="V86" s="113">
        <f t="shared" si="34"/>
        <v>0</v>
      </c>
      <c r="W86" s="115">
        <f t="shared" si="6"/>
        <v>0</v>
      </c>
      <c r="X86" s="85">
        <f t="shared" si="7"/>
        <v>0</v>
      </c>
      <c r="Y86" s="116">
        <f t="shared" si="8"/>
        <v>0</v>
      </c>
      <c r="Z86" s="113">
        <f t="shared" si="9"/>
        <v>0</v>
      </c>
      <c r="AA86" s="113" t="str">
        <f t="shared" si="10"/>
        <v>yes</v>
      </c>
      <c r="AB86" s="115">
        <f t="shared" si="11"/>
        <v>0</v>
      </c>
      <c r="AC86" s="113">
        <f t="shared" si="35"/>
        <v>0</v>
      </c>
      <c r="AD86" s="116">
        <f t="shared" si="12"/>
        <v>0.07320926685</v>
      </c>
      <c r="AE86" s="114">
        <f t="shared" si="13"/>
        <v>6325.280656</v>
      </c>
      <c r="AF86" s="116">
        <f t="shared" si="14"/>
        <v>0.07393151936</v>
      </c>
      <c r="AG86" s="114">
        <f t="shared" si="15"/>
        <v>6387.683272</v>
      </c>
      <c r="AH86" s="113" t="str">
        <f t="shared" si="16"/>
        <v>no</v>
      </c>
      <c r="AI86" s="115">
        <f t="shared" si="17"/>
        <v>0</v>
      </c>
      <c r="AJ86" s="113">
        <f t="shared" si="36"/>
        <v>0</v>
      </c>
      <c r="AK86" s="116">
        <f t="shared" si="18"/>
        <v>0</v>
      </c>
      <c r="AL86" s="113">
        <f t="shared" si="19"/>
        <v>0</v>
      </c>
      <c r="AM86" s="115">
        <f t="shared" si="20"/>
        <v>0</v>
      </c>
      <c r="AN86" s="85">
        <f t="shared" si="21"/>
        <v>0</v>
      </c>
      <c r="AO86" s="113" t="str">
        <f t="shared" si="22"/>
        <v>no</v>
      </c>
      <c r="AP86" s="115">
        <f t="shared" si="23"/>
        <v>0</v>
      </c>
      <c r="AQ86" s="113">
        <f t="shared" si="37"/>
        <v>0</v>
      </c>
      <c r="AR86" s="116">
        <f t="shared" si="24"/>
        <v>0</v>
      </c>
      <c r="AS86" s="113">
        <f t="shared" si="25"/>
        <v>0</v>
      </c>
      <c r="AT86" s="116">
        <f t="shared" si="26"/>
        <v>0</v>
      </c>
      <c r="AU86" s="113">
        <f t="shared" si="27"/>
        <v>0</v>
      </c>
      <c r="AV86" s="113" t="str">
        <f t="shared" si="28"/>
        <v>no</v>
      </c>
      <c r="AW86" s="115">
        <f t="shared" si="29"/>
        <v>0</v>
      </c>
      <c r="AX86" s="85">
        <f t="shared" si="38"/>
        <v>0</v>
      </c>
      <c r="AY86" s="116">
        <f t="shared" si="30"/>
        <v>0</v>
      </c>
      <c r="AZ86" s="113">
        <f t="shared" si="31"/>
        <v>0</v>
      </c>
      <c r="BA86" s="116">
        <f t="shared" si="32"/>
        <v>0</v>
      </c>
      <c r="BB86" s="113">
        <f t="shared" si="33"/>
        <v>0</v>
      </c>
      <c r="BC86" s="112">
        <v>0.08198258925099722</v>
      </c>
      <c r="BD86" s="113" t="str">
        <f>ifs(BC86&lt;='Range Tables'!$G$81,'Range Tables'!$B$81,BC86&lt;='Range Tables'!$G$82,'Range Tables'!$B$82)</f>
        <v>Online*</v>
      </c>
      <c r="BE86" s="112">
        <v>0.8991257350747811</v>
      </c>
      <c r="BF86" s="112" t="str">
        <f>ifs(BE86&lt;='Range Tables'!$G$95,'Range Tables'!$B$95,BE86&lt;='Range Tables'!$G$96,'Range Tables'!$B$96,BE86&lt;='Range Tables'!$G$97,'Range Tables'!$B$97,BE86&lt;='Range Tables'!$G$98,'Range Tables'!$B$98,BE86&lt;='Range Tables'!$G$99,'Range Tables'!$B$99,BE86&lt;='Range Tables'!$G$100,'Range Tables'!$B$100,BE86&lt;='Range Tables'!$G$101,'Range Tables'!$B$101,BE86&lt;='Range Tables'!$G$102,'Range Tables'!$B$102,BE86&lt;='Range Tables'!$G$103,'Range Tables'!$B$103)</f>
        <v>Resai</v>
      </c>
      <c r="BG86" s="112">
        <v>0.7777749793207509</v>
      </c>
      <c r="BH86" s="113" t="str">
        <f>ifs(BG86&lt;='Range Tables'!$G$112,'Range Tables'!$B$112,BG86&lt;='Range Tables'!$G$113,'Range Tables'!$B$113,BG86&lt;='Range Tables'!$G$114,'Range Tables'!$B$114)</f>
        <v>1-5</v>
      </c>
      <c r="BI86" s="117">
        <v>0.1269092568744461</v>
      </c>
      <c r="BJ86" s="113" t="str">
        <f>ifs(BI86&lt;='Range Tables'!$G$118,'Range Tables'!$B$118,BI86&lt;='Range Tables'!$G$119,'Range Tables'!$B$119)</f>
        <v>Valid</v>
      </c>
    </row>
    <row r="87">
      <c r="A87" s="85">
        <v>84.0</v>
      </c>
      <c r="B87" s="112">
        <v>0.6532574602363028</v>
      </c>
      <c r="C87" s="113" t="str">
        <f>ifs(B87&lt;='Range Tables'!$G$54,'Range Tables'!$B$54,B87&lt;='Range Tables'!$G$55,'Range Tables'!$B$55,B87&lt;='Range Tables'!$G$56,'Range Tables'!$B$56,B87&lt;='Range Tables'!$G$57,'Range Tables'!$B$57,B87&lt;='Range Tables'!$G$58,'Range Tables'!$B$58,B87&lt;='Range Tables'!$G$59,'Range Tables'!$B$59,B87&lt;='Range Tables'!$G$60,'Range Tables'!$B$60,B87&lt;='Range Tables'!$G$61,'Range Tables'!$B$61,B87&lt;='Range Tables'!$G$63,'Range Tables'!$B$63,B87&lt;='Range Tables'!$G$64,'Range Tables'!$B$64,B87&lt;='Range Tables'!$G$66,'Range Tables'!$B$66)</f>
        <v>60 - 90</v>
      </c>
      <c r="D87" s="113">
        <f>IFERROR(__xludf.DUMMYFUNCTION("SPLIT(C87,""-"")"),60.0)</f>
        <v>60</v>
      </c>
      <c r="E87" s="113">
        <f>IFERROR(__xludf.DUMMYFUNCTION("""COMPUTED_VALUE"""),90.0)</f>
        <v>90</v>
      </c>
      <c r="F87" s="114">
        <f t="shared" si="40"/>
        <v>79.59772381</v>
      </c>
      <c r="G87" s="112">
        <v>0.22778330607200392</v>
      </c>
      <c r="H87" s="113" t="str">
        <f>ifs(G87&lt;='Range Tables'!$G$86,'Range Tables'!$B$86,G87&lt;='Range Tables'!$G$87,'Range Tables'!$B$87,G87&lt;='Range Tables'!$G$88,'Range Tables'!$B$88,G87&lt;='Range Tables'!$G$89,'Range Tables'!$B$89,G87&lt;='Range Tables'!$G$90,'Range Tables'!$B$90,G87&lt;='Range Tables'!$G$91,'Range Tables'!$B$91)</f>
        <v>Car</v>
      </c>
      <c r="I87" s="112">
        <v>0.8047451709645788</v>
      </c>
      <c r="J87" s="113" t="str">
        <f>IFS(
  H87="Car", IF(I87&lt;='Range Tables'!$G$19, 'Range Tables'!$B$19, 'Range Tables'!$B$20), 
  H87="Bike", IF(I87&lt;='Range Tables'!$G$25, 'Range Tables'!$B$25, 'Range Tables'!$B$26), 
  H87="Scooter", IF(I87&lt;='Range Tables'!$G$31, 'Range Tables'!$B$31, 'Range Tables'!$B$32), 
  H87="Auto", IF(I87&lt;='Range Tables'!$G$37, 'Range Tables'!$B$37, 'Range Tables'!$B$38), 
  H87="Carriers*", IF(I87&lt;='Range Tables'!$G$43, 'Range Tables'!$B$43, 'Range Tables'!$B$44), 
  H87="Van*", IF(I87&lt;='Range Tables'!$G$50, 'Range Tables'!$B$50, 'Range Tables'!$B$49)
)</f>
        <v>Petrol</v>
      </c>
      <c r="K87" s="112">
        <v>0.9657948147072422</v>
      </c>
      <c r="L87" s="113">
        <f>if(J87="Petrol",ifs(K87&lt;='Range Tables'!$G$5,'Range Tables'!$B$5,K87&lt;='Range Tables'!$G$6,'Range Tables'!$B$6,K87&lt;='Range Tables'!$G$7,'Range Tables'!$B$7),ifs(K87&lt;='Range Tables'!$G$13,'Range Tables'!$B$13,K87&lt;='Range Tables'!$G$14,'Range Tables'!$B$14))</f>
        <v>4</v>
      </c>
      <c r="M87" s="112">
        <v>0.4378217336387381</v>
      </c>
      <c r="N87" s="113" t="str">
        <f>ifs(H87="Car",ifs(M87&lt;='Range Tables'!$G$125,'Range Tables'!$B$125,M87&lt;='Range Tables'!$G$126,'Range Tables'!$B$126,M87&lt;='Range Tables'!$G$127,'Range Tables'!$B$127,M87&lt;='Range Tables'!$G$128,'Range Tables'!$B$128,M87&lt;='Range Tables'!$G$129,'Range Tables'!$B$129,'Range Tables'!$G$131,'Range Tables'!$B$131),H87="Bike",ifs(M87&lt;='Range Tables'!$G$136,'Range Tables'!$B$136,M87&lt;='Range Tables'!$G$137,'Range Tables'!$B$137,M87&lt;='Range Tables'!$G$138,'Range Tables'!$B$138,M87&lt;='Range Tables'!$G$142,'Range Tables'!$B$142),H87="Scooter",ifs(M87&lt;='Range Tables'!$G$148,'Range Tables'!$B$148,M87&lt;='Range Tables'!$G$149,'Range Tables'!$B$149,M87&lt;='Range Tables'!$G$150,'Range Tables'!$B$150,M87&lt;='Range Tables'!$G$151,'Range Tables'!$B$151),H87="Auto",ifs(M87&lt;='Range Tables'!$G$161,'Range Tables'!$B$161,M87&lt;='Range Tables'!$G$162,'Range Tables'!$B$162,M87&lt;='Range Tables'!$G$163,'Range Tables'!$B$163,M87&lt;='Range Tables'!$G$164,'Range Tables'!$B$164),H87="Carriers*",ifs(M87&lt;='Range Tables'!$G$173,'Range Tables'!$B$173,M87&lt;='Range Tables'!$G$174,'Range Tables'!$B$174,M87&lt;='Range Tables'!$G$175,'Range Tables'!$B$175,M87&lt;='Range Tables'!$G$176,'Range Tables'!$B$176,M87&lt;='Range Tables'!$G$177,'Range Tables'!$B$177,M87&lt;='Range Tables'!$G$179,'Range Tables'!$B$179),H87="Van*",ifs(M87&lt;='Range Tables'!$G$186,'Range Tables'!$B$186))</f>
        <v>60 - 120</v>
      </c>
      <c r="O87" s="113">
        <f>IFERROR(__xludf.DUMMYFUNCTION("SPLIT(N87,""-"")"),60.0)</f>
        <v>60</v>
      </c>
      <c r="P87" s="113">
        <f>IFERROR(__xludf.DUMMYFUNCTION("""COMPUTED_VALUE"""),120.0)</f>
        <v>120</v>
      </c>
      <c r="Q87" s="114">
        <f t="shared" si="2"/>
        <v>86.26930402</v>
      </c>
      <c r="R87" s="115">
        <f t="shared" si="3"/>
        <v>0.07450046649</v>
      </c>
      <c r="S87" s="114">
        <f t="shared" si="39"/>
        <v>6436.840305</v>
      </c>
      <c r="T87" s="113" t="str">
        <f t="shared" si="4"/>
        <v>no</v>
      </c>
      <c r="U87" s="115">
        <f t="shared" si="5"/>
        <v>0</v>
      </c>
      <c r="V87" s="113">
        <f t="shared" si="34"/>
        <v>0</v>
      </c>
      <c r="W87" s="115">
        <f t="shared" si="6"/>
        <v>0</v>
      </c>
      <c r="X87" s="85">
        <f t="shared" si="7"/>
        <v>0</v>
      </c>
      <c r="Y87" s="116">
        <f t="shared" si="8"/>
        <v>0</v>
      </c>
      <c r="Z87" s="113">
        <f t="shared" si="9"/>
        <v>0</v>
      </c>
      <c r="AA87" s="113" t="str">
        <f t="shared" si="10"/>
        <v>no</v>
      </c>
      <c r="AB87" s="115">
        <f t="shared" si="11"/>
        <v>0</v>
      </c>
      <c r="AC87" s="113">
        <f t="shared" si="35"/>
        <v>0</v>
      </c>
      <c r="AD87" s="116">
        <f t="shared" si="12"/>
        <v>0</v>
      </c>
      <c r="AE87" s="113">
        <f t="shared" si="13"/>
        <v>0</v>
      </c>
      <c r="AF87" s="116">
        <f t="shared" si="14"/>
        <v>0</v>
      </c>
      <c r="AG87" s="113">
        <f t="shared" si="15"/>
        <v>0</v>
      </c>
      <c r="AH87" s="113" t="str">
        <f t="shared" si="16"/>
        <v>no</v>
      </c>
      <c r="AI87" s="115">
        <f t="shared" si="17"/>
        <v>0</v>
      </c>
      <c r="AJ87" s="113">
        <f t="shared" si="36"/>
        <v>0</v>
      </c>
      <c r="AK87" s="116">
        <f t="shared" si="18"/>
        <v>0</v>
      </c>
      <c r="AL87" s="113">
        <f t="shared" si="19"/>
        <v>0</v>
      </c>
      <c r="AM87" s="115">
        <f t="shared" si="20"/>
        <v>0</v>
      </c>
      <c r="AN87" s="85">
        <f t="shared" si="21"/>
        <v>0</v>
      </c>
      <c r="AO87" s="113" t="str">
        <f t="shared" si="22"/>
        <v>yes</v>
      </c>
      <c r="AP87" s="115">
        <f t="shared" si="23"/>
        <v>0</v>
      </c>
      <c r="AQ87" s="113">
        <f t="shared" si="37"/>
        <v>0</v>
      </c>
      <c r="AR87" s="116">
        <f t="shared" si="24"/>
        <v>0.07450046649</v>
      </c>
      <c r="AS87" s="114">
        <f t="shared" si="25"/>
        <v>6436.840305</v>
      </c>
      <c r="AT87" s="116">
        <f t="shared" si="26"/>
        <v>0.0754989538</v>
      </c>
      <c r="AU87" s="114">
        <f t="shared" si="27"/>
        <v>6523.109609</v>
      </c>
      <c r="AV87" s="113" t="str">
        <f t="shared" si="28"/>
        <v>no</v>
      </c>
      <c r="AW87" s="115">
        <f t="shared" si="29"/>
        <v>0</v>
      </c>
      <c r="AX87" s="85">
        <f t="shared" si="38"/>
        <v>0</v>
      </c>
      <c r="AY87" s="116">
        <f t="shared" si="30"/>
        <v>0</v>
      </c>
      <c r="AZ87" s="113">
        <f t="shared" si="31"/>
        <v>0</v>
      </c>
      <c r="BA87" s="116">
        <f t="shared" si="32"/>
        <v>0</v>
      </c>
      <c r="BB87" s="113">
        <f t="shared" si="33"/>
        <v>0</v>
      </c>
      <c r="BC87" s="112">
        <v>0.3972715537999072</v>
      </c>
      <c r="BD87" s="113" t="str">
        <f>ifs(BC87&lt;='Range Tables'!$G$81,'Range Tables'!$B$81,BC87&lt;='Range Tables'!$G$82,'Range Tables'!$B$82)</f>
        <v>Offline*</v>
      </c>
      <c r="BE87" s="112">
        <v>0.9102586580603371</v>
      </c>
      <c r="BF87" s="112" t="str">
        <f>ifs(BE87&lt;='Range Tables'!$G$95,'Range Tables'!$B$95,BE87&lt;='Range Tables'!$G$96,'Range Tables'!$B$96,BE87&lt;='Range Tables'!$G$97,'Range Tables'!$B$97,BE87&lt;='Range Tables'!$G$98,'Range Tables'!$B$98,BE87&lt;='Range Tables'!$G$99,'Range Tables'!$B$99,BE87&lt;='Range Tables'!$G$100,'Range Tables'!$B$100,BE87&lt;='Range Tables'!$G$101,'Range Tables'!$B$101,BE87&lt;='Range Tables'!$G$102,'Range Tables'!$B$102,BE87&lt;='Range Tables'!$G$103,'Range Tables'!$B$103)</f>
        <v>Resai</v>
      </c>
      <c r="BG87" s="112">
        <v>0.05787797341536405</v>
      </c>
      <c r="BH87" s="113" t="str">
        <f>ifs(BG87&lt;='Range Tables'!$G$112,'Range Tables'!$B$112,BG87&lt;='Range Tables'!$G$113,'Range Tables'!$B$113,BG87&lt;='Range Tables'!$G$114,'Range Tables'!$B$114)</f>
        <v>0</v>
      </c>
      <c r="BI87" s="117">
        <v>0.1368731629653187</v>
      </c>
      <c r="BJ87" s="113" t="str">
        <f>ifs(BI87&lt;='Range Tables'!$G$118,'Range Tables'!$B$118,BI87&lt;='Range Tables'!$G$119,'Range Tables'!$B$119)</f>
        <v>Valid</v>
      </c>
    </row>
    <row r="88">
      <c r="A88" s="85">
        <v>85.0</v>
      </c>
      <c r="B88" s="112">
        <v>0.13664504371113195</v>
      </c>
      <c r="C88" s="113" t="str">
        <f>ifs(B88&lt;='Range Tables'!$G$54,'Range Tables'!$B$54,B88&lt;='Range Tables'!$G$55,'Range Tables'!$B$55,B88&lt;='Range Tables'!$G$56,'Range Tables'!$B$56,B88&lt;='Range Tables'!$G$57,'Range Tables'!$B$57,B88&lt;='Range Tables'!$G$58,'Range Tables'!$B$58,B88&lt;='Range Tables'!$G$59,'Range Tables'!$B$59,B88&lt;='Range Tables'!$G$60,'Range Tables'!$B$60,B88&lt;='Range Tables'!$G$61,'Range Tables'!$B$61,B88&lt;='Range Tables'!$G$63,'Range Tables'!$B$63,B88&lt;='Range Tables'!$G$64,'Range Tables'!$B$64,B88&lt;='Range Tables'!$G$66,'Range Tables'!$B$66)</f>
        <v>0 - 30</v>
      </c>
      <c r="D88" s="113">
        <f>IFERROR(__xludf.DUMMYFUNCTION("SPLIT(C88,""-"")"),0.0)</f>
        <v>0</v>
      </c>
      <c r="E88" s="113">
        <f>IFERROR(__xludf.DUMMYFUNCTION("""COMPUTED_VALUE"""),30.0)</f>
        <v>30</v>
      </c>
      <c r="F88" s="114">
        <f t="shared" si="40"/>
        <v>4.099351311</v>
      </c>
      <c r="G88" s="112">
        <v>0.7739136852200281</v>
      </c>
      <c r="H88" s="113" t="str">
        <f>ifs(G88&lt;='Range Tables'!$G$86,'Range Tables'!$B$86,G88&lt;='Range Tables'!$G$87,'Range Tables'!$B$87,G88&lt;='Range Tables'!$G$88,'Range Tables'!$B$88,G88&lt;='Range Tables'!$G$89,'Range Tables'!$B$89,G88&lt;='Range Tables'!$G$90,'Range Tables'!$B$90,G88&lt;='Range Tables'!$G$91,'Range Tables'!$B$91)</f>
        <v>Scooter</v>
      </c>
      <c r="I88" s="112">
        <v>0.032419437099005965</v>
      </c>
      <c r="J88" s="113" t="str">
        <f>IFS(
  H88="Car", IF(I88&lt;='Range Tables'!$G$19, 'Range Tables'!$B$19, 'Range Tables'!$B$20), 
  H88="Bike", IF(I88&lt;='Range Tables'!$G$25, 'Range Tables'!$B$25, 'Range Tables'!$B$26), 
  H88="Scooter", IF(I88&lt;='Range Tables'!$G$31, 'Range Tables'!$B$31, 'Range Tables'!$B$32), 
  H88="Auto", IF(I88&lt;='Range Tables'!$G$37, 'Range Tables'!$B$37, 'Range Tables'!$B$38), 
  H88="Carriers*", IF(I88&lt;='Range Tables'!$G$43, 'Range Tables'!$B$43, 'Range Tables'!$B$44), 
  H88="Van*", IF(I88&lt;='Range Tables'!$G$50, 'Range Tables'!$B$50, 'Range Tables'!$B$49)
)</f>
        <v>Petrol</v>
      </c>
      <c r="K88" s="112">
        <v>0.49271604168206906</v>
      </c>
      <c r="L88" s="113">
        <f>if(J88="Petrol",ifs(K88&lt;='Range Tables'!$G$5,'Range Tables'!$B$5,K88&lt;='Range Tables'!$G$6,'Range Tables'!$B$6,K88&lt;='Range Tables'!$G$7,'Range Tables'!$B$7),ifs(K88&lt;='Range Tables'!$G$13,'Range Tables'!$B$13,K88&lt;='Range Tables'!$G$14,'Range Tables'!$B$14))</f>
        <v>2</v>
      </c>
      <c r="M88" s="112">
        <v>0.10049555338002925</v>
      </c>
      <c r="N88" s="113" t="str">
        <f>ifs(H88="Car",ifs(M88&lt;='Range Tables'!$G$125,'Range Tables'!$B$125,M88&lt;='Range Tables'!$G$126,'Range Tables'!$B$126,M88&lt;='Range Tables'!$G$127,'Range Tables'!$B$127,M88&lt;='Range Tables'!$G$128,'Range Tables'!$B$128,M88&lt;='Range Tables'!$G$129,'Range Tables'!$B$129,'Range Tables'!$G$131,'Range Tables'!$B$131),H88="Bike",ifs(M88&lt;='Range Tables'!$G$136,'Range Tables'!$B$136,M88&lt;='Range Tables'!$G$137,'Range Tables'!$B$137,M88&lt;='Range Tables'!$G$138,'Range Tables'!$B$138,M88&lt;='Range Tables'!$G$142,'Range Tables'!$B$142),H88="Scooter",ifs(M88&lt;='Range Tables'!$G$148,'Range Tables'!$B$148,M88&lt;='Range Tables'!$G$149,'Range Tables'!$B$149,M88&lt;='Range Tables'!$G$150,'Range Tables'!$B$150,M88&lt;='Range Tables'!$G$151,'Range Tables'!$B$151),H88="Auto",ifs(M88&lt;='Range Tables'!$G$161,'Range Tables'!$B$161,M88&lt;='Range Tables'!$G$162,'Range Tables'!$B$162,M88&lt;='Range Tables'!$G$163,'Range Tables'!$B$163,M88&lt;='Range Tables'!$G$164,'Range Tables'!$B$164),H88="Carriers*",ifs(M88&lt;='Range Tables'!$G$173,'Range Tables'!$B$173,M88&lt;='Range Tables'!$G$174,'Range Tables'!$B$174,M88&lt;='Range Tables'!$G$175,'Range Tables'!$B$175,M88&lt;='Range Tables'!$G$176,'Range Tables'!$B$176,M88&lt;='Range Tables'!$G$177,'Range Tables'!$B$177,M88&lt;='Range Tables'!$G$179,'Range Tables'!$B$179),H88="Van*",ifs(M88&lt;='Range Tables'!$G$186,'Range Tables'!$B$186))</f>
        <v>30 - 60</v>
      </c>
      <c r="O88" s="113">
        <f>IFERROR(__xludf.DUMMYFUNCTION("SPLIT(N88,""-"")"),30.0)</f>
        <v>30</v>
      </c>
      <c r="P88" s="113">
        <f>IFERROR(__xludf.DUMMYFUNCTION("""COMPUTED_VALUE"""),60.0)</f>
        <v>60</v>
      </c>
      <c r="Q88" s="114">
        <f t="shared" si="2"/>
        <v>33.0148666</v>
      </c>
      <c r="R88" s="115">
        <f t="shared" si="3"/>
        <v>0.07542173644</v>
      </c>
      <c r="S88" s="114">
        <f t="shared" si="39"/>
        <v>6516.438028</v>
      </c>
      <c r="T88" s="113" t="str">
        <f t="shared" si="4"/>
        <v>no</v>
      </c>
      <c r="U88" s="115">
        <f t="shared" si="5"/>
        <v>0</v>
      </c>
      <c r="V88" s="113">
        <f t="shared" si="34"/>
        <v>0</v>
      </c>
      <c r="W88" s="115">
        <f t="shared" si="6"/>
        <v>0</v>
      </c>
      <c r="X88" s="85">
        <f t="shared" si="7"/>
        <v>0</v>
      </c>
      <c r="Y88" s="116">
        <f t="shared" si="8"/>
        <v>0</v>
      </c>
      <c r="Z88" s="113">
        <f t="shared" si="9"/>
        <v>0</v>
      </c>
      <c r="AA88" s="113" t="str">
        <f t="shared" si="10"/>
        <v>yes</v>
      </c>
      <c r="AB88" s="115">
        <f t="shared" si="11"/>
        <v>0</v>
      </c>
      <c r="AC88" s="113">
        <f t="shared" si="35"/>
        <v>0</v>
      </c>
      <c r="AD88" s="116">
        <f t="shared" si="12"/>
        <v>0.07542173644</v>
      </c>
      <c r="AE88" s="114">
        <f t="shared" si="13"/>
        <v>6516.438028</v>
      </c>
      <c r="AF88" s="116">
        <f t="shared" si="14"/>
        <v>0.07580385295</v>
      </c>
      <c r="AG88" s="114">
        <f t="shared" si="15"/>
        <v>6549.452895</v>
      </c>
      <c r="AH88" s="113" t="str">
        <f t="shared" si="16"/>
        <v>no</v>
      </c>
      <c r="AI88" s="115">
        <f t="shared" si="17"/>
        <v>0</v>
      </c>
      <c r="AJ88" s="113">
        <f t="shared" si="36"/>
        <v>0</v>
      </c>
      <c r="AK88" s="116">
        <f t="shared" si="18"/>
        <v>0</v>
      </c>
      <c r="AL88" s="113">
        <f t="shared" si="19"/>
        <v>0</v>
      </c>
      <c r="AM88" s="115">
        <f t="shared" si="20"/>
        <v>0</v>
      </c>
      <c r="AN88" s="85">
        <f t="shared" si="21"/>
        <v>0</v>
      </c>
      <c r="AO88" s="113" t="str">
        <f t="shared" si="22"/>
        <v>no</v>
      </c>
      <c r="AP88" s="115">
        <f t="shared" si="23"/>
        <v>0</v>
      </c>
      <c r="AQ88" s="113">
        <f t="shared" si="37"/>
        <v>0</v>
      </c>
      <c r="AR88" s="116">
        <f t="shared" si="24"/>
        <v>0</v>
      </c>
      <c r="AS88" s="113">
        <f t="shared" si="25"/>
        <v>0</v>
      </c>
      <c r="AT88" s="116">
        <f t="shared" si="26"/>
        <v>0</v>
      </c>
      <c r="AU88" s="113">
        <f t="shared" si="27"/>
        <v>0</v>
      </c>
      <c r="AV88" s="113" t="str">
        <f t="shared" si="28"/>
        <v>no</v>
      </c>
      <c r="AW88" s="115">
        <f t="shared" si="29"/>
        <v>0</v>
      </c>
      <c r="AX88" s="85">
        <f t="shared" si="38"/>
        <v>0</v>
      </c>
      <c r="AY88" s="116">
        <f t="shared" si="30"/>
        <v>0</v>
      </c>
      <c r="AZ88" s="113">
        <f t="shared" si="31"/>
        <v>0</v>
      </c>
      <c r="BA88" s="116">
        <f t="shared" si="32"/>
        <v>0</v>
      </c>
      <c r="BB88" s="113">
        <f t="shared" si="33"/>
        <v>0</v>
      </c>
      <c r="BC88" s="112">
        <v>0.8172196569974522</v>
      </c>
      <c r="BD88" s="113" t="str">
        <f>ifs(BC88&lt;='Range Tables'!$G$81,'Range Tables'!$B$81,BC88&lt;='Range Tables'!$G$82,'Range Tables'!$B$82)</f>
        <v>Offline*</v>
      </c>
      <c r="BE88" s="112">
        <v>0.05961494162375547</v>
      </c>
      <c r="BF88" s="112" t="str">
        <f>ifs(BE88&lt;='Range Tables'!$G$95,'Range Tables'!$B$95,BE88&lt;='Range Tables'!$G$96,'Range Tables'!$B$96,BE88&lt;='Range Tables'!$G$97,'Range Tables'!$B$97,BE88&lt;='Range Tables'!$G$98,'Range Tables'!$B$98,BE88&lt;='Range Tables'!$G$99,'Range Tables'!$B$99,BE88&lt;='Range Tables'!$G$100,'Range Tables'!$B$100,BE88&lt;='Range Tables'!$G$101,'Range Tables'!$B$101,BE88&lt;='Range Tables'!$G$102,'Range Tables'!$B$102,BE88&lt;='Range Tables'!$G$103,'Range Tables'!$B$103)</f>
        <v>Jammu</v>
      </c>
      <c r="BG88" s="112">
        <v>0.6573652308054622</v>
      </c>
      <c r="BH88" s="113" t="str">
        <f>ifs(BG88&lt;='Range Tables'!$G$112,'Range Tables'!$B$112,BG88&lt;='Range Tables'!$G$113,'Range Tables'!$B$113,BG88&lt;='Range Tables'!$G$114,'Range Tables'!$B$114)</f>
        <v>0</v>
      </c>
      <c r="BI88" s="117">
        <v>0.21772328028674826</v>
      </c>
      <c r="BJ88" s="113" t="str">
        <f>ifs(BI88&lt;='Range Tables'!$G$118,'Range Tables'!$B$118,BI88&lt;='Range Tables'!$G$119,'Range Tables'!$B$119)</f>
        <v>Valid</v>
      </c>
    </row>
    <row r="89">
      <c r="A89" s="85">
        <v>86.0</v>
      </c>
      <c r="B89" s="112">
        <v>0.4681171624896492</v>
      </c>
      <c r="C89" s="113" t="str">
        <f>ifs(B89&lt;='Range Tables'!$G$54,'Range Tables'!$B$54,B89&lt;='Range Tables'!$G$55,'Range Tables'!$B$55,B89&lt;='Range Tables'!$G$56,'Range Tables'!$B$56,B89&lt;='Range Tables'!$G$57,'Range Tables'!$B$57,B89&lt;='Range Tables'!$G$58,'Range Tables'!$B$58,B89&lt;='Range Tables'!$G$59,'Range Tables'!$B$59,B89&lt;='Range Tables'!$G$60,'Range Tables'!$B$60,B89&lt;='Range Tables'!$G$61,'Range Tables'!$B$61,B89&lt;='Range Tables'!$G$63,'Range Tables'!$B$63,B89&lt;='Range Tables'!$G$64,'Range Tables'!$B$64,B89&lt;='Range Tables'!$G$66,'Range Tables'!$B$66)</f>
        <v>30 - 60 </v>
      </c>
      <c r="D89" s="113">
        <f>IFERROR(__xludf.DUMMYFUNCTION("SPLIT(C89,""-"")"),30.0)</f>
        <v>30</v>
      </c>
      <c r="E89" s="113">
        <f>IFERROR(__xludf.DUMMYFUNCTION("""COMPUTED_VALUE"""),60.0)</f>
        <v>60</v>
      </c>
      <c r="F89" s="114">
        <f t="shared" si="40"/>
        <v>44.04351487</v>
      </c>
      <c r="G89" s="112">
        <v>0.11474556052203544</v>
      </c>
      <c r="H89" s="113" t="str">
        <f>ifs(G89&lt;='Range Tables'!$G$86,'Range Tables'!$B$86,G89&lt;='Range Tables'!$G$87,'Range Tables'!$B$87,G89&lt;='Range Tables'!$G$88,'Range Tables'!$B$88,G89&lt;='Range Tables'!$G$89,'Range Tables'!$B$89,G89&lt;='Range Tables'!$G$90,'Range Tables'!$B$90,G89&lt;='Range Tables'!$G$91,'Range Tables'!$B$91)</f>
        <v>Car</v>
      </c>
      <c r="I89" s="112">
        <v>0.009362107646481932</v>
      </c>
      <c r="J89" s="113" t="str">
        <f>IFS(
  H89="Car", IF(I89&lt;='Range Tables'!$G$19, 'Range Tables'!$B$19, 'Range Tables'!$B$20), 
  H89="Bike", IF(I89&lt;='Range Tables'!$G$25, 'Range Tables'!$B$25, 'Range Tables'!$B$26), 
  H89="Scooter", IF(I89&lt;='Range Tables'!$G$31, 'Range Tables'!$B$31, 'Range Tables'!$B$32), 
  H89="Auto", IF(I89&lt;='Range Tables'!$G$37, 'Range Tables'!$B$37, 'Range Tables'!$B$38), 
  H89="Carriers*", IF(I89&lt;='Range Tables'!$G$43, 'Range Tables'!$B$43, 'Range Tables'!$B$44), 
  H89="Van*", IF(I89&lt;='Range Tables'!$G$50, 'Range Tables'!$B$50, 'Range Tables'!$B$49)
)</f>
        <v>Petrol</v>
      </c>
      <c r="K89" s="112">
        <v>0.792220973334875</v>
      </c>
      <c r="L89" s="113">
        <f>if(J89="Petrol",ifs(K89&lt;='Range Tables'!$G$5,'Range Tables'!$B$5,K89&lt;='Range Tables'!$G$6,'Range Tables'!$B$6,K89&lt;='Range Tables'!$G$7,'Range Tables'!$B$7),ifs(K89&lt;='Range Tables'!$G$13,'Range Tables'!$B$13,K89&lt;='Range Tables'!$G$14,'Range Tables'!$B$14))</f>
        <v>3</v>
      </c>
      <c r="M89" s="112">
        <v>0.43178424459499665</v>
      </c>
      <c r="N89" s="113" t="str">
        <f>ifs(H89="Car",ifs(M89&lt;='Range Tables'!$G$125,'Range Tables'!$B$125,M89&lt;='Range Tables'!$G$126,'Range Tables'!$B$126,M89&lt;='Range Tables'!$G$127,'Range Tables'!$B$127,M89&lt;='Range Tables'!$G$128,'Range Tables'!$B$128,M89&lt;='Range Tables'!$G$129,'Range Tables'!$B$129,'Range Tables'!$G$131,'Range Tables'!$B$131),H89="Bike",ifs(M89&lt;='Range Tables'!$G$136,'Range Tables'!$B$136,M89&lt;='Range Tables'!$G$137,'Range Tables'!$B$137,M89&lt;='Range Tables'!$G$138,'Range Tables'!$B$138,M89&lt;='Range Tables'!$G$142,'Range Tables'!$B$142),H89="Scooter",ifs(M89&lt;='Range Tables'!$G$148,'Range Tables'!$B$148,M89&lt;='Range Tables'!$G$149,'Range Tables'!$B$149,M89&lt;='Range Tables'!$G$150,'Range Tables'!$B$150,M89&lt;='Range Tables'!$G$151,'Range Tables'!$B$151),H89="Auto",ifs(M89&lt;='Range Tables'!$G$161,'Range Tables'!$B$161,M89&lt;='Range Tables'!$G$162,'Range Tables'!$B$162,M89&lt;='Range Tables'!$G$163,'Range Tables'!$B$163,M89&lt;='Range Tables'!$G$164,'Range Tables'!$B$164),H89="Carriers*",ifs(M89&lt;='Range Tables'!$G$173,'Range Tables'!$B$173,M89&lt;='Range Tables'!$G$174,'Range Tables'!$B$174,M89&lt;='Range Tables'!$G$175,'Range Tables'!$B$175,M89&lt;='Range Tables'!$G$176,'Range Tables'!$B$176,M89&lt;='Range Tables'!$G$177,'Range Tables'!$B$177,M89&lt;='Range Tables'!$G$179,'Range Tables'!$B$179),H89="Van*",ifs(M89&lt;='Range Tables'!$G$186,'Range Tables'!$B$186))</f>
        <v>60 - 120</v>
      </c>
      <c r="O89" s="113">
        <f>IFERROR(__xludf.DUMMYFUNCTION("SPLIT(N89,""-"")"),60.0)</f>
        <v>60</v>
      </c>
      <c r="P89" s="113">
        <f>IFERROR(__xludf.DUMMYFUNCTION("""COMPUTED_VALUE"""),120.0)</f>
        <v>120</v>
      </c>
      <c r="Q89" s="114">
        <f t="shared" si="2"/>
        <v>85.90705468</v>
      </c>
      <c r="R89" s="115">
        <f t="shared" si="3"/>
        <v>0.07546918264</v>
      </c>
      <c r="S89" s="114">
        <f t="shared" si="39"/>
        <v>6520.53738</v>
      </c>
      <c r="T89" s="113" t="str">
        <f t="shared" si="4"/>
        <v>no</v>
      </c>
      <c r="U89" s="115">
        <f t="shared" si="5"/>
        <v>0</v>
      </c>
      <c r="V89" s="113">
        <f t="shared" si="34"/>
        <v>0</v>
      </c>
      <c r="W89" s="115">
        <f t="shared" si="6"/>
        <v>0</v>
      </c>
      <c r="X89" s="85">
        <f t="shared" si="7"/>
        <v>0</v>
      </c>
      <c r="Y89" s="116">
        <f t="shared" si="8"/>
        <v>0</v>
      </c>
      <c r="Z89" s="113">
        <f t="shared" si="9"/>
        <v>0</v>
      </c>
      <c r="AA89" s="113" t="str">
        <f t="shared" si="10"/>
        <v>no</v>
      </c>
      <c r="AB89" s="115">
        <f t="shared" si="11"/>
        <v>0</v>
      </c>
      <c r="AC89" s="113">
        <f t="shared" si="35"/>
        <v>0</v>
      </c>
      <c r="AD89" s="116">
        <f t="shared" si="12"/>
        <v>0</v>
      </c>
      <c r="AE89" s="113">
        <f t="shared" si="13"/>
        <v>0</v>
      </c>
      <c r="AF89" s="116">
        <f t="shared" si="14"/>
        <v>0</v>
      </c>
      <c r="AG89" s="113">
        <f t="shared" si="15"/>
        <v>0</v>
      </c>
      <c r="AH89" s="113" t="str">
        <f t="shared" si="16"/>
        <v>yes</v>
      </c>
      <c r="AI89" s="115">
        <f t="shared" si="17"/>
        <v>0</v>
      </c>
      <c r="AJ89" s="113">
        <f t="shared" si="36"/>
        <v>0</v>
      </c>
      <c r="AK89" s="116">
        <f t="shared" si="18"/>
        <v>0.07546918264</v>
      </c>
      <c r="AL89" s="114">
        <f t="shared" si="19"/>
        <v>6520.53738</v>
      </c>
      <c r="AM89" s="115">
        <f t="shared" si="20"/>
        <v>0.07646347725</v>
      </c>
      <c r="AN89" s="118">
        <f t="shared" si="21"/>
        <v>6606.444434</v>
      </c>
      <c r="AO89" s="113" t="str">
        <f t="shared" si="22"/>
        <v>no</v>
      </c>
      <c r="AP89" s="115">
        <f t="shared" si="23"/>
        <v>0</v>
      </c>
      <c r="AQ89" s="113">
        <f t="shared" si="37"/>
        <v>0</v>
      </c>
      <c r="AR89" s="116">
        <f t="shared" si="24"/>
        <v>0</v>
      </c>
      <c r="AS89" s="113">
        <f t="shared" si="25"/>
        <v>0</v>
      </c>
      <c r="AT89" s="116">
        <f t="shared" si="26"/>
        <v>0</v>
      </c>
      <c r="AU89" s="113">
        <f t="shared" si="27"/>
        <v>0</v>
      </c>
      <c r="AV89" s="113" t="str">
        <f t="shared" si="28"/>
        <v>no</v>
      </c>
      <c r="AW89" s="115">
        <f t="shared" si="29"/>
        <v>0</v>
      </c>
      <c r="AX89" s="85">
        <f t="shared" si="38"/>
        <v>0</v>
      </c>
      <c r="AY89" s="116">
        <f t="shared" si="30"/>
        <v>0</v>
      </c>
      <c r="AZ89" s="113">
        <f t="shared" si="31"/>
        <v>0</v>
      </c>
      <c r="BA89" s="116">
        <f t="shared" si="32"/>
        <v>0</v>
      </c>
      <c r="BB89" s="113">
        <f t="shared" si="33"/>
        <v>0</v>
      </c>
      <c r="BC89" s="112">
        <v>0.20878111343281847</v>
      </c>
      <c r="BD89" s="113" t="str">
        <f>ifs(BC89&lt;='Range Tables'!$G$81,'Range Tables'!$B$81,BC89&lt;='Range Tables'!$G$82,'Range Tables'!$B$82)</f>
        <v>Online*</v>
      </c>
      <c r="BE89" s="112">
        <v>0.18233657548176296</v>
      </c>
      <c r="BF89" s="112" t="str">
        <f>ifs(BE89&lt;='Range Tables'!$G$95,'Range Tables'!$B$95,BE89&lt;='Range Tables'!$G$96,'Range Tables'!$B$96,BE89&lt;='Range Tables'!$G$97,'Range Tables'!$B$97,BE89&lt;='Range Tables'!$G$98,'Range Tables'!$B$98,BE89&lt;='Range Tables'!$G$99,'Range Tables'!$B$99,BE89&lt;='Range Tables'!$G$100,'Range Tables'!$B$100,BE89&lt;='Range Tables'!$G$101,'Range Tables'!$B$101,BE89&lt;='Range Tables'!$G$102,'Range Tables'!$B$102,BE89&lt;='Range Tables'!$G$103,'Range Tables'!$B$103)</f>
        <v>Jammu</v>
      </c>
      <c r="BG89" s="112">
        <v>0.21059718583137899</v>
      </c>
      <c r="BH89" s="113" t="str">
        <f>ifs(BG89&lt;='Range Tables'!$G$112,'Range Tables'!$B$112,BG89&lt;='Range Tables'!$G$113,'Range Tables'!$B$113,BG89&lt;='Range Tables'!$G$114,'Range Tables'!$B$114)</f>
        <v>0</v>
      </c>
      <c r="BI89" s="117">
        <v>0.9509976563819184</v>
      </c>
      <c r="BJ89" s="113" t="str">
        <f>ifs(BI89&lt;='Range Tables'!$G$118,'Range Tables'!$B$118,BI89&lt;='Range Tables'!$G$119,'Range Tables'!$B$119)</f>
        <v>Expired</v>
      </c>
    </row>
    <row r="90">
      <c r="A90" s="85">
        <v>87.0</v>
      </c>
      <c r="B90" s="112">
        <v>0.33967892369697616</v>
      </c>
      <c r="C90" s="113" t="str">
        <f>ifs(B90&lt;='Range Tables'!$G$54,'Range Tables'!$B$54,B90&lt;='Range Tables'!$G$55,'Range Tables'!$B$55,B90&lt;='Range Tables'!$G$56,'Range Tables'!$B$56,B90&lt;='Range Tables'!$G$57,'Range Tables'!$B$57,B90&lt;='Range Tables'!$G$58,'Range Tables'!$B$58,B90&lt;='Range Tables'!$G$59,'Range Tables'!$B$59,B90&lt;='Range Tables'!$G$60,'Range Tables'!$B$60,B90&lt;='Range Tables'!$G$61,'Range Tables'!$B$61,B90&lt;='Range Tables'!$G$63,'Range Tables'!$B$63,B90&lt;='Range Tables'!$G$64,'Range Tables'!$B$64,B90&lt;='Range Tables'!$G$66,'Range Tables'!$B$66)</f>
        <v>30 - 60 </v>
      </c>
      <c r="D90" s="113">
        <f>IFERROR(__xludf.DUMMYFUNCTION("SPLIT(C90,""-"")"),30.0)</f>
        <v>30</v>
      </c>
      <c r="E90" s="113">
        <f>IFERROR(__xludf.DUMMYFUNCTION("""COMPUTED_VALUE"""),60.0)</f>
        <v>60</v>
      </c>
      <c r="F90" s="114">
        <f t="shared" si="40"/>
        <v>40.19036771</v>
      </c>
      <c r="G90" s="112">
        <v>0.06586100814317453</v>
      </c>
      <c r="H90" s="113" t="str">
        <f>ifs(G90&lt;='Range Tables'!$G$86,'Range Tables'!$B$86,G90&lt;='Range Tables'!$G$87,'Range Tables'!$B$87,G90&lt;='Range Tables'!$G$88,'Range Tables'!$B$88,G90&lt;='Range Tables'!$G$89,'Range Tables'!$B$89,G90&lt;='Range Tables'!$G$90,'Range Tables'!$B$90,G90&lt;='Range Tables'!$G$91,'Range Tables'!$B$91)</f>
        <v>Car</v>
      </c>
      <c r="I90" s="112">
        <v>0.49726361831096044</v>
      </c>
      <c r="J90" s="113" t="str">
        <f>IFS(
  H90="Car", IF(I90&lt;='Range Tables'!$G$19, 'Range Tables'!$B$19, 'Range Tables'!$B$20), 
  H90="Bike", IF(I90&lt;='Range Tables'!$G$25, 'Range Tables'!$B$25, 'Range Tables'!$B$26), 
  H90="Scooter", IF(I90&lt;='Range Tables'!$G$31, 'Range Tables'!$B$31, 'Range Tables'!$B$32), 
  H90="Auto", IF(I90&lt;='Range Tables'!$G$37, 'Range Tables'!$B$37, 'Range Tables'!$B$38), 
  H90="Carriers*", IF(I90&lt;='Range Tables'!$G$43, 'Range Tables'!$B$43, 'Range Tables'!$B$44), 
  H90="Van*", IF(I90&lt;='Range Tables'!$G$50, 'Range Tables'!$B$50, 'Range Tables'!$B$49)
)</f>
        <v>Petrol</v>
      </c>
      <c r="K90" s="112">
        <v>0.3432553863636063</v>
      </c>
      <c r="L90" s="113">
        <f>if(J90="Petrol",ifs(K90&lt;='Range Tables'!$G$5,'Range Tables'!$B$5,K90&lt;='Range Tables'!$G$6,'Range Tables'!$B$6,K90&lt;='Range Tables'!$G$7,'Range Tables'!$B$7),ifs(K90&lt;='Range Tables'!$G$13,'Range Tables'!$B$13,K90&lt;='Range Tables'!$G$14,'Range Tables'!$B$14))</f>
        <v>2</v>
      </c>
      <c r="M90" s="112">
        <v>0.9393750782542208</v>
      </c>
      <c r="N90" s="113" t="str">
        <f>ifs(H90="Car",ifs(M90&lt;='Range Tables'!$G$125,'Range Tables'!$B$125,M90&lt;='Range Tables'!$G$126,'Range Tables'!$B$126,M90&lt;='Range Tables'!$G$127,'Range Tables'!$B$127,M90&lt;='Range Tables'!$G$128,'Range Tables'!$B$128,M90&lt;='Range Tables'!$G$129,'Range Tables'!$B$129,'Range Tables'!$G$131,'Range Tables'!$B$131),H90="Bike",ifs(M90&lt;='Range Tables'!$G$136,'Range Tables'!$B$136,M90&lt;='Range Tables'!$G$137,'Range Tables'!$B$137,M90&lt;='Range Tables'!$G$138,'Range Tables'!$B$138,M90&lt;='Range Tables'!$G$142,'Range Tables'!$B$142),H90="Scooter",ifs(M90&lt;='Range Tables'!$G$148,'Range Tables'!$B$148,M90&lt;='Range Tables'!$G$149,'Range Tables'!$B$149,M90&lt;='Range Tables'!$G$150,'Range Tables'!$B$150,M90&lt;='Range Tables'!$G$151,'Range Tables'!$B$151),H90="Auto",ifs(M90&lt;='Range Tables'!$G$161,'Range Tables'!$B$161,M90&lt;='Range Tables'!$G$162,'Range Tables'!$B$162,M90&lt;='Range Tables'!$G$163,'Range Tables'!$B$163,M90&lt;='Range Tables'!$G$164,'Range Tables'!$B$164),H90="Carriers*",ifs(M90&lt;='Range Tables'!$G$173,'Range Tables'!$B$173,M90&lt;='Range Tables'!$G$174,'Range Tables'!$B$174,M90&lt;='Range Tables'!$G$175,'Range Tables'!$B$175,M90&lt;='Range Tables'!$G$176,'Range Tables'!$B$176,M90&lt;='Range Tables'!$G$177,'Range Tables'!$B$177,M90&lt;='Range Tables'!$G$179,'Range Tables'!$B$179),H90="Van*",ifs(M90&lt;='Range Tables'!$G$186,'Range Tables'!$B$186))</f>
        <v>300 - 360</v>
      </c>
      <c r="O90" s="113">
        <f>IFERROR(__xludf.DUMMYFUNCTION("SPLIT(N90,""-"")"),300.0)</f>
        <v>300</v>
      </c>
      <c r="P90" s="113">
        <f>IFERROR(__xludf.DUMMYFUNCTION("""COMPUTED_VALUE"""),360.0)</f>
        <v>360</v>
      </c>
      <c r="Q90" s="114">
        <f t="shared" si="2"/>
        <v>356.3625047</v>
      </c>
      <c r="R90" s="115">
        <f t="shared" si="3"/>
        <v>0.07597894554</v>
      </c>
      <c r="S90" s="114">
        <f t="shared" si="39"/>
        <v>6564.580895</v>
      </c>
      <c r="T90" s="113" t="str">
        <f t="shared" si="4"/>
        <v>no</v>
      </c>
      <c r="U90" s="115">
        <f t="shared" si="5"/>
        <v>0</v>
      </c>
      <c r="V90" s="113">
        <f t="shared" si="34"/>
        <v>0</v>
      </c>
      <c r="W90" s="115">
        <f t="shared" si="6"/>
        <v>0</v>
      </c>
      <c r="X90" s="85">
        <f t="shared" si="7"/>
        <v>0</v>
      </c>
      <c r="Y90" s="116">
        <f t="shared" si="8"/>
        <v>0</v>
      </c>
      <c r="Z90" s="113">
        <f t="shared" si="9"/>
        <v>0</v>
      </c>
      <c r="AA90" s="113" t="str">
        <f t="shared" si="10"/>
        <v>yes</v>
      </c>
      <c r="AB90" s="115">
        <f t="shared" si="11"/>
        <v>0</v>
      </c>
      <c r="AC90" s="113">
        <f t="shared" si="35"/>
        <v>0</v>
      </c>
      <c r="AD90" s="116">
        <f t="shared" si="12"/>
        <v>0.07597894554</v>
      </c>
      <c r="AE90" s="114">
        <f t="shared" si="13"/>
        <v>6564.580895</v>
      </c>
      <c r="AF90" s="116">
        <f t="shared" si="14"/>
        <v>0.08010351157</v>
      </c>
      <c r="AG90" s="114">
        <f t="shared" si="15"/>
        <v>6920.943399</v>
      </c>
      <c r="AH90" s="113" t="str">
        <f t="shared" si="16"/>
        <v>no</v>
      </c>
      <c r="AI90" s="115">
        <f t="shared" si="17"/>
        <v>0</v>
      </c>
      <c r="AJ90" s="113">
        <f t="shared" si="36"/>
        <v>0</v>
      </c>
      <c r="AK90" s="116">
        <f t="shared" si="18"/>
        <v>0</v>
      </c>
      <c r="AL90" s="113">
        <f t="shared" si="19"/>
        <v>0</v>
      </c>
      <c r="AM90" s="115">
        <f t="shared" si="20"/>
        <v>0</v>
      </c>
      <c r="AN90" s="85">
        <f t="shared" si="21"/>
        <v>0</v>
      </c>
      <c r="AO90" s="113" t="str">
        <f t="shared" si="22"/>
        <v>no</v>
      </c>
      <c r="AP90" s="115">
        <f t="shared" si="23"/>
        <v>0</v>
      </c>
      <c r="AQ90" s="113">
        <f t="shared" si="37"/>
        <v>0</v>
      </c>
      <c r="AR90" s="116">
        <f t="shared" si="24"/>
        <v>0</v>
      </c>
      <c r="AS90" s="113">
        <f t="shared" si="25"/>
        <v>0</v>
      </c>
      <c r="AT90" s="116">
        <f t="shared" si="26"/>
        <v>0</v>
      </c>
      <c r="AU90" s="113">
        <f t="shared" si="27"/>
        <v>0</v>
      </c>
      <c r="AV90" s="113" t="str">
        <f t="shared" si="28"/>
        <v>no</v>
      </c>
      <c r="AW90" s="115">
        <f t="shared" si="29"/>
        <v>0</v>
      </c>
      <c r="AX90" s="85">
        <f t="shared" si="38"/>
        <v>0</v>
      </c>
      <c r="AY90" s="116">
        <f t="shared" si="30"/>
        <v>0</v>
      </c>
      <c r="AZ90" s="113">
        <f t="shared" si="31"/>
        <v>0</v>
      </c>
      <c r="BA90" s="116">
        <f t="shared" si="32"/>
        <v>0</v>
      </c>
      <c r="BB90" s="113">
        <f t="shared" si="33"/>
        <v>0</v>
      </c>
      <c r="BC90" s="112">
        <v>0.9305253214553235</v>
      </c>
      <c r="BD90" s="113" t="str">
        <f>ifs(BC90&lt;='Range Tables'!$G$81,'Range Tables'!$B$81,BC90&lt;='Range Tables'!$G$82,'Range Tables'!$B$82)</f>
        <v>Offline*</v>
      </c>
      <c r="BE90" s="112">
        <v>0.040225114272512075</v>
      </c>
      <c r="BF90" s="112" t="str">
        <f>ifs(BE90&lt;='Range Tables'!$G$95,'Range Tables'!$B$95,BE90&lt;='Range Tables'!$G$96,'Range Tables'!$B$96,BE90&lt;='Range Tables'!$G$97,'Range Tables'!$B$97,BE90&lt;='Range Tables'!$G$98,'Range Tables'!$B$98,BE90&lt;='Range Tables'!$G$99,'Range Tables'!$B$99,BE90&lt;='Range Tables'!$G$100,'Range Tables'!$B$100,BE90&lt;='Range Tables'!$G$101,'Range Tables'!$B$101,BE90&lt;='Range Tables'!$G$102,'Range Tables'!$B$102,BE90&lt;='Range Tables'!$G$103,'Range Tables'!$B$103)</f>
        <v>Jammu</v>
      </c>
      <c r="BG90" s="112">
        <v>0.6381139595428719</v>
      </c>
      <c r="BH90" s="113" t="str">
        <f>ifs(BG90&lt;='Range Tables'!$G$112,'Range Tables'!$B$112,BG90&lt;='Range Tables'!$G$113,'Range Tables'!$B$113,BG90&lt;='Range Tables'!$G$114,'Range Tables'!$B$114)</f>
        <v>0</v>
      </c>
      <c r="BI90" s="117">
        <v>0.455703525087384</v>
      </c>
      <c r="BJ90" s="113" t="str">
        <f>ifs(BI90&lt;='Range Tables'!$G$118,'Range Tables'!$B$118,BI90&lt;='Range Tables'!$G$119,'Range Tables'!$B$119)</f>
        <v>Valid</v>
      </c>
    </row>
    <row r="91">
      <c r="A91" s="85">
        <v>88.0</v>
      </c>
      <c r="B91" s="112">
        <v>0.8673629794450184</v>
      </c>
      <c r="C91" s="113" t="str">
        <f>ifs(B91&lt;='Range Tables'!$G$54,'Range Tables'!$B$54,B91&lt;='Range Tables'!$G$55,'Range Tables'!$B$55,B91&lt;='Range Tables'!$G$56,'Range Tables'!$B$56,B91&lt;='Range Tables'!$G$57,'Range Tables'!$B$57,B91&lt;='Range Tables'!$G$58,'Range Tables'!$B$58,B91&lt;='Range Tables'!$G$59,'Range Tables'!$B$59,B91&lt;='Range Tables'!$G$60,'Range Tables'!$B$60,B91&lt;='Range Tables'!$G$61,'Range Tables'!$B$61,B91&lt;='Range Tables'!$G$63,'Range Tables'!$B$63,B91&lt;='Range Tables'!$G$64,'Range Tables'!$B$64,B91&lt;='Range Tables'!$G$66,'Range Tables'!$B$66)</f>
        <v>180 - 210</v>
      </c>
      <c r="D91" s="113">
        <f>IFERROR(__xludf.DUMMYFUNCTION("SPLIT(C91,""-"")"),180.0)</f>
        <v>180</v>
      </c>
      <c r="E91" s="113">
        <f>IFERROR(__xludf.DUMMYFUNCTION("""COMPUTED_VALUE"""),210.0)</f>
        <v>210</v>
      </c>
      <c r="F91" s="114">
        <f t="shared" si="40"/>
        <v>206.0208894</v>
      </c>
      <c r="G91" s="112">
        <v>0.18867890445626545</v>
      </c>
      <c r="H91" s="113" t="str">
        <f>ifs(G91&lt;='Range Tables'!$G$86,'Range Tables'!$B$86,G91&lt;='Range Tables'!$G$87,'Range Tables'!$B$87,G91&lt;='Range Tables'!$G$88,'Range Tables'!$B$88,G91&lt;='Range Tables'!$G$89,'Range Tables'!$B$89,G91&lt;='Range Tables'!$G$90,'Range Tables'!$B$90,G91&lt;='Range Tables'!$G$91,'Range Tables'!$B$91)</f>
        <v>Car</v>
      </c>
      <c r="I91" s="112">
        <v>0.7282843183814693</v>
      </c>
      <c r="J91" s="113" t="str">
        <f>IFS(
  H91="Car", IF(I91&lt;='Range Tables'!$G$19, 'Range Tables'!$B$19, 'Range Tables'!$B$20), 
  H91="Bike", IF(I91&lt;='Range Tables'!$G$25, 'Range Tables'!$B$25, 'Range Tables'!$B$26), 
  H91="Scooter", IF(I91&lt;='Range Tables'!$G$31, 'Range Tables'!$B$31, 'Range Tables'!$B$32), 
  H91="Auto", IF(I91&lt;='Range Tables'!$G$37, 'Range Tables'!$B$37, 'Range Tables'!$B$38), 
  H91="Carriers*", IF(I91&lt;='Range Tables'!$G$43, 'Range Tables'!$B$43, 'Range Tables'!$B$44), 
  H91="Van*", IF(I91&lt;='Range Tables'!$G$50, 'Range Tables'!$B$50, 'Range Tables'!$B$49)
)</f>
        <v>Petrol</v>
      </c>
      <c r="K91" s="112">
        <v>0.4448353109531884</v>
      </c>
      <c r="L91" s="113">
        <f>if(J91="Petrol",ifs(K91&lt;='Range Tables'!$G$5,'Range Tables'!$B$5,K91&lt;='Range Tables'!$G$6,'Range Tables'!$B$6,K91&lt;='Range Tables'!$G$7,'Range Tables'!$B$7),ifs(K91&lt;='Range Tables'!$G$13,'Range Tables'!$B$13,K91&lt;='Range Tables'!$G$14,'Range Tables'!$B$14))</f>
        <v>2</v>
      </c>
      <c r="M91" s="112">
        <v>0.06087694654858</v>
      </c>
      <c r="N91" s="113" t="str">
        <f>ifs(H91="Car",ifs(M91&lt;='Range Tables'!$G$125,'Range Tables'!$B$125,M91&lt;='Range Tables'!$G$126,'Range Tables'!$B$126,M91&lt;='Range Tables'!$G$127,'Range Tables'!$B$127,M91&lt;='Range Tables'!$G$128,'Range Tables'!$B$128,M91&lt;='Range Tables'!$G$129,'Range Tables'!$B$129,'Range Tables'!$G$131,'Range Tables'!$B$131),H91="Bike",ifs(M91&lt;='Range Tables'!$G$136,'Range Tables'!$B$136,M91&lt;='Range Tables'!$G$137,'Range Tables'!$B$137,M91&lt;='Range Tables'!$G$138,'Range Tables'!$B$138,M91&lt;='Range Tables'!$G$142,'Range Tables'!$B$142),H91="Scooter",ifs(M91&lt;='Range Tables'!$G$148,'Range Tables'!$B$148,M91&lt;='Range Tables'!$G$149,'Range Tables'!$B$149,M91&lt;='Range Tables'!$G$150,'Range Tables'!$B$150,M91&lt;='Range Tables'!$G$151,'Range Tables'!$B$151),H91="Auto",ifs(M91&lt;='Range Tables'!$G$161,'Range Tables'!$B$161,M91&lt;='Range Tables'!$G$162,'Range Tables'!$B$162,M91&lt;='Range Tables'!$G$163,'Range Tables'!$B$163,M91&lt;='Range Tables'!$G$164,'Range Tables'!$B$164),H91="Carriers*",ifs(M91&lt;='Range Tables'!$G$173,'Range Tables'!$B$173,M91&lt;='Range Tables'!$G$174,'Range Tables'!$B$174,M91&lt;='Range Tables'!$G$175,'Range Tables'!$B$175,M91&lt;='Range Tables'!$G$176,'Range Tables'!$B$176,M91&lt;='Range Tables'!$G$177,'Range Tables'!$B$177,M91&lt;='Range Tables'!$G$179,'Range Tables'!$B$179),H91="Van*",ifs(M91&lt;='Range Tables'!$G$186,'Range Tables'!$B$186))</f>
        <v>60 - 120</v>
      </c>
      <c r="O91" s="113">
        <f>IFERROR(__xludf.DUMMYFUNCTION("SPLIT(N91,""-"")"),60.0)</f>
        <v>60</v>
      </c>
      <c r="P91" s="113">
        <f>IFERROR(__xludf.DUMMYFUNCTION("""COMPUTED_VALUE"""),120.0)</f>
        <v>120</v>
      </c>
      <c r="Q91" s="114">
        <f t="shared" si="2"/>
        <v>63.65261679</v>
      </c>
      <c r="R91" s="115">
        <f t="shared" si="3"/>
        <v>0.07644411183</v>
      </c>
      <c r="S91" s="114">
        <f t="shared" si="39"/>
        <v>6604.771262</v>
      </c>
      <c r="T91" s="113" t="str">
        <f t="shared" si="4"/>
        <v>no</v>
      </c>
      <c r="U91" s="115">
        <f t="shared" si="5"/>
        <v>0</v>
      </c>
      <c r="V91" s="113">
        <f t="shared" si="34"/>
        <v>0</v>
      </c>
      <c r="W91" s="115">
        <f t="shared" si="6"/>
        <v>0</v>
      </c>
      <c r="X91" s="85">
        <f t="shared" si="7"/>
        <v>0</v>
      </c>
      <c r="Y91" s="116">
        <f t="shared" si="8"/>
        <v>0</v>
      </c>
      <c r="Z91" s="113">
        <f t="shared" si="9"/>
        <v>0</v>
      </c>
      <c r="AA91" s="113" t="str">
        <f t="shared" si="10"/>
        <v>yes</v>
      </c>
      <c r="AB91" s="115">
        <f t="shared" si="11"/>
        <v>0.003659399734</v>
      </c>
      <c r="AC91" s="114">
        <f t="shared" si="35"/>
        <v>316.172137</v>
      </c>
      <c r="AD91" s="116">
        <f t="shared" si="12"/>
        <v>0.08010351157</v>
      </c>
      <c r="AE91" s="114">
        <f t="shared" si="13"/>
        <v>6920.943399</v>
      </c>
      <c r="AF91" s="116">
        <f t="shared" si="14"/>
        <v>0.08084023167</v>
      </c>
      <c r="AG91" s="114">
        <f t="shared" si="15"/>
        <v>6984.596016</v>
      </c>
      <c r="AH91" s="113" t="str">
        <f t="shared" si="16"/>
        <v>no</v>
      </c>
      <c r="AI91" s="115">
        <f t="shared" si="17"/>
        <v>0</v>
      </c>
      <c r="AJ91" s="113">
        <f t="shared" si="36"/>
        <v>0</v>
      </c>
      <c r="AK91" s="116">
        <f t="shared" si="18"/>
        <v>0</v>
      </c>
      <c r="AL91" s="113">
        <f t="shared" si="19"/>
        <v>0</v>
      </c>
      <c r="AM91" s="115">
        <f t="shared" si="20"/>
        <v>0</v>
      </c>
      <c r="AN91" s="85">
        <f t="shared" si="21"/>
        <v>0</v>
      </c>
      <c r="AO91" s="113" t="str">
        <f t="shared" si="22"/>
        <v>no</v>
      </c>
      <c r="AP91" s="115">
        <f t="shared" si="23"/>
        <v>0</v>
      </c>
      <c r="AQ91" s="113">
        <f t="shared" si="37"/>
        <v>0</v>
      </c>
      <c r="AR91" s="116">
        <f t="shared" si="24"/>
        <v>0</v>
      </c>
      <c r="AS91" s="113">
        <f t="shared" si="25"/>
        <v>0</v>
      </c>
      <c r="AT91" s="116">
        <f t="shared" si="26"/>
        <v>0</v>
      </c>
      <c r="AU91" s="113">
        <f t="shared" si="27"/>
        <v>0</v>
      </c>
      <c r="AV91" s="113" t="str">
        <f t="shared" si="28"/>
        <v>no</v>
      </c>
      <c r="AW91" s="115">
        <f t="shared" si="29"/>
        <v>0</v>
      </c>
      <c r="AX91" s="85">
        <f t="shared" si="38"/>
        <v>0</v>
      </c>
      <c r="AY91" s="116">
        <f t="shared" si="30"/>
        <v>0</v>
      </c>
      <c r="AZ91" s="113">
        <f t="shared" si="31"/>
        <v>0</v>
      </c>
      <c r="BA91" s="116">
        <f t="shared" si="32"/>
        <v>0</v>
      </c>
      <c r="BB91" s="113">
        <f t="shared" si="33"/>
        <v>0</v>
      </c>
      <c r="BC91" s="112">
        <v>0.9508256971720145</v>
      </c>
      <c r="BD91" s="113" t="str">
        <f>ifs(BC91&lt;='Range Tables'!$G$81,'Range Tables'!$B$81,BC91&lt;='Range Tables'!$G$82,'Range Tables'!$B$82)</f>
        <v>Offline*</v>
      </c>
      <c r="BE91" s="112">
        <v>0.008586697536486665</v>
      </c>
      <c r="BF91" s="112" t="str">
        <f>ifs(BE91&lt;='Range Tables'!$G$95,'Range Tables'!$B$95,BE91&lt;='Range Tables'!$G$96,'Range Tables'!$B$96,BE91&lt;='Range Tables'!$G$97,'Range Tables'!$B$97,BE91&lt;='Range Tables'!$G$98,'Range Tables'!$B$98,BE91&lt;='Range Tables'!$G$99,'Range Tables'!$B$99,BE91&lt;='Range Tables'!$G$100,'Range Tables'!$B$100,BE91&lt;='Range Tables'!$G$101,'Range Tables'!$B$101,BE91&lt;='Range Tables'!$G$102,'Range Tables'!$B$102,BE91&lt;='Range Tables'!$G$103,'Range Tables'!$B$103)</f>
        <v>Jammu</v>
      </c>
      <c r="BG91" s="112">
        <v>0.729529582530383</v>
      </c>
      <c r="BH91" s="113" t="str">
        <f>ifs(BG91&lt;='Range Tables'!$G$112,'Range Tables'!$B$112,BG91&lt;='Range Tables'!$G$113,'Range Tables'!$B$113,BG91&lt;='Range Tables'!$G$114,'Range Tables'!$B$114)</f>
        <v>0</v>
      </c>
      <c r="BI91" s="117">
        <v>0.1097590947182957</v>
      </c>
      <c r="BJ91" s="113" t="str">
        <f>ifs(BI91&lt;='Range Tables'!$G$118,'Range Tables'!$B$118,BI91&lt;='Range Tables'!$G$119,'Range Tables'!$B$119)</f>
        <v>Valid</v>
      </c>
    </row>
    <row r="92">
      <c r="A92" s="85">
        <v>89.0</v>
      </c>
      <c r="B92" s="112">
        <v>0.5567583253701209</v>
      </c>
      <c r="C92" s="113" t="str">
        <f>ifs(B92&lt;='Range Tables'!$G$54,'Range Tables'!$B$54,B92&lt;='Range Tables'!$G$55,'Range Tables'!$B$55,B92&lt;='Range Tables'!$G$56,'Range Tables'!$B$56,B92&lt;='Range Tables'!$G$57,'Range Tables'!$B$57,B92&lt;='Range Tables'!$G$58,'Range Tables'!$B$58,B92&lt;='Range Tables'!$G$59,'Range Tables'!$B$59,B92&lt;='Range Tables'!$G$60,'Range Tables'!$B$60,B92&lt;='Range Tables'!$G$61,'Range Tables'!$B$61,B92&lt;='Range Tables'!$G$63,'Range Tables'!$B$63,B92&lt;='Range Tables'!$G$64,'Range Tables'!$B$64,B92&lt;='Range Tables'!$G$66,'Range Tables'!$B$66)</f>
        <v>60 - 90</v>
      </c>
      <c r="D92" s="113">
        <f>IFERROR(__xludf.DUMMYFUNCTION("SPLIT(C92,""-"")"),60.0)</f>
        <v>60</v>
      </c>
      <c r="E92" s="113">
        <f>IFERROR(__xludf.DUMMYFUNCTION("""COMPUTED_VALUE"""),90.0)</f>
        <v>90</v>
      </c>
      <c r="F92" s="114">
        <f t="shared" si="40"/>
        <v>76.70274976</v>
      </c>
      <c r="G92" s="112">
        <v>0.5567020571777798</v>
      </c>
      <c r="H92" s="113" t="str">
        <f>ifs(G92&lt;='Range Tables'!$G$86,'Range Tables'!$B$86,G92&lt;='Range Tables'!$G$87,'Range Tables'!$B$87,G92&lt;='Range Tables'!$G$88,'Range Tables'!$B$88,G92&lt;='Range Tables'!$G$89,'Range Tables'!$B$89,G92&lt;='Range Tables'!$G$90,'Range Tables'!$B$90,G92&lt;='Range Tables'!$G$91,'Range Tables'!$B$91)</f>
        <v>Bike</v>
      </c>
      <c r="I92" s="112">
        <v>0.37978752926030335</v>
      </c>
      <c r="J92" s="113" t="str">
        <f>IFS(
  H92="Car", IF(I92&lt;='Range Tables'!$G$19, 'Range Tables'!$B$19, 'Range Tables'!$B$20), 
  H92="Bike", IF(I92&lt;='Range Tables'!$G$25, 'Range Tables'!$B$25, 'Range Tables'!$B$26), 
  H92="Scooter", IF(I92&lt;='Range Tables'!$G$31, 'Range Tables'!$B$31, 'Range Tables'!$B$32), 
  H92="Auto", IF(I92&lt;='Range Tables'!$G$37, 'Range Tables'!$B$37, 'Range Tables'!$B$38), 
  H92="Carriers*", IF(I92&lt;='Range Tables'!$G$43, 'Range Tables'!$B$43, 'Range Tables'!$B$44), 
  H92="Van*", IF(I92&lt;='Range Tables'!$G$50, 'Range Tables'!$B$50, 'Range Tables'!$B$49)
)</f>
        <v>Petrol</v>
      </c>
      <c r="K92" s="112">
        <v>0.13648207196222628</v>
      </c>
      <c r="L92" s="113">
        <f>if(J92="Petrol",ifs(K92&lt;='Range Tables'!$G$5,'Range Tables'!$B$5,K92&lt;='Range Tables'!$G$6,'Range Tables'!$B$6,K92&lt;='Range Tables'!$G$7,'Range Tables'!$B$7),ifs(K92&lt;='Range Tables'!$G$13,'Range Tables'!$B$13,K92&lt;='Range Tables'!$G$14,'Range Tables'!$B$14))</f>
        <v>2</v>
      </c>
      <c r="M92" s="112">
        <v>0.14034222250181572</v>
      </c>
      <c r="N92" s="113" t="str">
        <f>ifs(H92="Car",ifs(M92&lt;='Range Tables'!$G$125,'Range Tables'!$B$125,M92&lt;='Range Tables'!$G$126,'Range Tables'!$B$126,M92&lt;='Range Tables'!$G$127,'Range Tables'!$B$127,M92&lt;='Range Tables'!$G$128,'Range Tables'!$B$128,M92&lt;='Range Tables'!$G$129,'Range Tables'!$B$129,'Range Tables'!$G$131,'Range Tables'!$B$131),H92="Bike",ifs(M92&lt;='Range Tables'!$G$136,'Range Tables'!$B$136,M92&lt;='Range Tables'!$G$137,'Range Tables'!$B$137,M92&lt;='Range Tables'!$G$138,'Range Tables'!$B$138,M92&lt;='Range Tables'!$G$142,'Range Tables'!$B$142),H92="Scooter",ifs(M92&lt;='Range Tables'!$G$148,'Range Tables'!$B$148,M92&lt;='Range Tables'!$G$149,'Range Tables'!$B$149,M92&lt;='Range Tables'!$G$150,'Range Tables'!$B$150,M92&lt;='Range Tables'!$G$151,'Range Tables'!$B$151),H92="Auto",ifs(M92&lt;='Range Tables'!$G$161,'Range Tables'!$B$161,M92&lt;='Range Tables'!$G$162,'Range Tables'!$B$162,M92&lt;='Range Tables'!$G$163,'Range Tables'!$B$163,M92&lt;='Range Tables'!$G$164,'Range Tables'!$B$164),H92="Carriers*",ifs(M92&lt;='Range Tables'!$G$173,'Range Tables'!$B$173,M92&lt;='Range Tables'!$G$174,'Range Tables'!$B$174,M92&lt;='Range Tables'!$G$175,'Range Tables'!$B$175,M92&lt;='Range Tables'!$G$176,'Range Tables'!$B$176,M92&lt;='Range Tables'!$G$177,'Range Tables'!$B$177,M92&lt;='Range Tables'!$G$179,'Range Tables'!$B$179),H92="Van*",ifs(M92&lt;='Range Tables'!$G$186,'Range Tables'!$B$186))</f>
        <v>30 - 60</v>
      </c>
      <c r="O92" s="113">
        <f>IFERROR(__xludf.DUMMYFUNCTION("SPLIT(N92,""-"")"),30.0)</f>
        <v>30</v>
      </c>
      <c r="P92" s="113">
        <f>IFERROR(__xludf.DUMMYFUNCTION("""COMPUTED_VALUE"""),60.0)</f>
        <v>60</v>
      </c>
      <c r="Q92" s="114">
        <f t="shared" si="2"/>
        <v>34.21026668</v>
      </c>
      <c r="R92" s="115">
        <f t="shared" si="3"/>
        <v>0.07882861287</v>
      </c>
      <c r="S92" s="114">
        <f t="shared" si="39"/>
        <v>6810.792152</v>
      </c>
      <c r="T92" s="113" t="str">
        <f t="shared" si="4"/>
        <v>no</v>
      </c>
      <c r="U92" s="115">
        <f t="shared" si="5"/>
        <v>0</v>
      </c>
      <c r="V92" s="113">
        <f t="shared" si="34"/>
        <v>0</v>
      </c>
      <c r="W92" s="115">
        <f t="shared" si="6"/>
        <v>0</v>
      </c>
      <c r="X92" s="85">
        <f t="shared" si="7"/>
        <v>0</v>
      </c>
      <c r="Y92" s="116">
        <f t="shared" si="8"/>
        <v>0</v>
      </c>
      <c r="Z92" s="113">
        <f t="shared" si="9"/>
        <v>0</v>
      </c>
      <c r="AA92" s="113" t="str">
        <f t="shared" si="10"/>
        <v>yes</v>
      </c>
      <c r="AB92" s="115">
        <f t="shared" si="11"/>
        <v>0.002011618801</v>
      </c>
      <c r="AC92" s="114">
        <f t="shared" si="35"/>
        <v>173.8038644</v>
      </c>
      <c r="AD92" s="116">
        <f t="shared" si="12"/>
        <v>0.08084023167</v>
      </c>
      <c r="AE92" s="114">
        <f t="shared" si="13"/>
        <v>6984.596016</v>
      </c>
      <c r="AF92" s="116">
        <f t="shared" si="14"/>
        <v>0.08123618383</v>
      </c>
      <c r="AG92" s="114">
        <f t="shared" si="15"/>
        <v>7018.806283</v>
      </c>
      <c r="AH92" s="113" t="str">
        <f t="shared" si="16"/>
        <v>no</v>
      </c>
      <c r="AI92" s="115">
        <f t="shared" si="17"/>
        <v>0</v>
      </c>
      <c r="AJ92" s="113">
        <f t="shared" si="36"/>
        <v>0</v>
      </c>
      <c r="AK92" s="116">
        <f t="shared" si="18"/>
        <v>0</v>
      </c>
      <c r="AL92" s="113">
        <f t="shared" si="19"/>
        <v>0</v>
      </c>
      <c r="AM92" s="115">
        <f t="shared" si="20"/>
        <v>0</v>
      </c>
      <c r="AN92" s="85">
        <f t="shared" si="21"/>
        <v>0</v>
      </c>
      <c r="AO92" s="113" t="str">
        <f t="shared" si="22"/>
        <v>no</v>
      </c>
      <c r="AP92" s="115">
        <f t="shared" si="23"/>
        <v>0</v>
      </c>
      <c r="AQ92" s="113">
        <f t="shared" si="37"/>
        <v>0</v>
      </c>
      <c r="AR92" s="116">
        <f t="shared" si="24"/>
        <v>0</v>
      </c>
      <c r="AS92" s="113">
        <f t="shared" si="25"/>
        <v>0</v>
      </c>
      <c r="AT92" s="116">
        <f t="shared" si="26"/>
        <v>0</v>
      </c>
      <c r="AU92" s="113">
        <f t="shared" si="27"/>
        <v>0</v>
      </c>
      <c r="AV92" s="113" t="str">
        <f t="shared" si="28"/>
        <v>no</v>
      </c>
      <c r="AW92" s="115">
        <f t="shared" si="29"/>
        <v>0</v>
      </c>
      <c r="AX92" s="85">
        <f t="shared" si="38"/>
        <v>0</v>
      </c>
      <c r="AY92" s="116">
        <f t="shared" si="30"/>
        <v>0</v>
      </c>
      <c r="AZ92" s="113">
        <f t="shared" si="31"/>
        <v>0</v>
      </c>
      <c r="BA92" s="116">
        <f t="shared" si="32"/>
        <v>0</v>
      </c>
      <c r="BB92" s="113">
        <f t="shared" si="33"/>
        <v>0</v>
      </c>
      <c r="BC92" s="112">
        <v>0.43003467804301265</v>
      </c>
      <c r="BD92" s="113" t="str">
        <f>ifs(BC92&lt;='Range Tables'!$G$81,'Range Tables'!$B$81,BC92&lt;='Range Tables'!$G$82,'Range Tables'!$B$82)</f>
        <v>Offline*</v>
      </c>
      <c r="BE92" s="112">
        <v>0.29019785171618184</v>
      </c>
      <c r="BF92" s="112" t="str">
        <f>ifs(BE92&lt;='Range Tables'!$G$95,'Range Tables'!$B$95,BE92&lt;='Range Tables'!$G$96,'Range Tables'!$B$96,BE92&lt;='Range Tables'!$G$97,'Range Tables'!$B$97,BE92&lt;='Range Tables'!$G$98,'Range Tables'!$B$98,BE92&lt;='Range Tables'!$G$99,'Range Tables'!$B$99,BE92&lt;='Range Tables'!$G$100,'Range Tables'!$B$100,BE92&lt;='Range Tables'!$G$101,'Range Tables'!$B$101,BE92&lt;='Range Tables'!$G$102,'Range Tables'!$B$102,BE92&lt;='Range Tables'!$G$103,'Range Tables'!$B$103)</f>
        <v>Jammu</v>
      </c>
      <c r="BG92" s="112">
        <v>0.1819753620944924</v>
      </c>
      <c r="BH92" s="113" t="str">
        <f>ifs(BG92&lt;='Range Tables'!$G$112,'Range Tables'!$B$112,BG92&lt;='Range Tables'!$G$113,'Range Tables'!$B$113,BG92&lt;='Range Tables'!$G$114,'Range Tables'!$B$114)</f>
        <v>0</v>
      </c>
      <c r="BI92" s="117">
        <v>0.02379474636755141</v>
      </c>
      <c r="BJ92" s="113" t="str">
        <f>ifs(BI92&lt;='Range Tables'!$G$118,'Range Tables'!$B$118,BI92&lt;='Range Tables'!$G$119,'Range Tables'!$B$119)</f>
        <v>Valid</v>
      </c>
    </row>
    <row r="93">
      <c r="A93" s="85">
        <v>90.0</v>
      </c>
      <c r="B93" s="112">
        <v>0.2555651267337432</v>
      </c>
      <c r="C93" s="113" t="str">
        <f>ifs(B93&lt;='Range Tables'!$G$54,'Range Tables'!$B$54,B93&lt;='Range Tables'!$G$55,'Range Tables'!$B$55,B93&lt;='Range Tables'!$G$56,'Range Tables'!$B$56,B93&lt;='Range Tables'!$G$57,'Range Tables'!$B$57,B93&lt;='Range Tables'!$G$58,'Range Tables'!$B$58,B93&lt;='Range Tables'!$G$59,'Range Tables'!$B$59,B93&lt;='Range Tables'!$G$60,'Range Tables'!$B$60,B93&lt;='Range Tables'!$G$61,'Range Tables'!$B$61,B93&lt;='Range Tables'!$G$63,'Range Tables'!$B$63,B93&lt;='Range Tables'!$G$64,'Range Tables'!$B$64,B93&lt;='Range Tables'!$G$66,'Range Tables'!$B$66)</f>
        <v>0 - 30</v>
      </c>
      <c r="D93" s="113">
        <f>IFERROR(__xludf.DUMMYFUNCTION("SPLIT(C93,""-"")"),0.0)</f>
        <v>0</v>
      </c>
      <c r="E93" s="113">
        <f>IFERROR(__xludf.DUMMYFUNCTION("""COMPUTED_VALUE"""),30.0)</f>
        <v>30</v>
      </c>
      <c r="F93" s="114">
        <f t="shared" si="40"/>
        <v>7.666953802</v>
      </c>
      <c r="G93" s="112">
        <v>0.7361329108353206</v>
      </c>
      <c r="H93" s="113" t="str">
        <f>ifs(G93&lt;='Range Tables'!$G$86,'Range Tables'!$B$86,G93&lt;='Range Tables'!$G$87,'Range Tables'!$B$87,G93&lt;='Range Tables'!$G$88,'Range Tables'!$B$88,G93&lt;='Range Tables'!$G$89,'Range Tables'!$B$89,G93&lt;='Range Tables'!$G$90,'Range Tables'!$B$90,G93&lt;='Range Tables'!$G$91,'Range Tables'!$B$91)</f>
        <v>Bike</v>
      </c>
      <c r="I93" s="112">
        <v>0.7773762061924417</v>
      </c>
      <c r="J93" s="113" t="str">
        <f>IFS(
  H93="Car", IF(I93&lt;='Range Tables'!$G$19, 'Range Tables'!$B$19, 'Range Tables'!$B$20), 
  H93="Bike", IF(I93&lt;='Range Tables'!$G$25, 'Range Tables'!$B$25, 'Range Tables'!$B$26), 
  H93="Scooter", IF(I93&lt;='Range Tables'!$G$31, 'Range Tables'!$B$31, 'Range Tables'!$B$32), 
  H93="Auto", IF(I93&lt;='Range Tables'!$G$37, 'Range Tables'!$B$37, 'Range Tables'!$B$38), 
  H93="Carriers*", IF(I93&lt;='Range Tables'!$G$43, 'Range Tables'!$B$43, 'Range Tables'!$B$44), 
  H93="Van*", IF(I93&lt;='Range Tables'!$G$50, 'Range Tables'!$B$50, 'Range Tables'!$B$49)
)</f>
        <v>Petrol</v>
      </c>
      <c r="K93" s="112">
        <v>0.2431074938941611</v>
      </c>
      <c r="L93" s="113">
        <f>if(J93="Petrol",ifs(K93&lt;='Range Tables'!$G$5,'Range Tables'!$B$5,K93&lt;='Range Tables'!$G$6,'Range Tables'!$B$6,K93&lt;='Range Tables'!$G$7,'Range Tables'!$B$7),ifs(K93&lt;='Range Tables'!$G$13,'Range Tables'!$B$13,K93&lt;='Range Tables'!$G$14,'Range Tables'!$B$14))</f>
        <v>2</v>
      </c>
      <c r="M93" s="112">
        <v>0.1531456711917355</v>
      </c>
      <c r="N93" s="113" t="str">
        <f>ifs(H93="Car",ifs(M93&lt;='Range Tables'!$G$125,'Range Tables'!$B$125,M93&lt;='Range Tables'!$G$126,'Range Tables'!$B$126,M93&lt;='Range Tables'!$G$127,'Range Tables'!$B$127,M93&lt;='Range Tables'!$G$128,'Range Tables'!$B$128,M93&lt;='Range Tables'!$G$129,'Range Tables'!$B$129,'Range Tables'!$G$131,'Range Tables'!$B$131),H93="Bike",ifs(M93&lt;='Range Tables'!$G$136,'Range Tables'!$B$136,M93&lt;='Range Tables'!$G$137,'Range Tables'!$B$137,M93&lt;='Range Tables'!$G$138,'Range Tables'!$B$138,M93&lt;='Range Tables'!$G$142,'Range Tables'!$B$142),H93="Scooter",ifs(M93&lt;='Range Tables'!$G$148,'Range Tables'!$B$148,M93&lt;='Range Tables'!$G$149,'Range Tables'!$B$149,M93&lt;='Range Tables'!$G$150,'Range Tables'!$B$150,M93&lt;='Range Tables'!$G$151,'Range Tables'!$B$151),H93="Auto",ifs(M93&lt;='Range Tables'!$G$161,'Range Tables'!$B$161,M93&lt;='Range Tables'!$G$162,'Range Tables'!$B$162,M93&lt;='Range Tables'!$G$163,'Range Tables'!$B$163,M93&lt;='Range Tables'!$G$164,'Range Tables'!$B$164),H93="Carriers*",ifs(M93&lt;='Range Tables'!$G$173,'Range Tables'!$B$173,M93&lt;='Range Tables'!$G$174,'Range Tables'!$B$174,M93&lt;='Range Tables'!$G$175,'Range Tables'!$B$175,M93&lt;='Range Tables'!$G$176,'Range Tables'!$B$176,M93&lt;='Range Tables'!$G$177,'Range Tables'!$B$177,M93&lt;='Range Tables'!$G$179,'Range Tables'!$B$179),H93="Van*",ifs(M93&lt;='Range Tables'!$G$186,'Range Tables'!$B$186))</f>
        <v>30 - 60</v>
      </c>
      <c r="O93" s="113">
        <f>IFERROR(__xludf.DUMMYFUNCTION("SPLIT(N93,""-"")"),30.0)</f>
        <v>30</v>
      </c>
      <c r="P93" s="113">
        <f>IFERROR(__xludf.DUMMYFUNCTION("""COMPUTED_VALUE"""),60.0)</f>
        <v>60</v>
      </c>
      <c r="Q93" s="114">
        <f t="shared" si="2"/>
        <v>34.59437014</v>
      </c>
      <c r="R93" s="115">
        <f t="shared" si="3"/>
        <v>0.07971637618</v>
      </c>
      <c r="S93" s="114">
        <f t="shared" si="39"/>
        <v>6887.494902</v>
      </c>
      <c r="T93" s="113" t="str">
        <f t="shared" si="4"/>
        <v>no</v>
      </c>
      <c r="U93" s="115">
        <f t="shared" si="5"/>
        <v>0</v>
      </c>
      <c r="V93" s="113">
        <f t="shared" si="34"/>
        <v>0</v>
      </c>
      <c r="W93" s="115">
        <f t="shared" si="6"/>
        <v>0</v>
      </c>
      <c r="X93" s="85">
        <f t="shared" si="7"/>
        <v>0</v>
      </c>
      <c r="Y93" s="116">
        <f t="shared" si="8"/>
        <v>0</v>
      </c>
      <c r="Z93" s="113">
        <f t="shared" si="9"/>
        <v>0</v>
      </c>
      <c r="AA93" s="113" t="str">
        <f t="shared" si="10"/>
        <v>yes</v>
      </c>
      <c r="AB93" s="115">
        <f t="shared" si="11"/>
        <v>0.001519807654</v>
      </c>
      <c r="AC93" s="114">
        <f t="shared" si="35"/>
        <v>131.3113813</v>
      </c>
      <c r="AD93" s="116">
        <f t="shared" si="12"/>
        <v>0.08123618383</v>
      </c>
      <c r="AE93" s="114">
        <f t="shared" si="13"/>
        <v>7018.806283</v>
      </c>
      <c r="AF93" s="116">
        <f t="shared" si="14"/>
        <v>0.08163658163</v>
      </c>
      <c r="AG93" s="114">
        <f t="shared" si="15"/>
        <v>7053.400653</v>
      </c>
      <c r="AH93" s="113" t="str">
        <f t="shared" si="16"/>
        <v>no</v>
      </c>
      <c r="AI93" s="115">
        <f t="shared" si="17"/>
        <v>0</v>
      </c>
      <c r="AJ93" s="113">
        <f t="shared" si="36"/>
        <v>0</v>
      </c>
      <c r="AK93" s="116">
        <f t="shared" si="18"/>
        <v>0</v>
      </c>
      <c r="AL93" s="113">
        <f t="shared" si="19"/>
        <v>0</v>
      </c>
      <c r="AM93" s="115">
        <f t="shared" si="20"/>
        <v>0</v>
      </c>
      <c r="AN93" s="85">
        <f t="shared" si="21"/>
        <v>0</v>
      </c>
      <c r="AO93" s="113" t="str">
        <f t="shared" si="22"/>
        <v>no</v>
      </c>
      <c r="AP93" s="115">
        <f t="shared" si="23"/>
        <v>0</v>
      </c>
      <c r="AQ93" s="113">
        <f t="shared" si="37"/>
        <v>0</v>
      </c>
      <c r="AR93" s="116">
        <f t="shared" si="24"/>
        <v>0</v>
      </c>
      <c r="AS93" s="113">
        <f t="shared" si="25"/>
        <v>0</v>
      </c>
      <c r="AT93" s="116">
        <f t="shared" si="26"/>
        <v>0</v>
      </c>
      <c r="AU93" s="113">
        <f t="shared" si="27"/>
        <v>0</v>
      </c>
      <c r="AV93" s="113" t="str">
        <f t="shared" si="28"/>
        <v>no</v>
      </c>
      <c r="AW93" s="115">
        <f t="shared" si="29"/>
        <v>0</v>
      </c>
      <c r="AX93" s="85">
        <f t="shared" si="38"/>
        <v>0</v>
      </c>
      <c r="AY93" s="116">
        <f t="shared" si="30"/>
        <v>0</v>
      </c>
      <c r="AZ93" s="113">
        <f t="shared" si="31"/>
        <v>0</v>
      </c>
      <c r="BA93" s="116">
        <f t="shared" si="32"/>
        <v>0</v>
      </c>
      <c r="BB93" s="113">
        <f t="shared" si="33"/>
        <v>0</v>
      </c>
      <c r="BC93" s="112">
        <v>0.08652277129511654</v>
      </c>
      <c r="BD93" s="113" t="str">
        <f>ifs(BC93&lt;='Range Tables'!$G$81,'Range Tables'!$B$81,BC93&lt;='Range Tables'!$G$82,'Range Tables'!$B$82)</f>
        <v>Online*</v>
      </c>
      <c r="BE93" s="112">
        <v>0.9292319027547806</v>
      </c>
      <c r="BF93" s="112" t="str">
        <f>ifs(BE93&lt;='Range Tables'!$G$95,'Range Tables'!$B$95,BE93&lt;='Range Tables'!$G$96,'Range Tables'!$B$96,BE93&lt;='Range Tables'!$G$97,'Range Tables'!$B$97,BE93&lt;='Range Tables'!$G$98,'Range Tables'!$B$98,BE93&lt;='Range Tables'!$G$99,'Range Tables'!$B$99,BE93&lt;='Range Tables'!$G$100,'Range Tables'!$B$100,BE93&lt;='Range Tables'!$G$101,'Range Tables'!$B$101,BE93&lt;='Range Tables'!$G$102,'Range Tables'!$B$102,BE93&lt;='Range Tables'!$G$103,'Range Tables'!$B$103)</f>
        <v>Resai</v>
      </c>
      <c r="BG93" s="112">
        <v>0.16457274212778739</v>
      </c>
      <c r="BH93" s="113" t="str">
        <f>ifs(BG93&lt;='Range Tables'!$G$112,'Range Tables'!$B$112,BG93&lt;='Range Tables'!$G$113,'Range Tables'!$B$113,BG93&lt;='Range Tables'!$G$114,'Range Tables'!$B$114)</f>
        <v>0</v>
      </c>
      <c r="BI93" s="117">
        <v>0.6205959197575238</v>
      </c>
      <c r="BJ93" s="113" t="str">
        <f>ifs(BI93&lt;='Range Tables'!$G$118,'Range Tables'!$B$118,BI93&lt;='Range Tables'!$G$119,'Range Tables'!$B$119)</f>
        <v>Expired</v>
      </c>
    </row>
    <row r="94">
      <c r="A94" s="85">
        <v>91.0</v>
      </c>
      <c r="B94" s="112">
        <v>0.4773626061387687</v>
      </c>
      <c r="C94" s="113" t="str">
        <f>ifs(B94&lt;='Range Tables'!$G$54,'Range Tables'!$B$54,B94&lt;='Range Tables'!$G$55,'Range Tables'!$B$55,B94&lt;='Range Tables'!$G$56,'Range Tables'!$B$56,B94&lt;='Range Tables'!$G$57,'Range Tables'!$B$57,B94&lt;='Range Tables'!$G$58,'Range Tables'!$B$58,B94&lt;='Range Tables'!$G$59,'Range Tables'!$B$59,B94&lt;='Range Tables'!$G$60,'Range Tables'!$B$60,B94&lt;='Range Tables'!$G$61,'Range Tables'!$B$61,B94&lt;='Range Tables'!$G$63,'Range Tables'!$B$63,B94&lt;='Range Tables'!$G$64,'Range Tables'!$B$64,B94&lt;='Range Tables'!$G$66,'Range Tables'!$B$66)</f>
        <v>30 - 60 </v>
      </c>
      <c r="D94" s="113">
        <f>IFERROR(__xludf.DUMMYFUNCTION("SPLIT(C94,""-"")"),30.0)</f>
        <v>30</v>
      </c>
      <c r="E94" s="113">
        <f>IFERROR(__xludf.DUMMYFUNCTION("""COMPUTED_VALUE"""),60.0)</f>
        <v>60</v>
      </c>
      <c r="F94" s="114">
        <f t="shared" si="40"/>
        <v>44.32087818</v>
      </c>
      <c r="G94" s="112">
        <v>0.08765336431818327</v>
      </c>
      <c r="H94" s="113" t="str">
        <f>ifs(G94&lt;='Range Tables'!$G$86,'Range Tables'!$B$86,G94&lt;='Range Tables'!$G$87,'Range Tables'!$B$87,G94&lt;='Range Tables'!$G$88,'Range Tables'!$B$88,G94&lt;='Range Tables'!$G$89,'Range Tables'!$B$89,G94&lt;='Range Tables'!$G$90,'Range Tables'!$B$90,G94&lt;='Range Tables'!$G$91,'Range Tables'!$B$91)</f>
        <v>Car</v>
      </c>
      <c r="I94" s="112">
        <v>0.7278421781149088</v>
      </c>
      <c r="J94" s="113" t="str">
        <f>IFS(
  H94="Car", IF(I94&lt;='Range Tables'!$G$19, 'Range Tables'!$B$19, 'Range Tables'!$B$20), 
  H94="Bike", IF(I94&lt;='Range Tables'!$G$25, 'Range Tables'!$B$25, 'Range Tables'!$B$26), 
  H94="Scooter", IF(I94&lt;='Range Tables'!$G$31, 'Range Tables'!$B$31, 'Range Tables'!$B$32), 
  H94="Auto", IF(I94&lt;='Range Tables'!$G$37, 'Range Tables'!$B$37, 'Range Tables'!$B$38), 
  H94="Carriers*", IF(I94&lt;='Range Tables'!$G$43, 'Range Tables'!$B$43, 'Range Tables'!$B$44), 
  H94="Van*", IF(I94&lt;='Range Tables'!$G$50, 'Range Tables'!$B$50, 'Range Tables'!$B$49)
)</f>
        <v>Petrol</v>
      </c>
      <c r="K94" s="112">
        <v>0.902554790218455</v>
      </c>
      <c r="L94" s="113">
        <f>if(J94="Petrol",ifs(K94&lt;='Range Tables'!$G$5,'Range Tables'!$B$5,K94&lt;='Range Tables'!$G$6,'Range Tables'!$B$6,K94&lt;='Range Tables'!$G$7,'Range Tables'!$B$7),ifs(K94&lt;='Range Tables'!$G$13,'Range Tables'!$B$13,K94&lt;='Range Tables'!$G$14,'Range Tables'!$B$14))</f>
        <v>4</v>
      </c>
      <c r="M94" s="112">
        <v>0.3603863025377546</v>
      </c>
      <c r="N94" s="113" t="str">
        <f>ifs(H94="Car",ifs(M94&lt;='Range Tables'!$G$125,'Range Tables'!$B$125,M94&lt;='Range Tables'!$G$126,'Range Tables'!$B$126,M94&lt;='Range Tables'!$G$127,'Range Tables'!$B$127,M94&lt;='Range Tables'!$G$128,'Range Tables'!$B$128,M94&lt;='Range Tables'!$G$129,'Range Tables'!$B$129,'Range Tables'!$G$131,'Range Tables'!$B$131),H94="Bike",ifs(M94&lt;='Range Tables'!$G$136,'Range Tables'!$B$136,M94&lt;='Range Tables'!$G$137,'Range Tables'!$B$137,M94&lt;='Range Tables'!$G$138,'Range Tables'!$B$138,M94&lt;='Range Tables'!$G$142,'Range Tables'!$B$142),H94="Scooter",ifs(M94&lt;='Range Tables'!$G$148,'Range Tables'!$B$148,M94&lt;='Range Tables'!$G$149,'Range Tables'!$B$149,M94&lt;='Range Tables'!$G$150,'Range Tables'!$B$150,M94&lt;='Range Tables'!$G$151,'Range Tables'!$B$151),H94="Auto",ifs(M94&lt;='Range Tables'!$G$161,'Range Tables'!$B$161,M94&lt;='Range Tables'!$G$162,'Range Tables'!$B$162,M94&lt;='Range Tables'!$G$163,'Range Tables'!$B$163,M94&lt;='Range Tables'!$G$164,'Range Tables'!$B$164),H94="Carriers*",ifs(M94&lt;='Range Tables'!$G$173,'Range Tables'!$B$173,M94&lt;='Range Tables'!$G$174,'Range Tables'!$B$174,M94&lt;='Range Tables'!$G$175,'Range Tables'!$B$175,M94&lt;='Range Tables'!$G$176,'Range Tables'!$B$176,M94&lt;='Range Tables'!$G$177,'Range Tables'!$B$177,M94&lt;='Range Tables'!$G$179,'Range Tables'!$B$179),H94="Van*",ifs(M94&lt;='Range Tables'!$G$186,'Range Tables'!$B$186))</f>
        <v>60 - 120</v>
      </c>
      <c r="O94" s="113">
        <f>IFERROR(__xludf.DUMMYFUNCTION("SPLIT(N94,""-"")"),60.0)</f>
        <v>60</v>
      </c>
      <c r="P94" s="113">
        <f>IFERROR(__xludf.DUMMYFUNCTION("""COMPUTED_VALUE"""),120.0)</f>
        <v>120</v>
      </c>
      <c r="Q94" s="114">
        <f t="shared" si="2"/>
        <v>81.62317815</v>
      </c>
      <c r="R94" s="115">
        <f t="shared" si="3"/>
        <v>0.07980511407</v>
      </c>
      <c r="S94" s="114">
        <f t="shared" si="39"/>
        <v>6895.161855</v>
      </c>
      <c r="T94" s="113" t="str">
        <f t="shared" si="4"/>
        <v>no</v>
      </c>
      <c r="U94" s="115">
        <f t="shared" si="5"/>
        <v>0</v>
      </c>
      <c r="V94" s="113">
        <f t="shared" si="34"/>
        <v>0</v>
      </c>
      <c r="W94" s="115">
        <f t="shared" si="6"/>
        <v>0</v>
      </c>
      <c r="X94" s="85">
        <f t="shared" si="7"/>
        <v>0</v>
      </c>
      <c r="Y94" s="116">
        <f t="shared" si="8"/>
        <v>0</v>
      </c>
      <c r="Z94" s="113">
        <f t="shared" si="9"/>
        <v>0</v>
      </c>
      <c r="AA94" s="113" t="str">
        <f t="shared" si="10"/>
        <v>no</v>
      </c>
      <c r="AB94" s="115">
        <f t="shared" si="11"/>
        <v>0</v>
      </c>
      <c r="AC94" s="113">
        <f t="shared" si="35"/>
        <v>0</v>
      </c>
      <c r="AD94" s="116">
        <f t="shared" si="12"/>
        <v>0</v>
      </c>
      <c r="AE94" s="113">
        <f t="shared" si="13"/>
        <v>0</v>
      </c>
      <c r="AF94" s="116">
        <f t="shared" si="14"/>
        <v>0</v>
      </c>
      <c r="AG94" s="113">
        <f t="shared" si="15"/>
        <v>0</v>
      </c>
      <c r="AH94" s="113" t="str">
        <f t="shared" si="16"/>
        <v>no</v>
      </c>
      <c r="AI94" s="115">
        <f t="shared" si="17"/>
        <v>0</v>
      </c>
      <c r="AJ94" s="113">
        <f t="shared" si="36"/>
        <v>0</v>
      </c>
      <c r="AK94" s="116">
        <f t="shared" si="18"/>
        <v>0</v>
      </c>
      <c r="AL94" s="113">
        <f t="shared" si="19"/>
        <v>0</v>
      </c>
      <c r="AM94" s="115">
        <f t="shared" si="20"/>
        <v>0</v>
      </c>
      <c r="AN94" s="85">
        <f t="shared" si="21"/>
        <v>0</v>
      </c>
      <c r="AO94" s="113" t="str">
        <f t="shared" si="22"/>
        <v>yes</v>
      </c>
      <c r="AP94" s="115">
        <f t="shared" si="23"/>
        <v>0</v>
      </c>
      <c r="AQ94" s="113">
        <f t="shared" si="37"/>
        <v>0</v>
      </c>
      <c r="AR94" s="116">
        <f t="shared" si="24"/>
        <v>0.07980511407</v>
      </c>
      <c r="AS94" s="114">
        <f t="shared" si="25"/>
        <v>6895.161855</v>
      </c>
      <c r="AT94" s="116">
        <f t="shared" si="26"/>
        <v>0.08074982678</v>
      </c>
      <c r="AU94" s="114">
        <f t="shared" si="27"/>
        <v>6976.785033</v>
      </c>
      <c r="AV94" s="113" t="str">
        <f t="shared" si="28"/>
        <v>no</v>
      </c>
      <c r="AW94" s="115">
        <f t="shared" si="29"/>
        <v>0</v>
      </c>
      <c r="AX94" s="85">
        <f t="shared" si="38"/>
        <v>0</v>
      </c>
      <c r="AY94" s="116">
        <f t="shared" si="30"/>
        <v>0</v>
      </c>
      <c r="AZ94" s="113">
        <f t="shared" si="31"/>
        <v>0</v>
      </c>
      <c r="BA94" s="116">
        <f t="shared" si="32"/>
        <v>0</v>
      </c>
      <c r="BB94" s="113">
        <f t="shared" si="33"/>
        <v>0</v>
      </c>
      <c r="BC94" s="112">
        <v>0.7398147393300121</v>
      </c>
      <c r="BD94" s="113" t="str">
        <f>ifs(BC94&lt;='Range Tables'!$G$81,'Range Tables'!$B$81,BC94&lt;='Range Tables'!$G$82,'Range Tables'!$B$82)</f>
        <v>Offline*</v>
      </c>
      <c r="BE94" s="112">
        <v>0.8798956338852991</v>
      </c>
      <c r="BF94" s="112" t="str">
        <f>ifs(BE94&lt;='Range Tables'!$G$95,'Range Tables'!$B$95,BE94&lt;='Range Tables'!$G$96,'Range Tables'!$B$96,BE94&lt;='Range Tables'!$G$97,'Range Tables'!$B$97,BE94&lt;='Range Tables'!$G$98,'Range Tables'!$B$98,BE94&lt;='Range Tables'!$G$99,'Range Tables'!$B$99,BE94&lt;='Range Tables'!$G$100,'Range Tables'!$B$100,BE94&lt;='Range Tables'!$G$101,'Range Tables'!$B$101,BE94&lt;='Range Tables'!$G$102,'Range Tables'!$B$102,BE94&lt;='Range Tables'!$G$103,'Range Tables'!$B$103)</f>
        <v>Udhampur</v>
      </c>
      <c r="BG94" s="112">
        <v>0.7198907693440102</v>
      </c>
      <c r="BH94" s="113" t="str">
        <f>ifs(BG94&lt;='Range Tables'!$G$112,'Range Tables'!$B$112,BG94&lt;='Range Tables'!$G$113,'Range Tables'!$B$113,BG94&lt;='Range Tables'!$G$114,'Range Tables'!$B$114)</f>
        <v>0</v>
      </c>
      <c r="BI94" s="117">
        <v>0.6263812310273424</v>
      </c>
      <c r="BJ94" s="113" t="str">
        <f>ifs(BI94&lt;='Range Tables'!$G$118,'Range Tables'!$B$118,BI94&lt;='Range Tables'!$G$119,'Range Tables'!$B$119)</f>
        <v>Expired</v>
      </c>
    </row>
    <row r="95">
      <c r="A95" s="85">
        <v>92.0</v>
      </c>
      <c r="B95" s="112">
        <v>0.16956977866739886</v>
      </c>
      <c r="C95" s="113" t="str">
        <f>ifs(B95&lt;='Range Tables'!$G$54,'Range Tables'!$B$54,B95&lt;='Range Tables'!$G$55,'Range Tables'!$B$55,B95&lt;='Range Tables'!$G$56,'Range Tables'!$B$56,B95&lt;='Range Tables'!$G$57,'Range Tables'!$B$57,B95&lt;='Range Tables'!$G$58,'Range Tables'!$B$58,B95&lt;='Range Tables'!$G$59,'Range Tables'!$B$59,B95&lt;='Range Tables'!$G$60,'Range Tables'!$B$60,B95&lt;='Range Tables'!$G$61,'Range Tables'!$B$61,B95&lt;='Range Tables'!$G$63,'Range Tables'!$B$63,B95&lt;='Range Tables'!$G$64,'Range Tables'!$B$64,B95&lt;='Range Tables'!$G$66,'Range Tables'!$B$66)</f>
        <v>0 - 30</v>
      </c>
      <c r="D95" s="113">
        <f>IFERROR(__xludf.DUMMYFUNCTION("SPLIT(C95,""-"")"),0.0)</f>
        <v>0</v>
      </c>
      <c r="E95" s="113">
        <f>IFERROR(__xludf.DUMMYFUNCTION("""COMPUTED_VALUE"""),30.0)</f>
        <v>30</v>
      </c>
      <c r="F95" s="114">
        <f t="shared" si="40"/>
        <v>5.08709336</v>
      </c>
      <c r="G95" s="112">
        <v>0.7452290137982774</v>
      </c>
      <c r="H95" s="113" t="str">
        <f>ifs(G95&lt;='Range Tables'!$G$86,'Range Tables'!$B$86,G95&lt;='Range Tables'!$G$87,'Range Tables'!$B$87,G95&lt;='Range Tables'!$G$88,'Range Tables'!$B$88,G95&lt;='Range Tables'!$G$89,'Range Tables'!$B$89,G95&lt;='Range Tables'!$G$90,'Range Tables'!$B$90,G95&lt;='Range Tables'!$G$91,'Range Tables'!$B$91)</f>
        <v>Bike</v>
      </c>
      <c r="I95" s="112">
        <v>0.8907437536599292</v>
      </c>
      <c r="J95" s="113" t="str">
        <f>IFS(
  H95="Car", IF(I95&lt;='Range Tables'!$G$19, 'Range Tables'!$B$19, 'Range Tables'!$B$20), 
  H95="Bike", IF(I95&lt;='Range Tables'!$G$25, 'Range Tables'!$B$25, 'Range Tables'!$B$26), 
  H95="Scooter", IF(I95&lt;='Range Tables'!$G$31, 'Range Tables'!$B$31, 'Range Tables'!$B$32), 
  H95="Auto", IF(I95&lt;='Range Tables'!$G$37, 'Range Tables'!$B$37, 'Range Tables'!$B$38), 
  H95="Carriers*", IF(I95&lt;='Range Tables'!$G$43, 'Range Tables'!$B$43, 'Range Tables'!$B$44), 
  H95="Van*", IF(I95&lt;='Range Tables'!$G$50, 'Range Tables'!$B$50, 'Range Tables'!$B$49)
)</f>
        <v>Petrol</v>
      </c>
      <c r="K95" s="112">
        <v>0.6129683303863036</v>
      </c>
      <c r="L95" s="113">
        <f>if(J95="Petrol",ifs(K95&lt;='Range Tables'!$G$5,'Range Tables'!$B$5,K95&lt;='Range Tables'!$G$6,'Range Tables'!$B$6,K95&lt;='Range Tables'!$G$7,'Range Tables'!$B$7),ifs(K95&lt;='Range Tables'!$G$13,'Range Tables'!$B$13,K95&lt;='Range Tables'!$G$14,'Range Tables'!$B$14))</f>
        <v>3</v>
      </c>
      <c r="M95" s="112">
        <v>0.49327712972189797</v>
      </c>
      <c r="N95" s="113" t="str">
        <f>ifs(H95="Car",ifs(M95&lt;='Range Tables'!$G$125,'Range Tables'!$B$125,M95&lt;='Range Tables'!$G$126,'Range Tables'!$B$126,M95&lt;='Range Tables'!$G$127,'Range Tables'!$B$127,M95&lt;='Range Tables'!$G$128,'Range Tables'!$B$128,M95&lt;='Range Tables'!$G$129,'Range Tables'!$B$129,'Range Tables'!$G$131,'Range Tables'!$B$131),H95="Bike",ifs(M95&lt;='Range Tables'!$G$136,'Range Tables'!$B$136,M95&lt;='Range Tables'!$G$137,'Range Tables'!$B$137,M95&lt;='Range Tables'!$G$138,'Range Tables'!$B$138,M95&lt;='Range Tables'!$G$142,'Range Tables'!$B$142),H95="Scooter",ifs(M95&lt;='Range Tables'!$G$148,'Range Tables'!$B$148,M95&lt;='Range Tables'!$G$149,'Range Tables'!$B$149,M95&lt;='Range Tables'!$G$150,'Range Tables'!$B$150,M95&lt;='Range Tables'!$G$151,'Range Tables'!$B$151),H95="Auto",ifs(M95&lt;='Range Tables'!$G$161,'Range Tables'!$B$161,M95&lt;='Range Tables'!$G$162,'Range Tables'!$B$162,M95&lt;='Range Tables'!$G$163,'Range Tables'!$B$163,M95&lt;='Range Tables'!$G$164,'Range Tables'!$B$164),H95="Carriers*",ifs(M95&lt;='Range Tables'!$G$173,'Range Tables'!$B$173,M95&lt;='Range Tables'!$G$174,'Range Tables'!$B$174,M95&lt;='Range Tables'!$G$175,'Range Tables'!$B$175,M95&lt;='Range Tables'!$G$176,'Range Tables'!$B$176,M95&lt;='Range Tables'!$G$177,'Range Tables'!$B$177,M95&lt;='Range Tables'!$G$179,'Range Tables'!$B$179),H95="Van*",ifs(M95&lt;='Range Tables'!$G$186,'Range Tables'!$B$186))</f>
        <v>60 - 120</v>
      </c>
      <c r="O95" s="113">
        <f>IFERROR(__xludf.DUMMYFUNCTION("SPLIT(N95,""-"")"),60.0)</f>
        <v>60</v>
      </c>
      <c r="P95" s="113">
        <f>IFERROR(__xludf.DUMMYFUNCTION("""COMPUTED_VALUE"""),120.0)</f>
        <v>120</v>
      </c>
      <c r="Q95" s="114">
        <f t="shared" si="2"/>
        <v>89.59662778</v>
      </c>
      <c r="R95" s="115">
        <f t="shared" si="3"/>
        <v>0.08031808719</v>
      </c>
      <c r="S95" s="114">
        <f t="shared" si="39"/>
        <v>6939.482734</v>
      </c>
      <c r="T95" s="113" t="str">
        <f t="shared" si="4"/>
        <v>no</v>
      </c>
      <c r="U95" s="115">
        <f t="shared" si="5"/>
        <v>0</v>
      </c>
      <c r="V95" s="113">
        <f t="shared" si="34"/>
        <v>0</v>
      </c>
      <c r="W95" s="115">
        <f t="shared" si="6"/>
        <v>0</v>
      </c>
      <c r="X95" s="85">
        <f t="shared" si="7"/>
        <v>0</v>
      </c>
      <c r="Y95" s="116">
        <f t="shared" si="8"/>
        <v>0</v>
      </c>
      <c r="Z95" s="113">
        <f t="shared" si="9"/>
        <v>0</v>
      </c>
      <c r="AA95" s="113" t="str">
        <f t="shared" si="10"/>
        <v>no</v>
      </c>
      <c r="AB95" s="115">
        <f t="shared" si="11"/>
        <v>0</v>
      </c>
      <c r="AC95" s="113">
        <f t="shared" si="35"/>
        <v>0</v>
      </c>
      <c r="AD95" s="116">
        <f t="shared" si="12"/>
        <v>0</v>
      </c>
      <c r="AE95" s="113">
        <f t="shared" si="13"/>
        <v>0</v>
      </c>
      <c r="AF95" s="116">
        <f t="shared" si="14"/>
        <v>0</v>
      </c>
      <c r="AG95" s="113">
        <f t="shared" si="15"/>
        <v>0</v>
      </c>
      <c r="AH95" s="113" t="str">
        <f t="shared" si="16"/>
        <v>yes</v>
      </c>
      <c r="AI95" s="115">
        <f t="shared" si="17"/>
        <v>0</v>
      </c>
      <c r="AJ95" s="113">
        <f t="shared" si="36"/>
        <v>0</v>
      </c>
      <c r="AK95" s="116">
        <f t="shared" si="18"/>
        <v>0.08031808719</v>
      </c>
      <c r="AL95" s="114">
        <f t="shared" si="19"/>
        <v>6939.482734</v>
      </c>
      <c r="AM95" s="115">
        <f t="shared" si="20"/>
        <v>0.0813550852</v>
      </c>
      <c r="AN95" s="118">
        <f t="shared" si="21"/>
        <v>7029.079361</v>
      </c>
      <c r="AO95" s="113" t="str">
        <f t="shared" si="22"/>
        <v>no</v>
      </c>
      <c r="AP95" s="115">
        <f t="shared" si="23"/>
        <v>0</v>
      </c>
      <c r="AQ95" s="113">
        <f t="shared" si="37"/>
        <v>0</v>
      </c>
      <c r="AR95" s="116">
        <f t="shared" si="24"/>
        <v>0</v>
      </c>
      <c r="AS95" s="113">
        <f t="shared" si="25"/>
        <v>0</v>
      </c>
      <c r="AT95" s="116">
        <f t="shared" si="26"/>
        <v>0</v>
      </c>
      <c r="AU95" s="113">
        <f t="shared" si="27"/>
        <v>0</v>
      </c>
      <c r="AV95" s="113" t="str">
        <f t="shared" si="28"/>
        <v>no</v>
      </c>
      <c r="AW95" s="115">
        <f t="shared" si="29"/>
        <v>0</v>
      </c>
      <c r="AX95" s="85">
        <f t="shared" si="38"/>
        <v>0</v>
      </c>
      <c r="AY95" s="116">
        <f t="shared" si="30"/>
        <v>0</v>
      </c>
      <c r="AZ95" s="113">
        <f t="shared" si="31"/>
        <v>0</v>
      </c>
      <c r="BA95" s="116">
        <f t="shared" si="32"/>
        <v>0</v>
      </c>
      <c r="BB95" s="113">
        <f t="shared" si="33"/>
        <v>0</v>
      </c>
      <c r="BC95" s="112">
        <v>0.3833359087786167</v>
      </c>
      <c r="BD95" s="113" t="str">
        <f>ifs(BC95&lt;='Range Tables'!$G$81,'Range Tables'!$B$81,BC95&lt;='Range Tables'!$G$82,'Range Tables'!$B$82)</f>
        <v>Offline*</v>
      </c>
      <c r="BE95" s="112">
        <v>0.3932812804700885</v>
      </c>
      <c r="BF95" s="112" t="str">
        <f>ifs(BE95&lt;='Range Tables'!$G$95,'Range Tables'!$B$95,BE95&lt;='Range Tables'!$G$96,'Range Tables'!$B$96,BE95&lt;='Range Tables'!$G$97,'Range Tables'!$B$97,BE95&lt;='Range Tables'!$G$98,'Range Tables'!$B$98,BE95&lt;='Range Tables'!$G$99,'Range Tables'!$B$99,BE95&lt;='Range Tables'!$G$100,'Range Tables'!$B$100,BE95&lt;='Range Tables'!$G$101,'Range Tables'!$B$101,BE95&lt;='Range Tables'!$G$102,'Range Tables'!$B$102,BE95&lt;='Range Tables'!$G$103,'Range Tables'!$B$103)</f>
        <v>Jammu</v>
      </c>
      <c r="BG95" s="112">
        <v>0.1467342041045806</v>
      </c>
      <c r="BH95" s="113" t="str">
        <f>ifs(BG95&lt;='Range Tables'!$G$112,'Range Tables'!$B$112,BG95&lt;='Range Tables'!$G$113,'Range Tables'!$B$113,BG95&lt;='Range Tables'!$G$114,'Range Tables'!$B$114)</f>
        <v>0</v>
      </c>
      <c r="BI95" s="117">
        <v>0.38144739101108904</v>
      </c>
      <c r="BJ95" s="113" t="str">
        <f>ifs(BI95&lt;='Range Tables'!$G$118,'Range Tables'!$B$118,BI95&lt;='Range Tables'!$G$119,'Range Tables'!$B$119)</f>
        <v>Valid</v>
      </c>
    </row>
    <row r="96">
      <c r="A96" s="85">
        <v>93.0</v>
      </c>
      <c r="B96" s="112">
        <v>0.9758823286873337</v>
      </c>
      <c r="C96" s="113" t="str">
        <f>ifs(B96&lt;='Range Tables'!$G$54,'Range Tables'!$B$54,B96&lt;='Range Tables'!$G$55,'Range Tables'!$B$55,B96&lt;='Range Tables'!$G$56,'Range Tables'!$B$56,B96&lt;='Range Tables'!$G$57,'Range Tables'!$B$57,B96&lt;='Range Tables'!$G$58,'Range Tables'!$B$58,B96&lt;='Range Tables'!$G$59,'Range Tables'!$B$59,B96&lt;='Range Tables'!$G$60,'Range Tables'!$B$60,B96&lt;='Range Tables'!$G$61,'Range Tables'!$B$61,B96&lt;='Range Tables'!$G$63,'Range Tables'!$B$63,B96&lt;='Range Tables'!$G$64,'Range Tables'!$B$64,B96&lt;='Range Tables'!$G$66,'Range Tables'!$B$66)</f>
        <v>300 - 330</v>
      </c>
      <c r="D96" s="113">
        <f>IFERROR(__xludf.DUMMYFUNCTION("SPLIT(C96,""-"")"),300.0)</f>
        <v>300</v>
      </c>
      <c r="E96" s="113">
        <f>IFERROR(__xludf.DUMMYFUNCTION("""COMPUTED_VALUE"""),330.0)</f>
        <v>330</v>
      </c>
      <c r="F96" s="114">
        <f t="shared" si="40"/>
        <v>329.2764699</v>
      </c>
      <c r="G96" s="112">
        <v>0.9802419154843859</v>
      </c>
      <c r="H96" s="113" t="str">
        <f>ifs(G96&lt;='Range Tables'!$G$86,'Range Tables'!$B$86,G96&lt;='Range Tables'!$G$87,'Range Tables'!$B$87,G96&lt;='Range Tables'!$G$88,'Range Tables'!$B$88,G96&lt;='Range Tables'!$G$89,'Range Tables'!$B$89,G96&lt;='Range Tables'!$G$90,'Range Tables'!$B$90,G96&lt;='Range Tables'!$G$91,'Range Tables'!$B$91)</f>
        <v>Van*</v>
      </c>
      <c r="I96" s="112">
        <v>0.6313240828221446</v>
      </c>
      <c r="J96" s="113" t="str">
        <f>IFS(
  H96="Car", IF(I96&lt;='Range Tables'!$G$19, 'Range Tables'!$B$19, 'Range Tables'!$B$20), 
  H96="Bike", IF(I96&lt;='Range Tables'!$G$25, 'Range Tables'!$B$25, 'Range Tables'!$B$26), 
  H96="Scooter", IF(I96&lt;='Range Tables'!$G$31, 'Range Tables'!$B$31, 'Range Tables'!$B$32), 
  H96="Auto", IF(I96&lt;='Range Tables'!$G$37, 'Range Tables'!$B$37, 'Range Tables'!$B$38), 
  H96="Carriers*", IF(I96&lt;='Range Tables'!$G$43, 'Range Tables'!$B$43, 'Range Tables'!$B$44), 
  H96="Van*", IF(I96&lt;='Range Tables'!$G$50, 'Range Tables'!$B$50, 'Range Tables'!$B$49)
)</f>
        <v>Diesel</v>
      </c>
      <c r="K96" s="112">
        <v>0.7518947529888788</v>
      </c>
      <c r="L96" s="113">
        <f>if(J96="Petrol",ifs(K96&lt;='Range Tables'!$G$5,'Range Tables'!$B$5,K96&lt;='Range Tables'!$G$6,'Range Tables'!$B$6,K96&lt;='Range Tables'!$G$7,'Range Tables'!$B$7),ifs(K96&lt;='Range Tables'!$G$13,'Range Tables'!$B$13,K96&lt;='Range Tables'!$G$14,'Range Tables'!$B$14))</f>
        <v>1</v>
      </c>
      <c r="M96" s="112">
        <v>0.9678350736275524</v>
      </c>
      <c r="N96" s="113" t="str">
        <f>ifs(H96="Car",ifs(M96&lt;='Range Tables'!$G$125,'Range Tables'!$B$125,M96&lt;='Range Tables'!$G$126,'Range Tables'!$B$126,M96&lt;='Range Tables'!$G$127,'Range Tables'!$B$127,M96&lt;='Range Tables'!$G$128,'Range Tables'!$B$128,M96&lt;='Range Tables'!$G$129,'Range Tables'!$B$129,'Range Tables'!$G$131,'Range Tables'!$B$131),H96="Bike",ifs(M96&lt;='Range Tables'!$G$136,'Range Tables'!$B$136,M96&lt;='Range Tables'!$G$137,'Range Tables'!$B$137,M96&lt;='Range Tables'!$G$138,'Range Tables'!$B$138,M96&lt;='Range Tables'!$G$142,'Range Tables'!$B$142),H96="Scooter",ifs(M96&lt;='Range Tables'!$G$148,'Range Tables'!$B$148,M96&lt;='Range Tables'!$G$149,'Range Tables'!$B$149,M96&lt;='Range Tables'!$G$150,'Range Tables'!$B$150,M96&lt;='Range Tables'!$G$151,'Range Tables'!$B$151),H96="Auto",ifs(M96&lt;='Range Tables'!$G$161,'Range Tables'!$B$161,M96&lt;='Range Tables'!$G$162,'Range Tables'!$B$162,M96&lt;='Range Tables'!$G$163,'Range Tables'!$B$163,M96&lt;='Range Tables'!$G$164,'Range Tables'!$B$164),H96="Carriers*",ifs(M96&lt;='Range Tables'!$G$173,'Range Tables'!$B$173,M96&lt;='Range Tables'!$G$174,'Range Tables'!$B$174,M96&lt;='Range Tables'!$G$175,'Range Tables'!$B$175,M96&lt;='Range Tables'!$G$176,'Range Tables'!$B$176,M96&lt;='Range Tables'!$G$177,'Range Tables'!$B$177,M96&lt;='Range Tables'!$G$179,'Range Tables'!$B$179),H96="Van*",ifs(M96&lt;='Range Tables'!$G$186,'Range Tables'!$B$186))</f>
        <v>120 - 180</v>
      </c>
      <c r="O96" s="113">
        <f>IFERROR(__xludf.DUMMYFUNCTION("SPLIT(N96,""-"")"),120.0)</f>
        <v>120</v>
      </c>
      <c r="P96" s="113">
        <f>IFERROR(__xludf.DUMMYFUNCTION("""COMPUTED_VALUE"""),180.0)</f>
        <v>180</v>
      </c>
      <c r="Q96" s="114">
        <f t="shared" si="2"/>
        <v>178.0701044</v>
      </c>
      <c r="R96" s="115">
        <f t="shared" si="3"/>
        <v>0.08037696559</v>
      </c>
      <c r="S96" s="114">
        <f t="shared" si="39"/>
        <v>6944.569827</v>
      </c>
      <c r="T96" s="113" t="str">
        <f t="shared" si="4"/>
        <v>yes</v>
      </c>
      <c r="U96" s="115">
        <f t="shared" si="5"/>
        <v>0</v>
      </c>
      <c r="V96" s="113">
        <f t="shared" si="34"/>
        <v>0</v>
      </c>
      <c r="W96" s="115">
        <f t="shared" si="6"/>
        <v>0.08037696559</v>
      </c>
      <c r="X96" s="118">
        <f t="shared" si="7"/>
        <v>6944.569827</v>
      </c>
      <c r="Y96" s="116">
        <f t="shared" si="8"/>
        <v>0.08243796217</v>
      </c>
      <c r="Z96" s="114">
        <f t="shared" si="9"/>
        <v>7122.639931</v>
      </c>
      <c r="AA96" s="113" t="str">
        <f t="shared" si="10"/>
        <v>no</v>
      </c>
      <c r="AB96" s="115">
        <f t="shared" si="11"/>
        <v>0</v>
      </c>
      <c r="AC96" s="113">
        <f t="shared" si="35"/>
        <v>0</v>
      </c>
      <c r="AD96" s="116">
        <f t="shared" si="12"/>
        <v>0</v>
      </c>
      <c r="AE96" s="113">
        <f t="shared" si="13"/>
        <v>0</v>
      </c>
      <c r="AF96" s="116">
        <f t="shared" si="14"/>
        <v>0</v>
      </c>
      <c r="AG96" s="113">
        <f t="shared" si="15"/>
        <v>0</v>
      </c>
      <c r="AH96" s="113" t="str">
        <f t="shared" si="16"/>
        <v>no</v>
      </c>
      <c r="AI96" s="115">
        <f t="shared" si="17"/>
        <v>0</v>
      </c>
      <c r="AJ96" s="113">
        <f t="shared" si="36"/>
        <v>0</v>
      </c>
      <c r="AK96" s="116">
        <f t="shared" si="18"/>
        <v>0</v>
      </c>
      <c r="AL96" s="113">
        <f t="shared" si="19"/>
        <v>0</v>
      </c>
      <c r="AM96" s="115">
        <f t="shared" si="20"/>
        <v>0</v>
      </c>
      <c r="AN96" s="85">
        <f t="shared" si="21"/>
        <v>0</v>
      </c>
      <c r="AO96" s="113" t="str">
        <f t="shared" si="22"/>
        <v>no</v>
      </c>
      <c r="AP96" s="115">
        <f t="shared" si="23"/>
        <v>0</v>
      </c>
      <c r="AQ96" s="113">
        <f t="shared" si="37"/>
        <v>0</v>
      </c>
      <c r="AR96" s="116">
        <f t="shared" si="24"/>
        <v>0</v>
      </c>
      <c r="AS96" s="113">
        <f t="shared" si="25"/>
        <v>0</v>
      </c>
      <c r="AT96" s="116">
        <f t="shared" si="26"/>
        <v>0</v>
      </c>
      <c r="AU96" s="113">
        <f t="shared" si="27"/>
        <v>0</v>
      </c>
      <c r="AV96" s="113" t="str">
        <f t="shared" si="28"/>
        <v>no</v>
      </c>
      <c r="AW96" s="115">
        <f t="shared" si="29"/>
        <v>0</v>
      </c>
      <c r="AX96" s="85">
        <f t="shared" si="38"/>
        <v>0</v>
      </c>
      <c r="AY96" s="116">
        <f t="shared" si="30"/>
        <v>0</v>
      </c>
      <c r="AZ96" s="113">
        <f t="shared" si="31"/>
        <v>0</v>
      </c>
      <c r="BA96" s="116">
        <f t="shared" si="32"/>
        <v>0</v>
      </c>
      <c r="BB96" s="113">
        <f t="shared" si="33"/>
        <v>0</v>
      </c>
      <c r="BC96" s="112">
        <v>0.8397856037546572</v>
      </c>
      <c r="BD96" s="113" t="str">
        <f>ifs(BC96&lt;='Range Tables'!$G$81,'Range Tables'!$B$81,BC96&lt;='Range Tables'!$G$82,'Range Tables'!$B$82)</f>
        <v>Offline*</v>
      </c>
      <c r="BE96" s="112">
        <v>0.28687819827103744</v>
      </c>
      <c r="BF96" s="112" t="str">
        <f>ifs(BE96&lt;='Range Tables'!$G$95,'Range Tables'!$B$95,BE96&lt;='Range Tables'!$G$96,'Range Tables'!$B$96,BE96&lt;='Range Tables'!$G$97,'Range Tables'!$B$97,BE96&lt;='Range Tables'!$G$98,'Range Tables'!$B$98,BE96&lt;='Range Tables'!$G$99,'Range Tables'!$B$99,BE96&lt;='Range Tables'!$G$100,'Range Tables'!$B$100,BE96&lt;='Range Tables'!$G$101,'Range Tables'!$B$101,BE96&lt;='Range Tables'!$G$102,'Range Tables'!$B$102,BE96&lt;='Range Tables'!$G$103,'Range Tables'!$B$103)</f>
        <v>Jammu</v>
      </c>
      <c r="BG96" s="112">
        <v>0.21475971830330787</v>
      </c>
      <c r="BH96" s="113" t="str">
        <f>ifs(BG96&lt;='Range Tables'!$G$112,'Range Tables'!$B$112,BG96&lt;='Range Tables'!$G$113,'Range Tables'!$B$113,BG96&lt;='Range Tables'!$G$114,'Range Tables'!$B$114)</f>
        <v>0</v>
      </c>
      <c r="BI96" s="117">
        <v>0.7886206114476471</v>
      </c>
      <c r="BJ96" s="113" t="str">
        <f>ifs(BI96&lt;='Range Tables'!$G$118,'Range Tables'!$B$118,BI96&lt;='Range Tables'!$G$119,'Range Tables'!$B$119)</f>
        <v>Expired</v>
      </c>
    </row>
    <row r="97">
      <c r="A97" s="85">
        <v>94.0</v>
      </c>
      <c r="B97" s="112">
        <v>0.64982799641454</v>
      </c>
      <c r="C97" s="113" t="str">
        <f>ifs(B97&lt;='Range Tables'!$G$54,'Range Tables'!$B$54,B97&lt;='Range Tables'!$G$55,'Range Tables'!$B$55,B97&lt;='Range Tables'!$G$56,'Range Tables'!$B$56,B97&lt;='Range Tables'!$G$57,'Range Tables'!$B$57,B97&lt;='Range Tables'!$G$58,'Range Tables'!$B$58,B97&lt;='Range Tables'!$G$59,'Range Tables'!$B$59,B97&lt;='Range Tables'!$G$60,'Range Tables'!$B$60,B97&lt;='Range Tables'!$G$61,'Range Tables'!$B$61,B97&lt;='Range Tables'!$G$63,'Range Tables'!$B$63,B97&lt;='Range Tables'!$G$64,'Range Tables'!$B$64,B97&lt;='Range Tables'!$G$66,'Range Tables'!$B$66)</f>
        <v>60 - 90</v>
      </c>
      <c r="D97" s="113">
        <f>IFERROR(__xludf.DUMMYFUNCTION("SPLIT(C97,""-"")"),60.0)</f>
        <v>60</v>
      </c>
      <c r="E97" s="113">
        <f>IFERROR(__xludf.DUMMYFUNCTION("""COMPUTED_VALUE"""),90.0)</f>
        <v>90</v>
      </c>
      <c r="F97" s="114">
        <f t="shared" si="40"/>
        <v>79.49483989</v>
      </c>
      <c r="G97" s="112">
        <v>0.2639037979725376</v>
      </c>
      <c r="H97" s="113" t="str">
        <f>ifs(G97&lt;='Range Tables'!$G$86,'Range Tables'!$B$86,G97&lt;='Range Tables'!$G$87,'Range Tables'!$B$87,G97&lt;='Range Tables'!$G$88,'Range Tables'!$B$88,G97&lt;='Range Tables'!$G$89,'Range Tables'!$B$89,G97&lt;='Range Tables'!$G$90,'Range Tables'!$B$90,G97&lt;='Range Tables'!$G$91,'Range Tables'!$B$91)</f>
        <v>Car</v>
      </c>
      <c r="I97" s="112">
        <v>0.24184597685325127</v>
      </c>
      <c r="J97" s="113" t="str">
        <f>IFS(
  H97="Car", IF(I97&lt;='Range Tables'!$G$19, 'Range Tables'!$B$19, 'Range Tables'!$B$20), 
  H97="Bike", IF(I97&lt;='Range Tables'!$G$25, 'Range Tables'!$B$25, 'Range Tables'!$B$26), 
  H97="Scooter", IF(I97&lt;='Range Tables'!$G$31, 'Range Tables'!$B$31, 'Range Tables'!$B$32), 
  H97="Auto", IF(I97&lt;='Range Tables'!$G$37, 'Range Tables'!$B$37, 'Range Tables'!$B$38), 
  H97="Carriers*", IF(I97&lt;='Range Tables'!$G$43, 'Range Tables'!$B$43, 'Range Tables'!$B$44), 
  H97="Van*", IF(I97&lt;='Range Tables'!$G$50, 'Range Tables'!$B$50, 'Range Tables'!$B$49)
)</f>
        <v>Petrol</v>
      </c>
      <c r="K97" s="112">
        <v>0.4939269300969277</v>
      </c>
      <c r="L97" s="113">
        <f>if(J97="Petrol",ifs(K97&lt;='Range Tables'!$G$5,'Range Tables'!$B$5,K97&lt;='Range Tables'!$G$6,'Range Tables'!$B$6,K97&lt;='Range Tables'!$G$7,'Range Tables'!$B$7),ifs(K97&lt;='Range Tables'!$G$13,'Range Tables'!$B$13,K97&lt;='Range Tables'!$G$14,'Range Tables'!$B$14))</f>
        <v>2</v>
      </c>
      <c r="M97" s="112">
        <v>0.9430574973888396</v>
      </c>
      <c r="N97" s="113" t="str">
        <f>ifs(H97="Car",ifs(M97&lt;='Range Tables'!$G$125,'Range Tables'!$B$125,M97&lt;='Range Tables'!$G$126,'Range Tables'!$B$126,M97&lt;='Range Tables'!$G$127,'Range Tables'!$B$127,M97&lt;='Range Tables'!$G$128,'Range Tables'!$B$128,M97&lt;='Range Tables'!$G$129,'Range Tables'!$B$129,'Range Tables'!$G$131,'Range Tables'!$B$131),H97="Bike",ifs(M97&lt;='Range Tables'!$G$136,'Range Tables'!$B$136,M97&lt;='Range Tables'!$G$137,'Range Tables'!$B$137,M97&lt;='Range Tables'!$G$138,'Range Tables'!$B$138,M97&lt;='Range Tables'!$G$142,'Range Tables'!$B$142),H97="Scooter",ifs(M97&lt;='Range Tables'!$G$148,'Range Tables'!$B$148,M97&lt;='Range Tables'!$G$149,'Range Tables'!$B$149,M97&lt;='Range Tables'!$G$150,'Range Tables'!$B$150,M97&lt;='Range Tables'!$G$151,'Range Tables'!$B$151),H97="Auto",ifs(M97&lt;='Range Tables'!$G$161,'Range Tables'!$B$161,M97&lt;='Range Tables'!$G$162,'Range Tables'!$B$162,M97&lt;='Range Tables'!$G$163,'Range Tables'!$B$163,M97&lt;='Range Tables'!$G$164,'Range Tables'!$B$164),H97="Carriers*",ifs(M97&lt;='Range Tables'!$G$173,'Range Tables'!$B$173,M97&lt;='Range Tables'!$G$174,'Range Tables'!$B$174,M97&lt;='Range Tables'!$G$175,'Range Tables'!$B$175,M97&lt;='Range Tables'!$G$176,'Range Tables'!$B$176,M97&lt;='Range Tables'!$G$177,'Range Tables'!$B$177,M97&lt;='Range Tables'!$G$179,'Range Tables'!$B$179),H97="Van*",ifs(M97&lt;='Range Tables'!$G$186,'Range Tables'!$B$186))</f>
        <v>300 - 360</v>
      </c>
      <c r="O97" s="113">
        <f>IFERROR(__xludf.DUMMYFUNCTION("SPLIT(N97,""-"")"),300.0)</f>
        <v>300</v>
      </c>
      <c r="P97" s="113">
        <f>IFERROR(__xludf.DUMMYFUNCTION("""COMPUTED_VALUE"""),360.0)</f>
        <v>360</v>
      </c>
      <c r="Q97" s="114">
        <f t="shared" si="2"/>
        <v>356.5834498</v>
      </c>
      <c r="R97" s="115">
        <f t="shared" si="3"/>
        <v>0.08418803584</v>
      </c>
      <c r="S97" s="114">
        <f t="shared" si="39"/>
        <v>7273.846297</v>
      </c>
      <c r="T97" s="113" t="str">
        <f t="shared" si="4"/>
        <v>no</v>
      </c>
      <c r="U97" s="115">
        <f t="shared" si="5"/>
        <v>0</v>
      </c>
      <c r="V97" s="113">
        <f t="shared" si="34"/>
        <v>0</v>
      </c>
      <c r="W97" s="115">
        <f t="shared" si="6"/>
        <v>0</v>
      </c>
      <c r="X97" s="85">
        <f t="shared" si="7"/>
        <v>0</v>
      </c>
      <c r="Y97" s="116">
        <f t="shared" si="8"/>
        <v>0</v>
      </c>
      <c r="Z97" s="113">
        <f t="shared" si="9"/>
        <v>0</v>
      </c>
      <c r="AA97" s="113" t="str">
        <f t="shared" si="10"/>
        <v>yes</v>
      </c>
      <c r="AB97" s="115">
        <f t="shared" si="11"/>
        <v>0</v>
      </c>
      <c r="AC97" s="113">
        <f t="shared" si="35"/>
        <v>0</v>
      </c>
      <c r="AD97" s="116">
        <f t="shared" si="12"/>
        <v>0.08418803584</v>
      </c>
      <c r="AE97" s="114">
        <f t="shared" si="13"/>
        <v>7273.846297</v>
      </c>
      <c r="AF97" s="116">
        <f t="shared" si="14"/>
        <v>0.0883151591</v>
      </c>
      <c r="AG97" s="114">
        <f t="shared" si="15"/>
        <v>7630.429747</v>
      </c>
      <c r="AH97" s="113" t="str">
        <f t="shared" si="16"/>
        <v>no</v>
      </c>
      <c r="AI97" s="115">
        <f t="shared" si="17"/>
        <v>0</v>
      </c>
      <c r="AJ97" s="113">
        <f t="shared" si="36"/>
        <v>0</v>
      </c>
      <c r="AK97" s="116">
        <f t="shared" si="18"/>
        <v>0</v>
      </c>
      <c r="AL97" s="113">
        <f t="shared" si="19"/>
        <v>0</v>
      </c>
      <c r="AM97" s="115">
        <f t="shared" si="20"/>
        <v>0</v>
      </c>
      <c r="AN97" s="85">
        <f t="shared" si="21"/>
        <v>0</v>
      </c>
      <c r="AO97" s="113" t="str">
        <f t="shared" si="22"/>
        <v>no</v>
      </c>
      <c r="AP97" s="115">
        <f t="shared" si="23"/>
        <v>0</v>
      </c>
      <c r="AQ97" s="113">
        <f t="shared" si="37"/>
        <v>0</v>
      </c>
      <c r="AR97" s="116">
        <f t="shared" si="24"/>
        <v>0</v>
      </c>
      <c r="AS97" s="113">
        <f t="shared" si="25"/>
        <v>0</v>
      </c>
      <c r="AT97" s="116">
        <f t="shared" si="26"/>
        <v>0</v>
      </c>
      <c r="AU97" s="113">
        <f t="shared" si="27"/>
        <v>0</v>
      </c>
      <c r="AV97" s="113" t="str">
        <f t="shared" si="28"/>
        <v>no</v>
      </c>
      <c r="AW97" s="115">
        <f t="shared" si="29"/>
        <v>0</v>
      </c>
      <c r="AX97" s="85">
        <f t="shared" si="38"/>
        <v>0</v>
      </c>
      <c r="AY97" s="116">
        <f t="shared" si="30"/>
        <v>0</v>
      </c>
      <c r="AZ97" s="113">
        <f t="shared" si="31"/>
        <v>0</v>
      </c>
      <c r="BA97" s="116">
        <f t="shared" si="32"/>
        <v>0</v>
      </c>
      <c r="BB97" s="113">
        <f t="shared" si="33"/>
        <v>0</v>
      </c>
      <c r="BC97" s="112">
        <v>0.8631641942461896</v>
      </c>
      <c r="BD97" s="113" t="str">
        <f>ifs(BC97&lt;='Range Tables'!$G$81,'Range Tables'!$B$81,BC97&lt;='Range Tables'!$G$82,'Range Tables'!$B$82)</f>
        <v>Offline*</v>
      </c>
      <c r="BE97" s="112">
        <v>0.38501822397610574</v>
      </c>
      <c r="BF97" s="112" t="str">
        <f>ifs(BE97&lt;='Range Tables'!$G$95,'Range Tables'!$B$95,BE97&lt;='Range Tables'!$G$96,'Range Tables'!$B$96,BE97&lt;='Range Tables'!$G$97,'Range Tables'!$B$97,BE97&lt;='Range Tables'!$G$98,'Range Tables'!$B$98,BE97&lt;='Range Tables'!$G$99,'Range Tables'!$B$99,BE97&lt;='Range Tables'!$G$100,'Range Tables'!$B$100,BE97&lt;='Range Tables'!$G$101,'Range Tables'!$B$101,BE97&lt;='Range Tables'!$G$102,'Range Tables'!$B$102,BE97&lt;='Range Tables'!$G$103,'Range Tables'!$B$103)</f>
        <v>Jammu</v>
      </c>
      <c r="BG97" s="112">
        <v>0.42280368458631934</v>
      </c>
      <c r="BH97" s="113" t="str">
        <f>ifs(BG97&lt;='Range Tables'!$G$112,'Range Tables'!$B$112,BG97&lt;='Range Tables'!$G$113,'Range Tables'!$B$113,BG97&lt;='Range Tables'!$G$114,'Range Tables'!$B$114)</f>
        <v>0</v>
      </c>
      <c r="BI97" s="117">
        <v>0.8802491953652576</v>
      </c>
      <c r="BJ97" s="113" t="str">
        <f>ifs(BI97&lt;='Range Tables'!$G$118,'Range Tables'!$B$118,BI97&lt;='Range Tables'!$G$119,'Range Tables'!$B$119)</f>
        <v>Expired</v>
      </c>
    </row>
    <row r="98">
      <c r="A98" s="85">
        <v>95.0</v>
      </c>
      <c r="B98" s="112">
        <v>0.06820986356016001</v>
      </c>
      <c r="C98" s="113" t="str">
        <f>ifs(B98&lt;='Range Tables'!$G$54,'Range Tables'!$B$54,B98&lt;='Range Tables'!$G$55,'Range Tables'!$B$55,B98&lt;='Range Tables'!$G$56,'Range Tables'!$B$56,B98&lt;='Range Tables'!$G$57,'Range Tables'!$B$57,B98&lt;='Range Tables'!$G$58,'Range Tables'!$B$58,B98&lt;='Range Tables'!$G$59,'Range Tables'!$B$59,B98&lt;='Range Tables'!$G$60,'Range Tables'!$B$60,B98&lt;='Range Tables'!$G$61,'Range Tables'!$B$61,B98&lt;='Range Tables'!$G$63,'Range Tables'!$B$63,B98&lt;='Range Tables'!$G$64,'Range Tables'!$B$64,B98&lt;='Range Tables'!$G$66,'Range Tables'!$B$66)</f>
        <v>0 - 30</v>
      </c>
      <c r="D98" s="113">
        <f>IFERROR(__xludf.DUMMYFUNCTION("SPLIT(C98,""-"")"),0.0)</f>
        <v>0</v>
      </c>
      <c r="E98" s="113">
        <f>IFERROR(__xludf.DUMMYFUNCTION("""COMPUTED_VALUE"""),30.0)</f>
        <v>30</v>
      </c>
      <c r="F98" s="114">
        <f t="shared" si="40"/>
        <v>2.046295907</v>
      </c>
      <c r="G98" s="112">
        <v>0.8231846210692277</v>
      </c>
      <c r="H98" s="113" t="str">
        <f>ifs(G98&lt;='Range Tables'!$G$86,'Range Tables'!$B$86,G98&lt;='Range Tables'!$G$87,'Range Tables'!$B$87,G98&lt;='Range Tables'!$G$88,'Range Tables'!$B$88,G98&lt;='Range Tables'!$G$89,'Range Tables'!$B$89,G98&lt;='Range Tables'!$G$90,'Range Tables'!$B$90,G98&lt;='Range Tables'!$G$91,'Range Tables'!$B$91)</f>
        <v>Scooter</v>
      </c>
      <c r="I98" s="112">
        <v>0.23991533636917306</v>
      </c>
      <c r="J98" s="113" t="str">
        <f>IFS(
  H98="Car", IF(I98&lt;='Range Tables'!$G$19, 'Range Tables'!$B$19, 'Range Tables'!$B$20), 
  H98="Bike", IF(I98&lt;='Range Tables'!$G$25, 'Range Tables'!$B$25, 'Range Tables'!$B$26), 
  H98="Scooter", IF(I98&lt;='Range Tables'!$G$31, 'Range Tables'!$B$31, 'Range Tables'!$B$32), 
  H98="Auto", IF(I98&lt;='Range Tables'!$G$37, 'Range Tables'!$B$37, 'Range Tables'!$B$38), 
  H98="Carriers*", IF(I98&lt;='Range Tables'!$G$43, 'Range Tables'!$B$43, 'Range Tables'!$B$44), 
  H98="Van*", IF(I98&lt;='Range Tables'!$G$50, 'Range Tables'!$B$50, 'Range Tables'!$B$49)
)</f>
        <v>Petrol</v>
      </c>
      <c r="K98" s="112">
        <v>0.152772814952419</v>
      </c>
      <c r="L98" s="113">
        <f>if(J98="Petrol",ifs(K98&lt;='Range Tables'!$G$5,'Range Tables'!$B$5,K98&lt;='Range Tables'!$G$6,'Range Tables'!$B$6,K98&lt;='Range Tables'!$G$7,'Range Tables'!$B$7),ifs(K98&lt;='Range Tables'!$G$13,'Range Tables'!$B$13,K98&lt;='Range Tables'!$G$14,'Range Tables'!$B$14))</f>
        <v>2</v>
      </c>
      <c r="M98" s="112">
        <v>0.8128686708830777</v>
      </c>
      <c r="N98" s="113" t="str">
        <f>ifs(H98="Car",ifs(M98&lt;='Range Tables'!$G$125,'Range Tables'!$B$125,M98&lt;='Range Tables'!$G$126,'Range Tables'!$B$126,M98&lt;='Range Tables'!$G$127,'Range Tables'!$B$127,M98&lt;='Range Tables'!$G$128,'Range Tables'!$B$128,M98&lt;='Range Tables'!$G$129,'Range Tables'!$B$129,'Range Tables'!$G$131,'Range Tables'!$B$131),H98="Bike",ifs(M98&lt;='Range Tables'!$G$136,'Range Tables'!$B$136,M98&lt;='Range Tables'!$G$137,'Range Tables'!$B$137,M98&lt;='Range Tables'!$G$138,'Range Tables'!$B$138,M98&lt;='Range Tables'!$G$142,'Range Tables'!$B$142),H98="Scooter",ifs(M98&lt;='Range Tables'!$G$148,'Range Tables'!$B$148,M98&lt;='Range Tables'!$G$149,'Range Tables'!$B$149,M98&lt;='Range Tables'!$G$150,'Range Tables'!$B$150,M98&lt;='Range Tables'!$G$151,'Range Tables'!$B$151),H98="Auto",ifs(M98&lt;='Range Tables'!$G$161,'Range Tables'!$B$161,M98&lt;='Range Tables'!$G$162,'Range Tables'!$B$162,M98&lt;='Range Tables'!$G$163,'Range Tables'!$B$163,M98&lt;='Range Tables'!$G$164,'Range Tables'!$B$164),H98="Carriers*",ifs(M98&lt;='Range Tables'!$G$173,'Range Tables'!$B$173,M98&lt;='Range Tables'!$G$174,'Range Tables'!$B$174,M98&lt;='Range Tables'!$G$175,'Range Tables'!$B$175,M98&lt;='Range Tables'!$G$176,'Range Tables'!$B$176,M98&lt;='Range Tables'!$G$177,'Range Tables'!$B$177,M98&lt;='Range Tables'!$G$179,'Range Tables'!$B$179),H98="Van*",ifs(M98&lt;='Range Tables'!$G$186,'Range Tables'!$B$186))</f>
        <v>180 - 240</v>
      </c>
      <c r="O98" s="113">
        <f>IFERROR(__xludf.DUMMYFUNCTION("SPLIT(N98,""-"")"),180.0)</f>
        <v>180</v>
      </c>
      <c r="P98" s="113">
        <f>IFERROR(__xludf.DUMMYFUNCTION("""COMPUTED_VALUE"""),240.0)</f>
        <v>240</v>
      </c>
      <c r="Q98" s="114">
        <f t="shared" si="2"/>
        <v>228.7721203</v>
      </c>
      <c r="R98" s="115">
        <f t="shared" si="3"/>
        <v>0.08510811501</v>
      </c>
      <c r="S98" s="114">
        <f t="shared" si="39"/>
        <v>7353.341137</v>
      </c>
      <c r="T98" s="113" t="str">
        <f t="shared" si="4"/>
        <v>no</v>
      </c>
      <c r="U98" s="115">
        <f t="shared" si="5"/>
        <v>0</v>
      </c>
      <c r="V98" s="113">
        <f t="shared" si="34"/>
        <v>0</v>
      </c>
      <c r="W98" s="115">
        <f t="shared" si="6"/>
        <v>0</v>
      </c>
      <c r="X98" s="85">
        <f t="shared" si="7"/>
        <v>0</v>
      </c>
      <c r="Y98" s="116">
        <f t="shared" si="8"/>
        <v>0</v>
      </c>
      <c r="Z98" s="113">
        <f t="shared" si="9"/>
        <v>0</v>
      </c>
      <c r="AA98" s="113" t="str">
        <f t="shared" si="10"/>
        <v>yes</v>
      </c>
      <c r="AB98" s="115">
        <f t="shared" si="11"/>
        <v>0.003207044097</v>
      </c>
      <c r="AC98" s="114">
        <f t="shared" si="35"/>
        <v>277.08861</v>
      </c>
      <c r="AD98" s="116">
        <f t="shared" si="12"/>
        <v>0.0883151591</v>
      </c>
      <c r="AE98" s="114">
        <f t="shared" si="13"/>
        <v>7630.429747</v>
      </c>
      <c r="AF98" s="116">
        <f t="shared" si="14"/>
        <v>0.09096298457</v>
      </c>
      <c r="AG98" s="114">
        <f t="shared" si="15"/>
        <v>7859.201867</v>
      </c>
      <c r="AH98" s="113" t="str">
        <f t="shared" si="16"/>
        <v>no</v>
      </c>
      <c r="AI98" s="115">
        <f t="shared" si="17"/>
        <v>0</v>
      </c>
      <c r="AJ98" s="113">
        <f t="shared" si="36"/>
        <v>0</v>
      </c>
      <c r="AK98" s="116">
        <f t="shared" si="18"/>
        <v>0</v>
      </c>
      <c r="AL98" s="113">
        <f t="shared" si="19"/>
        <v>0</v>
      </c>
      <c r="AM98" s="115">
        <f t="shared" si="20"/>
        <v>0</v>
      </c>
      <c r="AN98" s="85">
        <f t="shared" si="21"/>
        <v>0</v>
      </c>
      <c r="AO98" s="113" t="str">
        <f t="shared" si="22"/>
        <v>no</v>
      </c>
      <c r="AP98" s="115">
        <f t="shared" si="23"/>
        <v>0</v>
      </c>
      <c r="AQ98" s="113">
        <f t="shared" si="37"/>
        <v>0</v>
      </c>
      <c r="AR98" s="116">
        <f t="shared" si="24"/>
        <v>0</v>
      </c>
      <c r="AS98" s="113">
        <f t="shared" si="25"/>
        <v>0</v>
      </c>
      <c r="AT98" s="116">
        <f t="shared" si="26"/>
        <v>0</v>
      </c>
      <c r="AU98" s="113">
        <f t="shared" si="27"/>
        <v>0</v>
      </c>
      <c r="AV98" s="113" t="str">
        <f t="shared" si="28"/>
        <v>no</v>
      </c>
      <c r="AW98" s="115">
        <f t="shared" si="29"/>
        <v>0</v>
      </c>
      <c r="AX98" s="85">
        <f t="shared" si="38"/>
        <v>0</v>
      </c>
      <c r="AY98" s="116">
        <f t="shared" si="30"/>
        <v>0</v>
      </c>
      <c r="AZ98" s="113">
        <f t="shared" si="31"/>
        <v>0</v>
      </c>
      <c r="BA98" s="116">
        <f t="shared" si="32"/>
        <v>0</v>
      </c>
      <c r="BB98" s="113">
        <f t="shared" si="33"/>
        <v>0</v>
      </c>
      <c r="BC98" s="112">
        <v>0.6114519956080114</v>
      </c>
      <c r="BD98" s="113" t="str">
        <f>ifs(BC98&lt;='Range Tables'!$G$81,'Range Tables'!$B$81,BC98&lt;='Range Tables'!$G$82,'Range Tables'!$B$82)</f>
        <v>Offline*</v>
      </c>
      <c r="BE98" s="112">
        <v>0.8912088474065618</v>
      </c>
      <c r="BF98" s="112" t="str">
        <f>ifs(BE98&lt;='Range Tables'!$G$95,'Range Tables'!$B$95,BE98&lt;='Range Tables'!$G$96,'Range Tables'!$B$96,BE98&lt;='Range Tables'!$G$97,'Range Tables'!$B$97,BE98&lt;='Range Tables'!$G$98,'Range Tables'!$B$98,BE98&lt;='Range Tables'!$G$99,'Range Tables'!$B$99,BE98&lt;='Range Tables'!$G$100,'Range Tables'!$B$100,BE98&lt;='Range Tables'!$G$101,'Range Tables'!$B$101,BE98&lt;='Range Tables'!$G$102,'Range Tables'!$B$102,BE98&lt;='Range Tables'!$G$103,'Range Tables'!$B$103)</f>
        <v>Resai</v>
      </c>
      <c r="BG98" s="112">
        <v>0.8265589319333169</v>
      </c>
      <c r="BH98" s="113" t="str">
        <f>ifs(BG98&lt;='Range Tables'!$G$112,'Range Tables'!$B$112,BG98&lt;='Range Tables'!$G$113,'Range Tables'!$B$113,BG98&lt;='Range Tables'!$G$114,'Range Tables'!$B$114)</f>
        <v>1-5</v>
      </c>
      <c r="BI98" s="117">
        <v>0.34630058233878847</v>
      </c>
      <c r="BJ98" s="113" t="str">
        <f>ifs(BI98&lt;='Range Tables'!$G$118,'Range Tables'!$B$118,BI98&lt;='Range Tables'!$G$119,'Range Tables'!$B$119)</f>
        <v>Valid</v>
      </c>
    </row>
    <row r="99">
      <c r="A99" s="85">
        <v>96.0</v>
      </c>
      <c r="B99" s="112">
        <v>0.903897809285946</v>
      </c>
      <c r="C99" s="113" t="str">
        <f>ifs(B99&lt;='Range Tables'!$G$54,'Range Tables'!$B$54,B99&lt;='Range Tables'!$G$55,'Range Tables'!$B$55,B99&lt;='Range Tables'!$G$56,'Range Tables'!$B$56,B99&lt;='Range Tables'!$G$57,'Range Tables'!$B$57,B99&lt;='Range Tables'!$G$58,'Range Tables'!$B$58,B99&lt;='Range Tables'!$G$59,'Range Tables'!$B$59,B99&lt;='Range Tables'!$G$60,'Range Tables'!$B$60,B99&lt;='Range Tables'!$G$61,'Range Tables'!$B$61,B99&lt;='Range Tables'!$G$63,'Range Tables'!$B$63,B99&lt;='Range Tables'!$G$64,'Range Tables'!$B$64,B99&lt;='Range Tables'!$G$66,'Range Tables'!$B$66)</f>
        <v>210 - 240</v>
      </c>
      <c r="D99" s="113">
        <f>IFERROR(__xludf.DUMMYFUNCTION("SPLIT(C99,""-"")"),210.0)</f>
        <v>210</v>
      </c>
      <c r="E99" s="113">
        <f>IFERROR(__xludf.DUMMYFUNCTION("""COMPUTED_VALUE"""),240.0)</f>
        <v>240</v>
      </c>
      <c r="F99" s="114">
        <f t="shared" si="40"/>
        <v>237.1169343</v>
      </c>
      <c r="G99" s="112">
        <v>0.6115591067364012</v>
      </c>
      <c r="H99" s="113" t="str">
        <f>ifs(G99&lt;='Range Tables'!$G$86,'Range Tables'!$B$86,G99&lt;='Range Tables'!$G$87,'Range Tables'!$B$87,G99&lt;='Range Tables'!$G$88,'Range Tables'!$B$88,G99&lt;='Range Tables'!$G$89,'Range Tables'!$B$89,G99&lt;='Range Tables'!$G$90,'Range Tables'!$B$90,G99&lt;='Range Tables'!$G$91,'Range Tables'!$B$91)</f>
        <v>Bike</v>
      </c>
      <c r="I99" s="112">
        <v>0.5858815556799</v>
      </c>
      <c r="J99" s="113" t="str">
        <f>IFS(
  H99="Car", IF(I99&lt;='Range Tables'!$G$19, 'Range Tables'!$B$19, 'Range Tables'!$B$20), 
  H99="Bike", IF(I99&lt;='Range Tables'!$G$25, 'Range Tables'!$B$25, 'Range Tables'!$B$26), 
  H99="Scooter", IF(I99&lt;='Range Tables'!$G$31, 'Range Tables'!$B$31, 'Range Tables'!$B$32), 
  H99="Auto", IF(I99&lt;='Range Tables'!$G$37, 'Range Tables'!$B$37, 'Range Tables'!$B$38), 
  H99="Carriers*", IF(I99&lt;='Range Tables'!$G$43, 'Range Tables'!$B$43, 'Range Tables'!$B$44), 
  H99="Van*", IF(I99&lt;='Range Tables'!$G$50, 'Range Tables'!$B$50, 'Range Tables'!$B$49)
)</f>
        <v>Petrol</v>
      </c>
      <c r="K99" s="112">
        <v>0.716545752590564</v>
      </c>
      <c r="L99" s="113">
        <f>if(J99="Petrol",ifs(K99&lt;='Range Tables'!$G$5,'Range Tables'!$B$5,K99&lt;='Range Tables'!$G$6,'Range Tables'!$B$6,K99&lt;='Range Tables'!$G$7,'Range Tables'!$B$7),ifs(K99&lt;='Range Tables'!$G$13,'Range Tables'!$B$13,K99&lt;='Range Tables'!$G$14,'Range Tables'!$B$14))</f>
        <v>3</v>
      </c>
      <c r="M99" s="112">
        <v>0.4061272926001259</v>
      </c>
      <c r="N99" s="113" t="str">
        <f>ifs(H99="Car",ifs(M99&lt;='Range Tables'!$G$125,'Range Tables'!$B$125,M99&lt;='Range Tables'!$G$126,'Range Tables'!$B$126,M99&lt;='Range Tables'!$G$127,'Range Tables'!$B$127,M99&lt;='Range Tables'!$G$128,'Range Tables'!$B$128,M99&lt;='Range Tables'!$G$129,'Range Tables'!$B$129,'Range Tables'!$G$131,'Range Tables'!$B$131),H99="Bike",ifs(M99&lt;='Range Tables'!$G$136,'Range Tables'!$B$136,M99&lt;='Range Tables'!$G$137,'Range Tables'!$B$137,M99&lt;='Range Tables'!$G$138,'Range Tables'!$B$138,M99&lt;='Range Tables'!$G$142,'Range Tables'!$B$142),H99="Scooter",ifs(M99&lt;='Range Tables'!$G$148,'Range Tables'!$B$148,M99&lt;='Range Tables'!$G$149,'Range Tables'!$B$149,M99&lt;='Range Tables'!$G$150,'Range Tables'!$B$150,M99&lt;='Range Tables'!$G$151,'Range Tables'!$B$151),H99="Auto",ifs(M99&lt;='Range Tables'!$G$161,'Range Tables'!$B$161,M99&lt;='Range Tables'!$G$162,'Range Tables'!$B$162,M99&lt;='Range Tables'!$G$163,'Range Tables'!$B$163,M99&lt;='Range Tables'!$G$164,'Range Tables'!$B$164),H99="Carriers*",ifs(M99&lt;='Range Tables'!$G$173,'Range Tables'!$B$173,M99&lt;='Range Tables'!$G$174,'Range Tables'!$B$174,M99&lt;='Range Tables'!$G$175,'Range Tables'!$B$175,M99&lt;='Range Tables'!$G$176,'Range Tables'!$B$176,M99&lt;='Range Tables'!$G$177,'Range Tables'!$B$177,M99&lt;='Range Tables'!$G$179,'Range Tables'!$B$179),H99="Van*",ifs(M99&lt;='Range Tables'!$G$186,'Range Tables'!$B$186))</f>
        <v>60 - 120</v>
      </c>
      <c r="O99" s="113">
        <f>IFERROR(__xludf.DUMMYFUNCTION("SPLIT(N99,""-"")"),60.0)</f>
        <v>60</v>
      </c>
      <c r="P99" s="113">
        <f>IFERROR(__xludf.DUMMYFUNCTION("""COMPUTED_VALUE"""),120.0)</f>
        <v>120</v>
      </c>
      <c r="Q99" s="114">
        <f t="shared" si="2"/>
        <v>84.36763756</v>
      </c>
      <c r="R99" s="115">
        <f t="shared" si="3"/>
        <v>0.08513179899</v>
      </c>
      <c r="S99" s="114">
        <f t="shared" si="39"/>
        <v>7355.387433</v>
      </c>
      <c r="T99" s="113" t="str">
        <f t="shared" si="4"/>
        <v>no</v>
      </c>
      <c r="U99" s="115">
        <f t="shared" si="5"/>
        <v>0</v>
      </c>
      <c r="V99" s="113">
        <f t="shared" si="34"/>
        <v>0</v>
      </c>
      <c r="W99" s="115">
        <f t="shared" si="6"/>
        <v>0</v>
      </c>
      <c r="X99" s="85">
        <f t="shared" si="7"/>
        <v>0</v>
      </c>
      <c r="Y99" s="116">
        <f t="shared" si="8"/>
        <v>0</v>
      </c>
      <c r="Z99" s="113">
        <f t="shared" si="9"/>
        <v>0</v>
      </c>
      <c r="AA99" s="113" t="str">
        <f t="shared" si="10"/>
        <v>no</v>
      </c>
      <c r="AB99" s="115">
        <f t="shared" si="11"/>
        <v>0</v>
      </c>
      <c r="AC99" s="113">
        <f t="shared" si="35"/>
        <v>0</v>
      </c>
      <c r="AD99" s="116">
        <f t="shared" si="12"/>
        <v>0</v>
      </c>
      <c r="AE99" s="113">
        <f t="shared" si="13"/>
        <v>0</v>
      </c>
      <c r="AF99" s="116">
        <f t="shared" si="14"/>
        <v>0</v>
      </c>
      <c r="AG99" s="113">
        <f t="shared" si="15"/>
        <v>0</v>
      </c>
      <c r="AH99" s="113" t="str">
        <f t="shared" si="16"/>
        <v>yes</v>
      </c>
      <c r="AI99" s="115">
        <f t="shared" si="17"/>
        <v>0</v>
      </c>
      <c r="AJ99" s="113">
        <f t="shared" si="36"/>
        <v>0</v>
      </c>
      <c r="AK99" s="116">
        <f t="shared" si="18"/>
        <v>0.08513179899</v>
      </c>
      <c r="AL99" s="114">
        <f t="shared" si="19"/>
        <v>7355.387433</v>
      </c>
      <c r="AM99" s="115">
        <f t="shared" si="20"/>
        <v>0.08610827627</v>
      </c>
      <c r="AN99" s="118">
        <f t="shared" si="21"/>
        <v>7439.75507</v>
      </c>
      <c r="AO99" s="113" t="str">
        <f t="shared" si="22"/>
        <v>no</v>
      </c>
      <c r="AP99" s="115">
        <f t="shared" si="23"/>
        <v>0</v>
      </c>
      <c r="AQ99" s="113">
        <f t="shared" si="37"/>
        <v>0</v>
      </c>
      <c r="AR99" s="116">
        <f t="shared" si="24"/>
        <v>0</v>
      </c>
      <c r="AS99" s="113">
        <f t="shared" si="25"/>
        <v>0</v>
      </c>
      <c r="AT99" s="116">
        <f t="shared" si="26"/>
        <v>0</v>
      </c>
      <c r="AU99" s="113">
        <f t="shared" si="27"/>
        <v>0</v>
      </c>
      <c r="AV99" s="113" t="str">
        <f t="shared" si="28"/>
        <v>no</v>
      </c>
      <c r="AW99" s="115">
        <f t="shared" si="29"/>
        <v>0</v>
      </c>
      <c r="AX99" s="85">
        <f t="shared" si="38"/>
        <v>0</v>
      </c>
      <c r="AY99" s="116">
        <f t="shared" si="30"/>
        <v>0</v>
      </c>
      <c r="AZ99" s="113">
        <f t="shared" si="31"/>
        <v>0</v>
      </c>
      <c r="BA99" s="116">
        <f t="shared" si="32"/>
        <v>0</v>
      </c>
      <c r="BB99" s="113">
        <f t="shared" si="33"/>
        <v>0</v>
      </c>
      <c r="BC99" s="112">
        <v>0.7064876282003331</v>
      </c>
      <c r="BD99" s="113" t="str">
        <f>ifs(BC99&lt;='Range Tables'!$G$81,'Range Tables'!$B$81,BC99&lt;='Range Tables'!$G$82,'Range Tables'!$B$82)</f>
        <v>Offline*</v>
      </c>
      <c r="BE99" s="112">
        <v>0.3662906162374391</v>
      </c>
      <c r="BF99" s="112" t="str">
        <f>ifs(BE99&lt;='Range Tables'!$G$95,'Range Tables'!$B$95,BE99&lt;='Range Tables'!$G$96,'Range Tables'!$B$96,BE99&lt;='Range Tables'!$G$97,'Range Tables'!$B$97,BE99&lt;='Range Tables'!$G$98,'Range Tables'!$B$98,BE99&lt;='Range Tables'!$G$99,'Range Tables'!$B$99,BE99&lt;='Range Tables'!$G$100,'Range Tables'!$B$100,BE99&lt;='Range Tables'!$G$101,'Range Tables'!$B$101,BE99&lt;='Range Tables'!$G$102,'Range Tables'!$B$102,BE99&lt;='Range Tables'!$G$103,'Range Tables'!$B$103)</f>
        <v>Jammu</v>
      </c>
      <c r="BG99" s="112">
        <v>0.08290776669331013</v>
      </c>
      <c r="BH99" s="113" t="str">
        <f>ifs(BG99&lt;='Range Tables'!$G$112,'Range Tables'!$B$112,BG99&lt;='Range Tables'!$G$113,'Range Tables'!$B$113,BG99&lt;='Range Tables'!$G$114,'Range Tables'!$B$114)</f>
        <v>0</v>
      </c>
      <c r="BI99" s="117">
        <v>0.7311363708036667</v>
      </c>
      <c r="BJ99" s="113" t="str">
        <f>ifs(BI99&lt;='Range Tables'!$G$118,'Range Tables'!$B$118,BI99&lt;='Range Tables'!$G$119,'Range Tables'!$B$119)</f>
        <v>Expired</v>
      </c>
    </row>
    <row r="100">
      <c r="A100" s="85">
        <v>97.0</v>
      </c>
      <c r="B100" s="112">
        <v>0.8538746718275549</v>
      </c>
      <c r="C100" s="113" t="str">
        <f>ifs(B100&lt;='Range Tables'!$G$54,'Range Tables'!$B$54,B100&lt;='Range Tables'!$G$55,'Range Tables'!$B$55,B100&lt;='Range Tables'!$G$56,'Range Tables'!$B$56,B100&lt;='Range Tables'!$G$57,'Range Tables'!$B$57,B100&lt;='Range Tables'!$G$58,'Range Tables'!$B$58,B100&lt;='Range Tables'!$G$59,'Range Tables'!$B$59,B100&lt;='Range Tables'!$G$60,'Range Tables'!$B$60,B100&lt;='Range Tables'!$G$61,'Range Tables'!$B$61,B100&lt;='Range Tables'!$G$63,'Range Tables'!$B$63,B100&lt;='Range Tables'!$G$64,'Range Tables'!$B$64,B100&lt;='Range Tables'!$G$66,'Range Tables'!$B$66)</f>
        <v>180 - 210</v>
      </c>
      <c r="D100" s="113">
        <f>IFERROR(__xludf.DUMMYFUNCTION("SPLIT(C100,""-"")"),180.0)</f>
        <v>180</v>
      </c>
      <c r="E100" s="113">
        <f>IFERROR(__xludf.DUMMYFUNCTION("""COMPUTED_VALUE"""),210.0)</f>
        <v>210</v>
      </c>
      <c r="F100" s="114">
        <f t="shared" si="40"/>
        <v>205.6162402</v>
      </c>
      <c r="G100" s="112">
        <v>0.18182694132138388</v>
      </c>
      <c r="H100" s="113" t="str">
        <f>ifs(G100&lt;='Range Tables'!$G$86,'Range Tables'!$B$86,G100&lt;='Range Tables'!$G$87,'Range Tables'!$B$87,G100&lt;='Range Tables'!$G$88,'Range Tables'!$B$88,G100&lt;='Range Tables'!$G$89,'Range Tables'!$B$89,G100&lt;='Range Tables'!$G$90,'Range Tables'!$B$90,G100&lt;='Range Tables'!$G$91,'Range Tables'!$B$91)</f>
        <v>Car</v>
      </c>
      <c r="I100" s="112">
        <v>0.07298535609939383</v>
      </c>
      <c r="J100" s="113" t="str">
        <f>IFS(
  H100="Car", IF(I100&lt;='Range Tables'!$G$19, 'Range Tables'!$B$19, 'Range Tables'!$B$20), 
  H100="Bike", IF(I100&lt;='Range Tables'!$G$25, 'Range Tables'!$B$25, 'Range Tables'!$B$26), 
  H100="Scooter", IF(I100&lt;='Range Tables'!$G$31, 'Range Tables'!$B$31, 'Range Tables'!$B$32), 
  H100="Auto", IF(I100&lt;='Range Tables'!$G$37, 'Range Tables'!$B$37, 'Range Tables'!$B$38), 
  H100="Carriers*", IF(I100&lt;='Range Tables'!$G$43, 'Range Tables'!$B$43, 'Range Tables'!$B$44), 
  H100="Van*", IF(I100&lt;='Range Tables'!$G$50, 'Range Tables'!$B$50, 'Range Tables'!$B$49)
)</f>
        <v>Petrol</v>
      </c>
      <c r="K100" s="112">
        <v>0.6816353892887743</v>
      </c>
      <c r="L100" s="113">
        <f>if(J100="Petrol",ifs(K100&lt;='Range Tables'!$G$5,'Range Tables'!$B$5,K100&lt;='Range Tables'!$G$6,'Range Tables'!$B$6,K100&lt;='Range Tables'!$G$7,'Range Tables'!$B$7),ifs(K100&lt;='Range Tables'!$G$13,'Range Tables'!$B$13,K100&lt;='Range Tables'!$G$14,'Range Tables'!$B$14))</f>
        <v>3</v>
      </c>
      <c r="M100" s="112">
        <v>0.515765087595511</v>
      </c>
      <c r="N100" s="113" t="str">
        <f>ifs(H100="Car",ifs(M100&lt;='Range Tables'!$G$125,'Range Tables'!$B$125,M100&lt;='Range Tables'!$G$126,'Range Tables'!$B$126,M100&lt;='Range Tables'!$G$127,'Range Tables'!$B$127,M100&lt;='Range Tables'!$G$128,'Range Tables'!$B$128,M100&lt;='Range Tables'!$G$129,'Range Tables'!$B$129,'Range Tables'!$G$131,'Range Tables'!$B$131),H100="Bike",ifs(M100&lt;='Range Tables'!$G$136,'Range Tables'!$B$136,M100&lt;='Range Tables'!$G$137,'Range Tables'!$B$137,M100&lt;='Range Tables'!$G$138,'Range Tables'!$B$138,M100&lt;='Range Tables'!$G$142,'Range Tables'!$B$142),H100="Scooter",ifs(M100&lt;='Range Tables'!$G$148,'Range Tables'!$B$148,M100&lt;='Range Tables'!$G$149,'Range Tables'!$B$149,M100&lt;='Range Tables'!$G$150,'Range Tables'!$B$150,M100&lt;='Range Tables'!$G$151,'Range Tables'!$B$151),H100="Auto",ifs(M100&lt;='Range Tables'!$G$161,'Range Tables'!$B$161,M100&lt;='Range Tables'!$G$162,'Range Tables'!$B$162,M100&lt;='Range Tables'!$G$163,'Range Tables'!$B$163,M100&lt;='Range Tables'!$G$164,'Range Tables'!$B$164),H100="Carriers*",ifs(M100&lt;='Range Tables'!$G$173,'Range Tables'!$B$173,M100&lt;='Range Tables'!$G$174,'Range Tables'!$B$174,M100&lt;='Range Tables'!$G$175,'Range Tables'!$B$175,M100&lt;='Range Tables'!$G$176,'Range Tables'!$B$176,M100&lt;='Range Tables'!$G$177,'Range Tables'!$B$177,M100&lt;='Range Tables'!$G$179,'Range Tables'!$B$179),H100="Van*",ifs(M100&lt;='Range Tables'!$G$186,'Range Tables'!$B$186))</f>
        <v>120 - 180</v>
      </c>
      <c r="O100" s="113">
        <f>IFERROR(__xludf.DUMMYFUNCTION("SPLIT(N100,""-"")"),120.0)</f>
        <v>120</v>
      </c>
      <c r="P100" s="113">
        <f>IFERROR(__xludf.DUMMYFUNCTION("""COMPUTED_VALUE"""),180.0)</f>
        <v>180</v>
      </c>
      <c r="Q100" s="114">
        <f t="shared" si="2"/>
        <v>150.9459053</v>
      </c>
      <c r="R100" s="115">
        <f t="shared" si="3"/>
        <v>0.08787620795</v>
      </c>
      <c r="S100" s="114">
        <f t="shared" si="39"/>
        <v>7592.504367</v>
      </c>
      <c r="T100" s="113" t="str">
        <f t="shared" si="4"/>
        <v>no</v>
      </c>
      <c r="U100" s="115">
        <f t="shared" si="5"/>
        <v>0</v>
      </c>
      <c r="V100" s="113">
        <f t="shared" si="34"/>
        <v>0</v>
      </c>
      <c r="W100" s="115">
        <f t="shared" si="6"/>
        <v>0</v>
      </c>
      <c r="X100" s="85">
        <f t="shared" si="7"/>
        <v>0</v>
      </c>
      <c r="Y100" s="116">
        <f t="shared" si="8"/>
        <v>0</v>
      </c>
      <c r="Z100" s="113">
        <f t="shared" si="9"/>
        <v>0</v>
      </c>
      <c r="AA100" s="113" t="str">
        <f t="shared" si="10"/>
        <v>no</v>
      </c>
      <c r="AB100" s="115">
        <f t="shared" si="11"/>
        <v>0</v>
      </c>
      <c r="AC100" s="113">
        <f t="shared" si="35"/>
        <v>0</v>
      </c>
      <c r="AD100" s="116">
        <f t="shared" si="12"/>
        <v>0</v>
      </c>
      <c r="AE100" s="113">
        <f t="shared" si="13"/>
        <v>0</v>
      </c>
      <c r="AF100" s="116">
        <f t="shared" si="14"/>
        <v>0</v>
      </c>
      <c r="AG100" s="113">
        <f t="shared" si="15"/>
        <v>0</v>
      </c>
      <c r="AH100" s="113" t="str">
        <f t="shared" si="16"/>
        <v>yes</v>
      </c>
      <c r="AI100" s="115">
        <f t="shared" si="17"/>
        <v>0</v>
      </c>
      <c r="AJ100" s="113">
        <f t="shared" si="36"/>
        <v>0</v>
      </c>
      <c r="AK100" s="116">
        <f t="shared" si="18"/>
        <v>0.08787620795</v>
      </c>
      <c r="AL100" s="114">
        <f t="shared" si="19"/>
        <v>7592.504367</v>
      </c>
      <c r="AM100" s="115">
        <f t="shared" si="20"/>
        <v>0.08962326704</v>
      </c>
      <c r="AN100" s="118">
        <f t="shared" si="21"/>
        <v>7743.450272</v>
      </c>
      <c r="AO100" s="113" t="str">
        <f t="shared" si="22"/>
        <v>no</v>
      </c>
      <c r="AP100" s="115">
        <f t="shared" si="23"/>
        <v>0</v>
      </c>
      <c r="AQ100" s="113">
        <f t="shared" si="37"/>
        <v>0</v>
      </c>
      <c r="AR100" s="116">
        <f t="shared" si="24"/>
        <v>0</v>
      </c>
      <c r="AS100" s="113">
        <f t="shared" si="25"/>
        <v>0</v>
      </c>
      <c r="AT100" s="116">
        <f t="shared" si="26"/>
        <v>0</v>
      </c>
      <c r="AU100" s="113">
        <f t="shared" si="27"/>
        <v>0</v>
      </c>
      <c r="AV100" s="113" t="str">
        <f t="shared" si="28"/>
        <v>no</v>
      </c>
      <c r="AW100" s="115">
        <f t="shared" si="29"/>
        <v>0</v>
      </c>
      <c r="AX100" s="85">
        <f t="shared" si="38"/>
        <v>0</v>
      </c>
      <c r="AY100" s="116">
        <f t="shared" si="30"/>
        <v>0</v>
      </c>
      <c r="AZ100" s="113">
        <f t="shared" si="31"/>
        <v>0</v>
      </c>
      <c r="BA100" s="116">
        <f t="shared" si="32"/>
        <v>0</v>
      </c>
      <c r="BB100" s="113">
        <f t="shared" si="33"/>
        <v>0</v>
      </c>
      <c r="BC100" s="112">
        <v>0.961571304940181</v>
      </c>
      <c r="BD100" s="113" t="str">
        <f>ifs(BC100&lt;='Range Tables'!$G$81,'Range Tables'!$B$81,BC100&lt;='Range Tables'!$G$82,'Range Tables'!$B$82)</f>
        <v>Offline*</v>
      </c>
      <c r="BE100" s="112">
        <v>0.05166330363392069</v>
      </c>
      <c r="BF100" s="112" t="str">
        <f>ifs(BE100&lt;='Range Tables'!$G$95,'Range Tables'!$B$95,BE100&lt;='Range Tables'!$G$96,'Range Tables'!$B$96,BE100&lt;='Range Tables'!$G$97,'Range Tables'!$B$97,BE100&lt;='Range Tables'!$G$98,'Range Tables'!$B$98,BE100&lt;='Range Tables'!$G$99,'Range Tables'!$B$99,BE100&lt;='Range Tables'!$G$100,'Range Tables'!$B$100,BE100&lt;='Range Tables'!$G$101,'Range Tables'!$B$101,BE100&lt;='Range Tables'!$G$102,'Range Tables'!$B$102,BE100&lt;='Range Tables'!$G$103,'Range Tables'!$B$103)</f>
        <v>Jammu</v>
      </c>
      <c r="BG100" s="112">
        <v>0.32805544856052027</v>
      </c>
      <c r="BH100" s="113" t="str">
        <f>ifs(BG100&lt;='Range Tables'!$G$112,'Range Tables'!$B$112,BG100&lt;='Range Tables'!$G$113,'Range Tables'!$B$113,BG100&lt;='Range Tables'!$G$114,'Range Tables'!$B$114)</f>
        <v>0</v>
      </c>
      <c r="BI100" s="117">
        <v>0.6042647171918988</v>
      </c>
      <c r="BJ100" s="113" t="str">
        <f>ifs(BI100&lt;='Range Tables'!$G$118,'Range Tables'!$B$118,BI100&lt;='Range Tables'!$G$119,'Range Tables'!$B$119)</f>
        <v>Expired</v>
      </c>
    </row>
    <row r="101">
      <c r="A101" s="85">
        <v>98.0</v>
      </c>
      <c r="B101" s="112">
        <v>0.5403124237573992</v>
      </c>
      <c r="C101" s="113" t="str">
        <f>ifs(B101&lt;='Range Tables'!$G$54,'Range Tables'!$B$54,B101&lt;='Range Tables'!$G$55,'Range Tables'!$B$55,B101&lt;='Range Tables'!$G$56,'Range Tables'!$B$56,B101&lt;='Range Tables'!$G$57,'Range Tables'!$B$57,B101&lt;='Range Tables'!$G$58,'Range Tables'!$B$58,B101&lt;='Range Tables'!$G$59,'Range Tables'!$B$59,B101&lt;='Range Tables'!$G$60,'Range Tables'!$B$60,B101&lt;='Range Tables'!$G$61,'Range Tables'!$B$61,B101&lt;='Range Tables'!$G$63,'Range Tables'!$B$63,B101&lt;='Range Tables'!$G$64,'Range Tables'!$B$64,B101&lt;='Range Tables'!$G$66,'Range Tables'!$B$66)</f>
        <v>30 - 60 </v>
      </c>
      <c r="D101" s="113">
        <f>IFERROR(__xludf.DUMMYFUNCTION("SPLIT(C101,""-"")"),30.0)</f>
        <v>30</v>
      </c>
      <c r="E101" s="113">
        <f>IFERROR(__xludf.DUMMYFUNCTION("""COMPUTED_VALUE"""),60.0)</f>
        <v>60</v>
      </c>
      <c r="F101" s="114">
        <f t="shared" si="40"/>
        <v>46.20937271</v>
      </c>
      <c r="G101" s="112">
        <v>0.5546153977577436</v>
      </c>
      <c r="H101" s="113" t="str">
        <f>ifs(G101&lt;='Range Tables'!$G$86,'Range Tables'!$B$86,G101&lt;='Range Tables'!$G$87,'Range Tables'!$B$87,G101&lt;='Range Tables'!$G$88,'Range Tables'!$B$88,G101&lt;='Range Tables'!$G$89,'Range Tables'!$B$89,G101&lt;='Range Tables'!$G$90,'Range Tables'!$B$90,G101&lt;='Range Tables'!$G$91,'Range Tables'!$B$91)</f>
        <v>Bike</v>
      </c>
      <c r="I101" s="112">
        <v>0.35722154913478876</v>
      </c>
      <c r="J101" s="113" t="str">
        <f>IFS(
  H101="Car", IF(I101&lt;='Range Tables'!$G$19, 'Range Tables'!$B$19, 'Range Tables'!$B$20), 
  H101="Bike", IF(I101&lt;='Range Tables'!$G$25, 'Range Tables'!$B$25, 'Range Tables'!$B$26), 
  H101="Scooter", IF(I101&lt;='Range Tables'!$G$31, 'Range Tables'!$B$31, 'Range Tables'!$B$32), 
  H101="Auto", IF(I101&lt;='Range Tables'!$G$37, 'Range Tables'!$B$37, 'Range Tables'!$B$38), 
  H101="Carriers*", IF(I101&lt;='Range Tables'!$G$43, 'Range Tables'!$B$43, 'Range Tables'!$B$44), 
  H101="Van*", IF(I101&lt;='Range Tables'!$G$50, 'Range Tables'!$B$50, 'Range Tables'!$B$49)
)</f>
        <v>Petrol</v>
      </c>
      <c r="K101" s="112">
        <v>0.44666072567216397</v>
      </c>
      <c r="L101" s="113">
        <f>if(J101="Petrol",ifs(K101&lt;='Range Tables'!$G$5,'Range Tables'!$B$5,K101&lt;='Range Tables'!$G$6,'Range Tables'!$B$6,K101&lt;='Range Tables'!$G$7,'Range Tables'!$B$7),ifs(K101&lt;='Range Tables'!$G$13,'Range Tables'!$B$13,K101&lt;='Range Tables'!$G$14,'Range Tables'!$B$14))</f>
        <v>2</v>
      </c>
      <c r="M101" s="112">
        <v>0.7656229687077633</v>
      </c>
      <c r="N101" s="113" t="str">
        <f>ifs(H101="Car",ifs(M101&lt;='Range Tables'!$G$125,'Range Tables'!$B$125,M101&lt;='Range Tables'!$G$126,'Range Tables'!$B$126,M101&lt;='Range Tables'!$G$127,'Range Tables'!$B$127,M101&lt;='Range Tables'!$G$128,'Range Tables'!$B$128,M101&lt;='Range Tables'!$G$129,'Range Tables'!$B$129,'Range Tables'!$G$131,'Range Tables'!$B$131),H101="Bike",ifs(M101&lt;='Range Tables'!$G$136,'Range Tables'!$B$136,M101&lt;='Range Tables'!$G$137,'Range Tables'!$B$137,M101&lt;='Range Tables'!$G$138,'Range Tables'!$B$138,M101&lt;='Range Tables'!$G$142,'Range Tables'!$B$142),H101="Scooter",ifs(M101&lt;='Range Tables'!$G$148,'Range Tables'!$B$148,M101&lt;='Range Tables'!$G$149,'Range Tables'!$B$149,M101&lt;='Range Tables'!$G$150,'Range Tables'!$B$150,M101&lt;='Range Tables'!$G$151,'Range Tables'!$B$151),H101="Auto",ifs(M101&lt;='Range Tables'!$G$161,'Range Tables'!$B$161,M101&lt;='Range Tables'!$G$162,'Range Tables'!$B$162,M101&lt;='Range Tables'!$G$163,'Range Tables'!$B$163,M101&lt;='Range Tables'!$G$164,'Range Tables'!$B$164),H101="Carriers*",ifs(M101&lt;='Range Tables'!$G$173,'Range Tables'!$B$173,M101&lt;='Range Tables'!$G$174,'Range Tables'!$B$174,M101&lt;='Range Tables'!$G$175,'Range Tables'!$B$175,M101&lt;='Range Tables'!$G$176,'Range Tables'!$B$176,M101&lt;='Range Tables'!$G$177,'Range Tables'!$B$177,M101&lt;='Range Tables'!$G$179,'Range Tables'!$B$179),H101="Van*",ifs(M101&lt;='Range Tables'!$G$186,'Range Tables'!$B$186))</f>
        <v>120 - 180</v>
      </c>
      <c r="O101" s="113">
        <f>IFERROR(__xludf.DUMMYFUNCTION("SPLIT(N101,""-"")"),120.0)</f>
        <v>120</v>
      </c>
      <c r="P101" s="113">
        <f>IFERROR(__xludf.DUMMYFUNCTION("""COMPUTED_VALUE"""),180.0)</f>
        <v>180</v>
      </c>
      <c r="Q101" s="114">
        <f t="shared" si="2"/>
        <v>165.9373781</v>
      </c>
      <c r="R101" s="115">
        <f t="shared" si="3"/>
        <v>0.09025602554</v>
      </c>
      <c r="S101" s="114">
        <f t="shared" si="39"/>
        <v>7798.120607</v>
      </c>
      <c r="T101" s="113" t="str">
        <f t="shared" si="4"/>
        <v>no</v>
      </c>
      <c r="U101" s="115">
        <f t="shared" si="5"/>
        <v>0</v>
      </c>
      <c r="V101" s="113">
        <f t="shared" si="34"/>
        <v>0</v>
      </c>
      <c r="W101" s="115">
        <f t="shared" si="6"/>
        <v>0</v>
      </c>
      <c r="X101" s="85">
        <f t="shared" si="7"/>
        <v>0</v>
      </c>
      <c r="Y101" s="116">
        <f t="shared" si="8"/>
        <v>0</v>
      </c>
      <c r="Z101" s="113">
        <f t="shared" si="9"/>
        <v>0</v>
      </c>
      <c r="AA101" s="113" t="str">
        <f t="shared" si="10"/>
        <v>yes</v>
      </c>
      <c r="AB101" s="115">
        <f t="shared" si="11"/>
        <v>0</v>
      </c>
      <c r="AC101" s="113">
        <f t="shared" si="35"/>
        <v>0</v>
      </c>
      <c r="AD101" s="116">
        <f t="shared" si="12"/>
        <v>0.09025602554</v>
      </c>
      <c r="AE101" s="114">
        <f t="shared" si="13"/>
        <v>7798.120607</v>
      </c>
      <c r="AF101" s="116">
        <f t="shared" si="14"/>
        <v>0.09217659705</v>
      </c>
      <c r="AG101" s="114">
        <f t="shared" si="15"/>
        <v>7964.057985</v>
      </c>
      <c r="AH101" s="113" t="str">
        <f t="shared" si="16"/>
        <v>no</v>
      </c>
      <c r="AI101" s="115">
        <f t="shared" si="17"/>
        <v>0</v>
      </c>
      <c r="AJ101" s="113">
        <f t="shared" si="36"/>
        <v>0</v>
      </c>
      <c r="AK101" s="116">
        <f t="shared" si="18"/>
        <v>0</v>
      </c>
      <c r="AL101" s="113">
        <f t="shared" si="19"/>
        <v>0</v>
      </c>
      <c r="AM101" s="115">
        <f t="shared" si="20"/>
        <v>0</v>
      </c>
      <c r="AN101" s="85">
        <f t="shared" si="21"/>
        <v>0</v>
      </c>
      <c r="AO101" s="113" t="str">
        <f t="shared" si="22"/>
        <v>no</v>
      </c>
      <c r="AP101" s="115">
        <f t="shared" si="23"/>
        <v>0</v>
      </c>
      <c r="AQ101" s="113">
        <f t="shared" si="37"/>
        <v>0</v>
      </c>
      <c r="AR101" s="116">
        <f t="shared" si="24"/>
        <v>0</v>
      </c>
      <c r="AS101" s="113">
        <f t="shared" si="25"/>
        <v>0</v>
      </c>
      <c r="AT101" s="116">
        <f t="shared" si="26"/>
        <v>0</v>
      </c>
      <c r="AU101" s="113">
        <f t="shared" si="27"/>
        <v>0</v>
      </c>
      <c r="AV101" s="113" t="str">
        <f t="shared" si="28"/>
        <v>no</v>
      </c>
      <c r="AW101" s="115">
        <f t="shared" si="29"/>
        <v>0</v>
      </c>
      <c r="AX101" s="85">
        <f t="shared" si="38"/>
        <v>0</v>
      </c>
      <c r="AY101" s="116">
        <f t="shared" si="30"/>
        <v>0</v>
      </c>
      <c r="AZ101" s="113">
        <f t="shared" si="31"/>
        <v>0</v>
      </c>
      <c r="BA101" s="116">
        <f t="shared" si="32"/>
        <v>0</v>
      </c>
      <c r="BB101" s="113">
        <f t="shared" si="33"/>
        <v>0</v>
      </c>
      <c r="BC101" s="112">
        <v>0.32548785645201916</v>
      </c>
      <c r="BD101" s="113" t="str">
        <f>ifs(BC101&lt;='Range Tables'!$G$81,'Range Tables'!$B$81,BC101&lt;='Range Tables'!$G$82,'Range Tables'!$B$82)</f>
        <v>Online*</v>
      </c>
      <c r="BE101" s="112">
        <v>0.042798036947462426</v>
      </c>
      <c r="BF101" s="112" t="str">
        <f>ifs(BE101&lt;='Range Tables'!$G$95,'Range Tables'!$B$95,BE101&lt;='Range Tables'!$G$96,'Range Tables'!$B$96,BE101&lt;='Range Tables'!$G$97,'Range Tables'!$B$97,BE101&lt;='Range Tables'!$G$98,'Range Tables'!$B$98,BE101&lt;='Range Tables'!$G$99,'Range Tables'!$B$99,BE101&lt;='Range Tables'!$G$100,'Range Tables'!$B$100,BE101&lt;='Range Tables'!$G$101,'Range Tables'!$B$101,BE101&lt;='Range Tables'!$G$102,'Range Tables'!$B$102,BE101&lt;='Range Tables'!$G$103,'Range Tables'!$B$103)</f>
        <v>Jammu</v>
      </c>
      <c r="BG101" s="112">
        <v>0.5903939276925967</v>
      </c>
      <c r="BH101" s="113" t="str">
        <f>ifs(BG101&lt;='Range Tables'!$G$112,'Range Tables'!$B$112,BG101&lt;='Range Tables'!$G$113,'Range Tables'!$B$113,BG101&lt;='Range Tables'!$G$114,'Range Tables'!$B$114)</f>
        <v>0</v>
      </c>
      <c r="BI101" s="117">
        <v>0.5416907550355325</v>
      </c>
      <c r="BJ101" s="113" t="str">
        <f>ifs(BI101&lt;='Range Tables'!$G$118,'Range Tables'!$B$118,BI101&lt;='Range Tables'!$G$119,'Range Tables'!$B$119)</f>
        <v>Valid</v>
      </c>
    </row>
    <row r="102">
      <c r="A102" s="85">
        <v>99.0</v>
      </c>
      <c r="B102" s="112">
        <v>0.32742477646037427</v>
      </c>
      <c r="C102" s="113" t="str">
        <f>ifs(B102&lt;='Range Tables'!$G$54,'Range Tables'!$B$54,B102&lt;='Range Tables'!$G$55,'Range Tables'!$B$55,B102&lt;='Range Tables'!$G$56,'Range Tables'!$B$56,B102&lt;='Range Tables'!$G$57,'Range Tables'!$B$57,B102&lt;='Range Tables'!$G$58,'Range Tables'!$B$58,B102&lt;='Range Tables'!$G$59,'Range Tables'!$B$59,B102&lt;='Range Tables'!$G$60,'Range Tables'!$B$60,B102&lt;='Range Tables'!$G$61,'Range Tables'!$B$61,B102&lt;='Range Tables'!$G$63,'Range Tables'!$B$63,B102&lt;='Range Tables'!$G$64,'Range Tables'!$B$64,B102&lt;='Range Tables'!$G$66,'Range Tables'!$B$66)</f>
        <v>30 - 60 </v>
      </c>
      <c r="D102" s="113">
        <f>IFERROR(__xludf.DUMMYFUNCTION("SPLIT(C102,""-"")"),30.0)</f>
        <v>30</v>
      </c>
      <c r="E102" s="113">
        <f>IFERROR(__xludf.DUMMYFUNCTION("""COMPUTED_VALUE"""),60.0)</f>
        <v>60</v>
      </c>
      <c r="F102" s="114">
        <f t="shared" si="40"/>
        <v>39.82274329</v>
      </c>
      <c r="G102" s="112">
        <v>0.20400466225875336</v>
      </c>
      <c r="H102" s="113" t="str">
        <f>ifs(G102&lt;='Range Tables'!$G$86,'Range Tables'!$B$86,G102&lt;='Range Tables'!$G$87,'Range Tables'!$B$87,G102&lt;='Range Tables'!$G$88,'Range Tables'!$B$88,G102&lt;='Range Tables'!$G$89,'Range Tables'!$B$89,G102&lt;='Range Tables'!$G$90,'Range Tables'!$B$90,G102&lt;='Range Tables'!$G$91,'Range Tables'!$B$91)</f>
        <v>Car</v>
      </c>
      <c r="I102" s="112">
        <v>0.6213440430504691</v>
      </c>
      <c r="J102" s="113" t="str">
        <f>IFS(
  H102="Car", IF(I102&lt;='Range Tables'!$G$19, 'Range Tables'!$B$19, 'Range Tables'!$B$20), 
  H102="Bike", IF(I102&lt;='Range Tables'!$G$25, 'Range Tables'!$B$25, 'Range Tables'!$B$26), 
  H102="Scooter", IF(I102&lt;='Range Tables'!$G$31, 'Range Tables'!$B$31, 'Range Tables'!$B$32), 
  H102="Auto", IF(I102&lt;='Range Tables'!$G$37, 'Range Tables'!$B$37, 'Range Tables'!$B$38), 
  H102="Carriers*", IF(I102&lt;='Range Tables'!$G$43, 'Range Tables'!$B$43, 'Range Tables'!$B$44), 
  H102="Van*", IF(I102&lt;='Range Tables'!$G$50, 'Range Tables'!$B$50, 'Range Tables'!$B$49)
)</f>
        <v>Petrol</v>
      </c>
      <c r="K102" s="112">
        <v>0.6179175448706241</v>
      </c>
      <c r="L102" s="113">
        <f>if(J102="Petrol",ifs(K102&lt;='Range Tables'!$G$5,'Range Tables'!$B$5,K102&lt;='Range Tables'!$G$6,'Range Tables'!$B$6,K102&lt;='Range Tables'!$G$7,'Range Tables'!$B$7),ifs(K102&lt;='Range Tables'!$G$13,'Range Tables'!$B$13,K102&lt;='Range Tables'!$G$14,'Range Tables'!$B$14))</f>
        <v>3</v>
      </c>
      <c r="M102" s="112">
        <v>0.4674180898437277</v>
      </c>
      <c r="N102" s="113" t="str">
        <f>ifs(H102="Car",ifs(M102&lt;='Range Tables'!$G$125,'Range Tables'!$B$125,M102&lt;='Range Tables'!$G$126,'Range Tables'!$B$126,M102&lt;='Range Tables'!$G$127,'Range Tables'!$B$127,M102&lt;='Range Tables'!$G$128,'Range Tables'!$B$128,M102&lt;='Range Tables'!$G$129,'Range Tables'!$B$129,'Range Tables'!$G$131,'Range Tables'!$B$131),H102="Bike",ifs(M102&lt;='Range Tables'!$G$136,'Range Tables'!$B$136,M102&lt;='Range Tables'!$G$137,'Range Tables'!$B$137,M102&lt;='Range Tables'!$G$138,'Range Tables'!$B$138,M102&lt;='Range Tables'!$G$142,'Range Tables'!$B$142),H102="Scooter",ifs(M102&lt;='Range Tables'!$G$148,'Range Tables'!$B$148,M102&lt;='Range Tables'!$G$149,'Range Tables'!$B$149,M102&lt;='Range Tables'!$G$150,'Range Tables'!$B$150,M102&lt;='Range Tables'!$G$151,'Range Tables'!$B$151),H102="Auto",ifs(M102&lt;='Range Tables'!$G$161,'Range Tables'!$B$161,M102&lt;='Range Tables'!$G$162,'Range Tables'!$B$162,M102&lt;='Range Tables'!$G$163,'Range Tables'!$B$163,M102&lt;='Range Tables'!$G$164,'Range Tables'!$B$164),H102="Carriers*",ifs(M102&lt;='Range Tables'!$G$173,'Range Tables'!$B$173,M102&lt;='Range Tables'!$G$174,'Range Tables'!$B$174,M102&lt;='Range Tables'!$G$175,'Range Tables'!$B$175,M102&lt;='Range Tables'!$G$176,'Range Tables'!$B$176,M102&lt;='Range Tables'!$G$177,'Range Tables'!$B$177,M102&lt;='Range Tables'!$G$179,'Range Tables'!$B$179),H102="Van*",ifs(M102&lt;='Range Tables'!$G$186,'Range Tables'!$B$186))</f>
        <v>120 - 180</v>
      </c>
      <c r="O102" s="113">
        <f>IFERROR(__xludf.DUMMYFUNCTION("SPLIT(N102,""-"")"),120.0)</f>
        <v>120</v>
      </c>
      <c r="P102" s="113">
        <f>IFERROR(__xludf.DUMMYFUNCTION("""COMPUTED_VALUE"""),180.0)</f>
        <v>180</v>
      </c>
      <c r="Q102" s="114">
        <f t="shared" si="2"/>
        <v>148.0450854</v>
      </c>
      <c r="R102" s="115">
        <f t="shared" si="3"/>
        <v>0.09079085625</v>
      </c>
      <c r="S102" s="114">
        <f t="shared" si="39"/>
        <v>7844.32998</v>
      </c>
      <c r="T102" s="113" t="str">
        <f t="shared" si="4"/>
        <v>no</v>
      </c>
      <c r="U102" s="115">
        <f t="shared" si="5"/>
        <v>0</v>
      </c>
      <c r="V102" s="113">
        <f t="shared" si="34"/>
        <v>0</v>
      </c>
      <c r="W102" s="115">
        <f t="shared" si="6"/>
        <v>0</v>
      </c>
      <c r="X102" s="85">
        <f t="shared" si="7"/>
        <v>0</v>
      </c>
      <c r="Y102" s="116">
        <f t="shared" si="8"/>
        <v>0</v>
      </c>
      <c r="Z102" s="113">
        <f t="shared" si="9"/>
        <v>0</v>
      </c>
      <c r="AA102" s="113" t="str">
        <f t="shared" si="10"/>
        <v>no</v>
      </c>
      <c r="AB102" s="115">
        <f t="shared" si="11"/>
        <v>0</v>
      </c>
      <c r="AC102" s="113">
        <f t="shared" si="35"/>
        <v>0</v>
      </c>
      <c r="AD102" s="116">
        <f t="shared" si="12"/>
        <v>0</v>
      </c>
      <c r="AE102" s="113">
        <f t="shared" si="13"/>
        <v>0</v>
      </c>
      <c r="AF102" s="116">
        <f t="shared" si="14"/>
        <v>0</v>
      </c>
      <c r="AG102" s="113">
        <f t="shared" si="15"/>
        <v>0</v>
      </c>
      <c r="AH102" s="113" t="str">
        <f t="shared" si="16"/>
        <v>yes</v>
      </c>
      <c r="AI102" s="115">
        <f t="shared" si="17"/>
        <v>0</v>
      </c>
      <c r="AJ102" s="113">
        <f t="shared" si="36"/>
        <v>0</v>
      </c>
      <c r="AK102" s="116">
        <f t="shared" si="18"/>
        <v>0.09079085625</v>
      </c>
      <c r="AL102" s="114">
        <f t="shared" si="19"/>
        <v>7844.32998</v>
      </c>
      <c r="AM102" s="115">
        <f t="shared" si="20"/>
        <v>0.09250434103</v>
      </c>
      <c r="AN102" s="118">
        <f t="shared" si="21"/>
        <v>7992.375065</v>
      </c>
      <c r="AO102" s="113" t="str">
        <f t="shared" si="22"/>
        <v>no</v>
      </c>
      <c r="AP102" s="115">
        <f t="shared" si="23"/>
        <v>0</v>
      </c>
      <c r="AQ102" s="113">
        <f t="shared" si="37"/>
        <v>0</v>
      </c>
      <c r="AR102" s="116">
        <f t="shared" si="24"/>
        <v>0</v>
      </c>
      <c r="AS102" s="113">
        <f t="shared" si="25"/>
        <v>0</v>
      </c>
      <c r="AT102" s="116">
        <f t="shared" si="26"/>
        <v>0</v>
      </c>
      <c r="AU102" s="113">
        <f t="shared" si="27"/>
        <v>0</v>
      </c>
      <c r="AV102" s="113" t="str">
        <f t="shared" si="28"/>
        <v>no</v>
      </c>
      <c r="AW102" s="115">
        <f t="shared" si="29"/>
        <v>0</v>
      </c>
      <c r="AX102" s="85">
        <f t="shared" si="38"/>
        <v>0</v>
      </c>
      <c r="AY102" s="116">
        <f t="shared" si="30"/>
        <v>0</v>
      </c>
      <c r="AZ102" s="113">
        <f t="shared" si="31"/>
        <v>0</v>
      </c>
      <c r="BA102" s="116">
        <f t="shared" si="32"/>
        <v>0</v>
      </c>
      <c r="BB102" s="113">
        <f t="shared" si="33"/>
        <v>0</v>
      </c>
      <c r="BC102" s="112">
        <v>0.9837686861117452</v>
      </c>
      <c r="BD102" s="113" t="str">
        <f>ifs(BC102&lt;='Range Tables'!$G$81,'Range Tables'!$B$81,BC102&lt;='Range Tables'!$G$82,'Range Tables'!$B$82)</f>
        <v>Offline*</v>
      </c>
      <c r="BE102" s="112">
        <v>0.6029470763686671</v>
      </c>
      <c r="BF102" s="112" t="str">
        <f>ifs(BE102&lt;='Range Tables'!$G$95,'Range Tables'!$B$95,BE102&lt;='Range Tables'!$G$96,'Range Tables'!$B$96,BE102&lt;='Range Tables'!$G$97,'Range Tables'!$B$97,BE102&lt;='Range Tables'!$G$98,'Range Tables'!$B$98,BE102&lt;='Range Tables'!$G$99,'Range Tables'!$B$99,BE102&lt;='Range Tables'!$G$100,'Range Tables'!$B$100,BE102&lt;='Range Tables'!$G$101,'Range Tables'!$B$101,BE102&lt;='Range Tables'!$G$102,'Range Tables'!$B$102,BE102&lt;='Range Tables'!$G$103,'Range Tables'!$B$103)</f>
        <v>Jammu</v>
      </c>
      <c r="BG102" s="112">
        <v>0.9467400736394641</v>
      </c>
      <c r="BH102" s="113" t="str">
        <f>ifs(BG102&lt;='Range Tables'!$G$112,'Range Tables'!$B$112,BG102&lt;='Range Tables'!$G$113,'Range Tables'!$B$113,BG102&lt;='Range Tables'!$G$114,'Range Tables'!$B$114)</f>
        <v>1-5</v>
      </c>
      <c r="BI102" s="117">
        <v>0.07236653838293561</v>
      </c>
      <c r="BJ102" s="113" t="str">
        <f>ifs(BI102&lt;='Range Tables'!$G$118,'Range Tables'!$B$118,BI102&lt;='Range Tables'!$G$119,'Range Tables'!$B$119)</f>
        <v>Valid</v>
      </c>
    </row>
    <row r="103">
      <c r="A103" s="85">
        <v>100.0</v>
      </c>
      <c r="B103" s="112">
        <v>0.9374794041446856</v>
      </c>
      <c r="C103" s="113" t="str">
        <f>ifs(B103&lt;='Range Tables'!$G$54,'Range Tables'!$B$54,B103&lt;='Range Tables'!$G$55,'Range Tables'!$B$55,B103&lt;='Range Tables'!$G$56,'Range Tables'!$B$56,B103&lt;='Range Tables'!$G$57,'Range Tables'!$B$57,B103&lt;='Range Tables'!$G$58,'Range Tables'!$B$58,B103&lt;='Range Tables'!$G$59,'Range Tables'!$B$59,B103&lt;='Range Tables'!$G$60,'Range Tables'!$B$60,B103&lt;='Range Tables'!$G$61,'Range Tables'!$B$61,B103&lt;='Range Tables'!$G$63,'Range Tables'!$B$63,B103&lt;='Range Tables'!$G$64,'Range Tables'!$B$64,B103&lt;='Range Tables'!$G$66,'Range Tables'!$B$66)</f>
        <v>300 - 330</v>
      </c>
      <c r="D103" s="113">
        <f>IFERROR(__xludf.DUMMYFUNCTION("SPLIT(C103,""-"")"),300.0)</f>
        <v>300</v>
      </c>
      <c r="E103" s="113">
        <f>IFERROR(__xludf.DUMMYFUNCTION("""COMPUTED_VALUE"""),330.0)</f>
        <v>330</v>
      </c>
      <c r="F103" s="114">
        <f t="shared" si="40"/>
        <v>328.1243821</v>
      </c>
      <c r="G103" s="112">
        <v>0.29310265682389613</v>
      </c>
      <c r="H103" s="113" t="str">
        <f>ifs(G103&lt;='Range Tables'!$G$86,'Range Tables'!$B$86,G103&lt;='Range Tables'!$G$87,'Range Tables'!$B$87,G103&lt;='Range Tables'!$G$88,'Range Tables'!$B$88,G103&lt;='Range Tables'!$G$89,'Range Tables'!$B$89,G103&lt;='Range Tables'!$G$90,'Range Tables'!$B$90,G103&lt;='Range Tables'!$G$91,'Range Tables'!$B$91)</f>
        <v>Car</v>
      </c>
      <c r="I103" s="112">
        <v>0.3939811660944086</v>
      </c>
      <c r="J103" s="113" t="str">
        <f>IFS(
  H103="Car", IF(I103&lt;='Range Tables'!$G$19, 'Range Tables'!$B$19, 'Range Tables'!$B$20), 
  H103="Bike", IF(I103&lt;='Range Tables'!$G$25, 'Range Tables'!$B$25, 'Range Tables'!$B$26), 
  H103="Scooter", IF(I103&lt;='Range Tables'!$G$31, 'Range Tables'!$B$31, 'Range Tables'!$B$32), 
  H103="Auto", IF(I103&lt;='Range Tables'!$G$37, 'Range Tables'!$B$37, 'Range Tables'!$B$38), 
  H103="Carriers*", IF(I103&lt;='Range Tables'!$G$43, 'Range Tables'!$B$43, 'Range Tables'!$B$44), 
  H103="Van*", IF(I103&lt;='Range Tables'!$G$50, 'Range Tables'!$B$50, 'Range Tables'!$B$49)
)</f>
        <v>Petrol</v>
      </c>
      <c r="K103" s="112">
        <v>0.9078650893896043</v>
      </c>
      <c r="L103" s="113">
        <f>if(J103="Petrol",ifs(K103&lt;='Range Tables'!$G$5,'Range Tables'!$B$5,K103&lt;='Range Tables'!$G$6,'Range Tables'!$B$6,K103&lt;='Range Tables'!$G$7,'Range Tables'!$B$7),ifs(K103&lt;='Range Tables'!$G$13,'Range Tables'!$B$13,K103&lt;='Range Tables'!$G$14,'Range Tables'!$B$14))</f>
        <v>4</v>
      </c>
      <c r="M103" s="112">
        <v>0.7470457623907559</v>
      </c>
      <c r="N103" s="113" t="str">
        <f>ifs(H103="Car",ifs(M103&lt;='Range Tables'!$G$125,'Range Tables'!$B$125,M103&lt;='Range Tables'!$G$126,'Range Tables'!$B$126,M103&lt;='Range Tables'!$G$127,'Range Tables'!$B$127,M103&lt;='Range Tables'!$G$128,'Range Tables'!$B$128,M103&lt;='Range Tables'!$G$129,'Range Tables'!$B$129,'Range Tables'!$G$131,'Range Tables'!$B$131),H103="Bike",ifs(M103&lt;='Range Tables'!$G$136,'Range Tables'!$B$136,M103&lt;='Range Tables'!$G$137,'Range Tables'!$B$137,M103&lt;='Range Tables'!$G$138,'Range Tables'!$B$138,M103&lt;='Range Tables'!$G$142,'Range Tables'!$B$142),H103="Scooter",ifs(M103&lt;='Range Tables'!$G$148,'Range Tables'!$B$148,M103&lt;='Range Tables'!$G$149,'Range Tables'!$B$149,M103&lt;='Range Tables'!$G$150,'Range Tables'!$B$150,M103&lt;='Range Tables'!$G$151,'Range Tables'!$B$151),H103="Auto",ifs(M103&lt;='Range Tables'!$G$161,'Range Tables'!$B$161,M103&lt;='Range Tables'!$G$162,'Range Tables'!$B$162,M103&lt;='Range Tables'!$G$163,'Range Tables'!$B$163,M103&lt;='Range Tables'!$G$164,'Range Tables'!$B$164),H103="Carriers*",ifs(M103&lt;='Range Tables'!$G$173,'Range Tables'!$B$173,M103&lt;='Range Tables'!$G$174,'Range Tables'!$B$174,M103&lt;='Range Tables'!$G$175,'Range Tables'!$B$175,M103&lt;='Range Tables'!$G$176,'Range Tables'!$B$176,M103&lt;='Range Tables'!$G$177,'Range Tables'!$B$177,M103&lt;='Range Tables'!$G$179,'Range Tables'!$B$179),H103="Van*",ifs(M103&lt;='Range Tables'!$G$186,'Range Tables'!$B$186))</f>
        <v>120 - 180</v>
      </c>
      <c r="O103" s="113">
        <f>IFERROR(__xludf.DUMMYFUNCTION("SPLIT(N103,""-"")"),120.0)</f>
        <v>120</v>
      </c>
      <c r="P103" s="113">
        <f>IFERROR(__xludf.DUMMYFUNCTION("""COMPUTED_VALUE"""),180.0)</f>
        <v>180</v>
      </c>
      <c r="Q103" s="114">
        <f t="shared" si="2"/>
        <v>164.8227457</v>
      </c>
      <c r="R103" s="115">
        <f t="shared" si="3"/>
        <v>0.09125176763</v>
      </c>
      <c r="S103" s="114">
        <f t="shared" si="39"/>
        <v>7884.152723</v>
      </c>
      <c r="T103" s="113" t="str">
        <f t="shared" si="4"/>
        <v>no</v>
      </c>
      <c r="U103" s="115">
        <f t="shared" si="5"/>
        <v>0</v>
      </c>
      <c r="V103" s="113">
        <f t="shared" si="34"/>
        <v>0</v>
      </c>
      <c r="W103" s="115">
        <f t="shared" si="6"/>
        <v>0</v>
      </c>
      <c r="X103" s="85">
        <f t="shared" si="7"/>
        <v>0</v>
      </c>
      <c r="Y103" s="116">
        <f t="shared" si="8"/>
        <v>0</v>
      </c>
      <c r="Z103" s="113">
        <f t="shared" si="9"/>
        <v>0</v>
      </c>
      <c r="AA103" s="113" t="str">
        <f t="shared" si="10"/>
        <v>no</v>
      </c>
      <c r="AB103" s="115">
        <f t="shared" si="11"/>
        <v>0</v>
      </c>
      <c r="AC103" s="113">
        <f t="shared" si="35"/>
        <v>0</v>
      </c>
      <c r="AD103" s="116">
        <f t="shared" si="12"/>
        <v>0</v>
      </c>
      <c r="AE103" s="113">
        <f t="shared" si="13"/>
        <v>0</v>
      </c>
      <c r="AF103" s="116">
        <f t="shared" si="14"/>
        <v>0</v>
      </c>
      <c r="AG103" s="113">
        <f t="shared" si="15"/>
        <v>0</v>
      </c>
      <c r="AH103" s="113" t="str">
        <f t="shared" si="16"/>
        <v>no</v>
      </c>
      <c r="AI103" s="115">
        <f t="shared" si="17"/>
        <v>0</v>
      </c>
      <c r="AJ103" s="113">
        <f t="shared" si="36"/>
        <v>0</v>
      </c>
      <c r="AK103" s="116">
        <f t="shared" si="18"/>
        <v>0</v>
      </c>
      <c r="AL103" s="113">
        <f t="shared" si="19"/>
        <v>0</v>
      </c>
      <c r="AM103" s="115">
        <f t="shared" si="20"/>
        <v>0</v>
      </c>
      <c r="AN103" s="85">
        <f t="shared" si="21"/>
        <v>0</v>
      </c>
      <c r="AO103" s="113" t="str">
        <f t="shared" si="22"/>
        <v>yes</v>
      </c>
      <c r="AP103" s="115">
        <f t="shared" si="23"/>
        <v>0</v>
      </c>
      <c r="AQ103" s="113">
        <f t="shared" si="37"/>
        <v>0</v>
      </c>
      <c r="AR103" s="116">
        <f t="shared" si="24"/>
        <v>0.09125176763</v>
      </c>
      <c r="AS103" s="114">
        <f t="shared" si="25"/>
        <v>7884.152723</v>
      </c>
      <c r="AT103" s="116">
        <f t="shared" si="26"/>
        <v>0.0931594383</v>
      </c>
      <c r="AU103" s="114">
        <f t="shared" si="27"/>
        <v>8048.975469</v>
      </c>
      <c r="AV103" s="113" t="str">
        <f t="shared" si="28"/>
        <v>no</v>
      </c>
      <c r="AW103" s="115">
        <f t="shared" si="29"/>
        <v>0</v>
      </c>
      <c r="AX103" s="85">
        <f t="shared" si="38"/>
        <v>0</v>
      </c>
      <c r="AY103" s="116">
        <f t="shared" si="30"/>
        <v>0</v>
      </c>
      <c r="AZ103" s="113">
        <f t="shared" si="31"/>
        <v>0</v>
      </c>
      <c r="BA103" s="116">
        <f t="shared" si="32"/>
        <v>0</v>
      </c>
      <c r="BB103" s="113">
        <f t="shared" si="33"/>
        <v>0</v>
      </c>
      <c r="BC103" s="112">
        <v>0.035346485615829204</v>
      </c>
      <c r="BD103" s="113" t="str">
        <f>ifs(BC103&lt;='Range Tables'!$G$81,'Range Tables'!$B$81,BC103&lt;='Range Tables'!$G$82,'Range Tables'!$B$82)</f>
        <v>Online*</v>
      </c>
      <c r="BE103" s="112">
        <v>0.33752920988256196</v>
      </c>
      <c r="BF103" s="112" t="str">
        <f>ifs(BE103&lt;='Range Tables'!$G$95,'Range Tables'!$B$95,BE103&lt;='Range Tables'!$G$96,'Range Tables'!$B$96,BE103&lt;='Range Tables'!$G$97,'Range Tables'!$B$97,BE103&lt;='Range Tables'!$G$98,'Range Tables'!$B$98,BE103&lt;='Range Tables'!$G$99,'Range Tables'!$B$99,BE103&lt;='Range Tables'!$G$100,'Range Tables'!$B$100,BE103&lt;='Range Tables'!$G$101,'Range Tables'!$B$101,BE103&lt;='Range Tables'!$G$102,'Range Tables'!$B$102,BE103&lt;='Range Tables'!$G$103,'Range Tables'!$B$103)</f>
        <v>Jammu</v>
      </c>
      <c r="BG103" s="112">
        <v>0.6574389272174221</v>
      </c>
      <c r="BH103" s="113" t="str">
        <f>ifs(BG103&lt;='Range Tables'!$G$112,'Range Tables'!$B$112,BG103&lt;='Range Tables'!$G$113,'Range Tables'!$B$113,BG103&lt;='Range Tables'!$G$114,'Range Tables'!$B$114)</f>
        <v>0</v>
      </c>
      <c r="BI103" s="117">
        <v>0.9860977993607037</v>
      </c>
      <c r="BJ103" s="113" t="str">
        <f>ifs(BI103&lt;='Range Tables'!$G$118,'Range Tables'!$B$118,BI103&lt;='Range Tables'!$G$119,'Range Tables'!$B$119)</f>
        <v>Expired</v>
      </c>
    </row>
    <row r="104">
      <c r="A104" s="85">
        <v>101.0</v>
      </c>
      <c r="B104" s="112">
        <v>0.3914904884690372</v>
      </c>
      <c r="C104" s="113" t="str">
        <f>ifs(B104&lt;='Range Tables'!$G$54,'Range Tables'!$B$54,B104&lt;='Range Tables'!$G$55,'Range Tables'!$B$55,B104&lt;='Range Tables'!$G$56,'Range Tables'!$B$56,B104&lt;='Range Tables'!$G$57,'Range Tables'!$B$57,B104&lt;='Range Tables'!$G$58,'Range Tables'!$B$58,B104&lt;='Range Tables'!$G$59,'Range Tables'!$B$59,B104&lt;='Range Tables'!$G$60,'Range Tables'!$B$60,B104&lt;='Range Tables'!$G$61,'Range Tables'!$B$61,B104&lt;='Range Tables'!$G$63,'Range Tables'!$B$63,B104&lt;='Range Tables'!$G$64,'Range Tables'!$B$64,B104&lt;='Range Tables'!$G$66,'Range Tables'!$B$66)</f>
        <v>30 - 60 </v>
      </c>
      <c r="D104" s="113">
        <f>IFERROR(__xludf.DUMMYFUNCTION("SPLIT(C104,""-"")"),30.0)</f>
        <v>30</v>
      </c>
      <c r="E104" s="113">
        <f>IFERROR(__xludf.DUMMYFUNCTION("""COMPUTED_VALUE"""),60.0)</f>
        <v>60</v>
      </c>
      <c r="F104" s="114">
        <f t="shared" si="40"/>
        <v>41.74471465</v>
      </c>
      <c r="G104" s="112">
        <v>0.23410505150554428</v>
      </c>
      <c r="H104" s="113" t="str">
        <f>ifs(G104&lt;='Range Tables'!$G$86,'Range Tables'!$B$86,G104&lt;='Range Tables'!$G$87,'Range Tables'!$B$87,G104&lt;='Range Tables'!$G$88,'Range Tables'!$B$88,G104&lt;='Range Tables'!$G$89,'Range Tables'!$B$89,G104&lt;='Range Tables'!$G$90,'Range Tables'!$B$90,G104&lt;='Range Tables'!$G$91,'Range Tables'!$B$91)</f>
        <v>Car</v>
      </c>
      <c r="I104" s="112">
        <v>0.8678278664107094</v>
      </c>
      <c r="J104" s="113" t="str">
        <f>IFS(
  H104="Car", IF(I104&lt;='Range Tables'!$G$19, 'Range Tables'!$B$19, 'Range Tables'!$B$20), 
  H104="Bike", IF(I104&lt;='Range Tables'!$G$25, 'Range Tables'!$B$25, 'Range Tables'!$B$26), 
  H104="Scooter", IF(I104&lt;='Range Tables'!$G$31, 'Range Tables'!$B$31, 'Range Tables'!$B$32), 
  H104="Auto", IF(I104&lt;='Range Tables'!$G$37, 'Range Tables'!$B$37, 'Range Tables'!$B$38), 
  H104="Carriers*", IF(I104&lt;='Range Tables'!$G$43, 'Range Tables'!$B$43, 'Range Tables'!$B$44), 
  H104="Van*", IF(I104&lt;='Range Tables'!$G$50, 'Range Tables'!$B$50, 'Range Tables'!$B$49)
)</f>
        <v>Petrol</v>
      </c>
      <c r="K104" s="112">
        <v>0.5802161782384724</v>
      </c>
      <c r="L104" s="113">
        <f>if(J104="Petrol",ifs(K104&lt;='Range Tables'!$G$5,'Range Tables'!$B$5,K104&lt;='Range Tables'!$G$6,'Range Tables'!$B$6,K104&lt;='Range Tables'!$G$7,'Range Tables'!$B$7),ifs(K104&lt;='Range Tables'!$G$13,'Range Tables'!$B$13,K104&lt;='Range Tables'!$G$14,'Range Tables'!$B$14))</f>
        <v>3</v>
      </c>
      <c r="M104" s="112">
        <v>0.029199137908386685</v>
      </c>
      <c r="N104" s="113" t="str">
        <f>ifs(H104="Car",ifs(M104&lt;='Range Tables'!$G$125,'Range Tables'!$B$125,M104&lt;='Range Tables'!$G$126,'Range Tables'!$B$126,M104&lt;='Range Tables'!$G$127,'Range Tables'!$B$127,M104&lt;='Range Tables'!$G$128,'Range Tables'!$B$128,M104&lt;='Range Tables'!$G$129,'Range Tables'!$B$129,'Range Tables'!$G$131,'Range Tables'!$B$131),H104="Bike",ifs(M104&lt;='Range Tables'!$G$136,'Range Tables'!$B$136,M104&lt;='Range Tables'!$G$137,'Range Tables'!$B$137,M104&lt;='Range Tables'!$G$138,'Range Tables'!$B$138,M104&lt;='Range Tables'!$G$142,'Range Tables'!$B$142),H104="Scooter",ifs(M104&lt;='Range Tables'!$G$148,'Range Tables'!$B$148,M104&lt;='Range Tables'!$G$149,'Range Tables'!$B$149,M104&lt;='Range Tables'!$G$150,'Range Tables'!$B$150,M104&lt;='Range Tables'!$G$151,'Range Tables'!$B$151),H104="Auto",ifs(M104&lt;='Range Tables'!$G$161,'Range Tables'!$B$161,M104&lt;='Range Tables'!$G$162,'Range Tables'!$B$162,M104&lt;='Range Tables'!$G$163,'Range Tables'!$B$163,M104&lt;='Range Tables'!$G$164,'Range Tables'!$B$164),H104="Carriers*",ifs(M104&lt;='Range Tables'!$G$173,'Range Tables'!$B$173,M104&lt;='Range Tables'!$G$174,'Range Tables'!$B$174,M104&lt;='Range Tables'!$G$175,'Range Tables'!$B$175,M104&lt;='Range Tables'!$G$176,'Range Tables'!$B$176,M104&lt;='Range Tables'!$G$177,'Range Tables'!$B$177,M104&lt;='Range Tables'!$G$179,'Range Tables'!$B$179),H104="Van*",ifs(M104&lt;='Range Tables'!$G$186,'Range Tables'!$B$186))</f>
        <v>60 - 120</v>
      </c>
      <c r="O104" s="113">
        <f>IFERROR(__xludf.DUMMYFUNCTION("SPLIT(N104,""-"")"),60.0)</f>
        <v>60</v>
      </c>
      <c r="P104" s="113">
        <f>IFERROR(__xludf.DUMMYFUNCTION("""COMPUTED_VALUE"""),120.0)</f>
        <v>120</v>
      </c>
      <c r="Q104" s="114">
        <f t="shared" si="2"/>
        <v>61.75194827</v>
      </c>
      <c r="R104" s="115">
        <f t="shared" si="3"/>
        <v>0.09504950353</v>
      </c>
      <c r="S104" s="114">
        <f t="shared" si="39"/>
        <v>8212.277105</v>
      </c>
      <c r="T104" s="113" t="str">
        <f t="shared" si="4"/>
        <v>no</v>
      </c>
      <c r="U104" s="115">
        <f t="shared" si="5"/>
        <v>0</v>
      </c>
      <c r="V104" s="113">
        <f t="shared" si="34"/>
        <v>0</v>
      </c>
      <c r="W104" s="115">
        <f t="shared" si="6"/>
        <v>0</v>
      </c>
      <c r="X104" s="85">
        <f t="shared" si="7"/>
        <v>0</v>
      </c>
      <c r="Y104" s="116">
        <f t="shared" si="8"/>
        <v>0</v>
      </c>
      <c r="Z104" s="113">
        <f t="shared" si="9"/>
        <v>0</v>
      </c>
      <c r="AA104" s="113" t="str">
        <f t="shared" si="10"/>
        <v>no</v>
      </c>
      <c r="AB104" s="115">
        <f t="shared" si="11"/>
        <v>0</v>
      </c>
      <c r="AC104" s="113">
        <f t="shared" si="35"/>
        <v>0</v>
      </c>
      <c r="AD104" s="116">
        <f t="shared" si="12"/>
        <v>0</v>
      </c>
      <c r="AE104" s="113">
        <f t="shared" si="13"/>
        <v>0</v>
      </c>
      <c r="AF104" s="116">
        <f t="shared" si="14"/>
        <v>0</v>
      </c>
      <c r="AG104" s="113">
        <f t="shared" si="15"/>
        <v>0</v>
      </c>
      <c r="AH104" s="113" t="str">
        <f t="shared" si="16"/>
        <v>yes</v>
      </c>
      <c r="AI104" s="115">
        <f t="shared" si="17"/>
        <v>0</v>
      </c>
      <c r="AJ104" s="113">
        <f t="shared" si="36"/>
        <v>0</v>
      </c>
      <c r="AK104" s="116">
        <f t="shared" si="18"/>
        <v>0.09504950353</v>
      </c>
      <c r="AL104" s="114">
        <f t="shared" si="19"/>
        <v>8212.277105</v>
      </c>
      <c r="AM104" s="115">
        <f t="shared" si="20"/>
        <v>0.09576422515</v>
      </c>
      <c r="AN104" s="118">
        <f t="shared" si="21"/>
        <v>8274.029053</v>
      </c>
      <c r="AO104" s="113" t="str">
        <f t="shared" si="22"/>
        <v>no</v>
      </c>
      <c r="AP104" s="115">
        <f t="shared" si="23"/>
        <v>0</v>
      </c>
      <c r="AQ104" s="113">
        <f t="shared" si="37"/>
        <v>0</v>
      </c>
      <c r="AR104" s="116">
        <f t="shared" si="24"/>
        <v>0</v>
      </c>
      <c r="AS104" s="113">
        <f t="shared" si="25"/>
        <v>0</v>
      </c>
      <c r="AT104" s="116">
        <f t="shared" si="26"/>
        <v>0</v>
      </c>
      <c r="AU104" s="113">
        <f t="shared" si="27"/>
        <v>0</v>
      </c>
      <c r="AV104" s="113" t="str">
        <f t="shared" si="28"/>
        <v>no</v>
      </c>
      <c r="AW104" s="115">
        <f t="shared" si="29"/>
        <v>0</v>
      </c>
      <c r="AX104" s="85">
        <f t="shared" si="38"/>
        <v>0</v>
      </c>
      <c r="AY104" s="116">
        <f t="shared" si="30"/>
        <v>0</v>
      </c>
      <c r="AZ104" s="113">
        <f t="shared" si="31"/>
        <v>0</v>
      </c>
      <c r="BA104" s="116">
        <f t="shared" si="32"/>
        <v>0</v>
      </c>
      <c r="BB104" s="113">
        <f t="shared" si="33"/>
        <v>0</v>
      </c>
      <c r="BC104" s="112">
        <v>0.48227758839247004</v>
      </c>
      <c r="BD104" s="113" t="str">
        <f>ifs(BC104&lt;='Range Tables'!$G$81,'Range Tables'!$B$81,BC104&lt;='Range Tables'!$G$82,'Range Tables'!$B$82)</f>
        <v>Offline*</v>
      </c>
      <c r="BE104" s="112">
        <v>0.3772003770571727</v>
      </c>
      <c r="BF104" s="112" t="str">
        <f>ifs(BE104&lt;='Range Tables'!$G$95,'Range Tables'!$B$95,BE104&lt;='Range Tables'!$G$96,'Range Tables'!$B$96,BE104&lt;='Range Tables'!$G$97,'Range Tables'!$B$97,BE104&lt;='Range Tables'!$G$98,'Range Tables'!$B$98,BE104&lt;='Range Tables'!$G$99,'Range Tables'!$B$99,BE104&lt;='Range Tables'!$G$100,'Range Tables'!$B$100,BE104&lt;='Range Tables'!$G$101,'Range Tables'!$B$101,BE104&lt;='Range Tables'!$G$102,'Range Tables'!$B$102,BE104&lt;='Range Tables'!$G$103,'Range Tables'!$B$103)</f>
        <v>Jammu</v>
      </c>
      <c r="BG104" s="112">
        <v>0.7814044349856178</v>
      </c>
      <c r="BH104" s="113" t="str">
        <f>ifs(BG104&lt;='Range Tables'!$G$112,'Range Tables'!$B$112,BG104&lt;='Range Tables'!$G$113,'Range Tables'!$B$113,BG104&lt;='Range Tables'!$G$114,'Range Tables'!$B$114)</f>
        <v>1-5</v>
      </c>
      <c r="BI104" s="117">
        <v>0.7936878670647669</v>
      </c>
      <c r="BJ104" s="113" t="str">
        <f>ifs(BI104&lt;='Range Tables'!$G$118,'Range Tables'!$B$118,BI104&lt;='Range Tables'!$G$119,'Range Tables'!$B$119)</f>
        <v>Expired</v>
      </c>
    </row>
    <row r="105">
      <c r="A105" s="85">
        <v>102.0</v>
      </c>
      <c r="B105" s="112">
        <v>0.18914165799876348</v>
      </c>
      <c r="C105" s="113" t="str">
        <f>ifs(B105&lt;='Range Tables'!$G$54,'Range Tables'!$B$54,B105&lt;='Range Tables'!$G$55,'Range Tables'!$B$55,B105&lt;='Range Tables'!$G$56,'Range Tables'!$B$56,B105&lt;='Range Tables'!$G$57,'Range Tables'!$B$57,B105&lt;='Range Tables'!$G$58,'Range Tables'!$B$58,B105&lt;='Range Tables'!$G$59,'Range Tables'!$B$59,B105&lt;='Range Tables'!$G$60,'Range Tables'!$B$60,B105&lt;='Range Tables'!$G$61,'Range Tables'!$B$61,B105&lt;='Range Tables'!$G$63,'Range Tables'!$B$63,B105&lt;='Range Tables'!$G$64,'Range Tables'!$B$64,B105&lt;='Range Tables'!$G$66,'Range Tables'!$B$66)</f>
        <v>0 - 30</v>
      </c>
      <c r="D105" s="113">
        <f>IFERROR(__xludf.DUMMYFUNCTION("SPLIT(C105,""-"")"),0.0)</f>
        <v>0</v>
      </c>
      <c r="E105" s="113">
        <f>IFERROR(__xludf.DUMMYFUNCTION("""COMPUTED_VALUE"""),30.0)</f>
        <v>30</v>
      </c>
      <c r="F105" s="114">
        <f t="shared" si="40"/>
        <v>5.67424974</v>
      </c>
      <c r="G105" s="112">
        <v>0.6429016781904192</v>
      </c>
      <c r="H105" s="113" t="str">
        <f>ifs(G105&lt;='Range Tables'!$G$86,'Range Tables'!$B$86,G105&lt;='Range Tables'!$G$87,'Range Tables'!$B$87,G105&lt;='Range Tables'!$G$88,'Range Tables'!$B$88,G105&lt;='Range Tables'!$G$89,'Range Tables'!$B$89,G105&lt;='Range Tables'!$G$90,'Range Tables'!$B$90,G105&lt;='Range Tables'!$G$91,'Range Tables'!$B$91)</f>
        <v>Bike</v>
      </c>
      <c r="I105" s="112">
        <v>0.6966899441118809</v>
      </c>
      <c r="J105" s="113" t="str">
        <f>IFS(
  H105="Car", IF(I105&lt;='Range Tables'!$G$19, 'Range Tables'!$B$19, 'Range Tables'!$B$20), 
  H105="Bike", IF(I105&lt;='Range Tables'!$G$25, 'Range Tables'!$B$25, 'Range Tables'!$B$26), 
  H105="Scooter", IF(I105&lt;='Range Tables'!$G$31, 'Range Tables'!$B$31, 'Range Tables'!$B$32), 
  H105="Auto", IF(I105&lt;='Range Tables'!$G$37, 'Range Tables'!$B$37, 'Range Tables'!$B$38), 
  H105="Carriers*", IF(I105&lt;='Range Tables'!$G$43, 'Range Tables'!$B$43, 'Range Tables'!$B$44), 
  H105="Van*", IF(I105&lt;='Range Tables'!$G$50, 'Range Tables'!$B$50, 'Range Tables'!$B$49)
)</f>
        <v>Petrol</v>
      </c>
      <c r="K105" s="112">
        <v>0.5461260622480535</v>
      </c>
      <c r="L105" s="113">
        <f>if(J105="Petrol",ifs(K105&lt;='Range Tables'!$G$5,'Range Tables'!$B$5,K105&lt;='Range Tables'!$G$6,'Range Tables'!$B$6,K105&lt;='Range Tables'!$G$7,'Range Tables'!$B$7),ifs(K105&lt;='Range Tables'!$G$13,'Range Tables'!$B$13,K105&lt;='Range Tables'!$G$14,'Range Tables'!$B$14))</f>
        <v>3</v>
      </c>
      <c r="M105" s="112">
        <v>0.251307694961443</v>
      </c>
      <c r="N105" s="113" t="str">
        <f>ifs(H105="Car",ifs(M105&lt;='Range Tables'!$G$125,'Range Tables'!$B$125,M105&lt;='Range Tables'!$G$126,'Range Tables'!$B$126,M105&lt;='Range Tables'!$G$127,'Range Tables'!$B$127,M105&lt;='Range Tables'!$G$128,'Range Tables'!$B$128,M105&lt;='Range Tables'!$G$129,'Range Tables'!$B$129,'Range Tables'!$G$131,'Range Tables'!$B$131),H105="Bike",ifs(M105&lt;='Range Tables'!$G$136,'Range Tables'!$B$136,M105&lt;='Range Tables'!$G$137,'Range Tables'!$B$137,M105&lt;='Range Tables'!$G$138,'Range Tables'!$B$138,M105&lt;='Range Tables'!$G$142,'Range Tables'!$B$142),H105="Scooter",ifs(M105&lt;='Range Tables'!$G$148,'Range Tables'!$B$148,M105&lt;='Range Tables'!$G$149,'Range Tables'!$B$149,M105&lt;='Range Tables'!$G$150,'Range Tables'!$B$150,M105&lt;='Range Tables'!$G$151,'Range Tables'!$B$151),H105="Auto",ifs(M105&lt;='Range Tables'!$G$161,'Range Tables'!$B$161,M105&lt;='Range Tables'!$G$162,'Range Tables'!$B$162,M105&lt;='Range Tables'!$G$163,'Range Tables'!$B$163,M105&lt;='Range Tables'!$G$164,'Range Tables'!$B$164),H105="Carriers*",ifs(M105&lt;='Range Tables'!$G$173,'Range Tables'!$B$173,M105&lt;='Range Tables'!$G$174,'Range Tables'!$B$174,M105&lt;='Range Tables'!$G$175,'Range Tables'!$B$175,M105&lt;='Range Tables'!$G$176,'Range Tables'!$B$176,M105&lt;='Range Tables'!$G$177,'Range Tables'!$B$177,M105&lt;='Range Tables'!$G$179,'Range Tables'!$B$179),H105="Van*",ifs(M105&lt;='Range Tables'!$G$186,'Range Tables'!$B$186))</f>
        <v>60 - 120</v>
      </c>
      <c r="O105" s="113">
        <f>IFERROR(__xludf.DUMMYFUNCTION("SPLIT(N105,""-"")"),60.0)</f>
        <v>60</v>
      </c>
      <c r="P105" s="113">
        <f>IFERROR(__xludf.DUMMYFUNCTION("""COMPUTED_VALUE"""),120.0)</f>
        <v>120</v>
      </c>
      <c r="Q105" s="114">
        <f t="shared" si="2"/>
        <v>75.0784617</v>
      </c>
      <c r="R105" s="115">
        <f t="shared" si="3"/>
        <v>0.09553265995</v>
      </c>
      <c r="S105" s="114">
        <f t="shared" si="39"/>
        <v>8254.02182</v>
      </c>
      <c r="T105" s="113" t="str">
        <f t="shared" si="4"/>
        <v>no</v>
      </c>
      <c r="U105" s="115">
        <f t="shared" si="5"/>
        <v>0</v>
      </c>
      <c r="V105" s="113">
        <f t="shared" si="34"/>
        <v>0</v>
      </c>
      <c r="W105" s="115">
        <f t="shared" si="6"/>
        <v>0</v>
      </c>
      <c r="X105" s="85">
        <f t="shared" si="7"/>
        <v>0</v>
      </c>
      <c r="Y105" s="116">
        <f t="shared" si="8"/>
        <v>0</v>
      </c>
      <c r="Z105" s="113">
        <f t="shared" si="9"/>
        <v>0</v>
      </c>
      <c r="AA105" s="113" t="str">
        <f t="shared" si="10"/>
        <v>no</v>
      </c>
      <c r="AB105" s="115">
        <f t="shared" si="11"/>
        <v>0</v>
      </c>
      <c r="AC105" s="113">
        <f t="shared" si="35"/>
        <v>0</v>
      </c>
      <c r="AD105" s="116">
        <f t="shared" si="12"/>
        <v>0</v>
      </c>
      <c r="AE105" s="113">
        <f t="shared" si="13"/>
        <v>0</v>
      </c>
      <c r="AF105" s="116">
        <f t="shared" si="14"/>
        <v>0</v>
      </c>
      <c r="AG105" s="113">
        <f t="shared" si="15"/>
        <v>0</v>
      </c>
      <c r="AH105" s="113" t="str">
        <f t="shared" si="16"/>
        <v>yes</v>
      </c>
      <c r="AI105" s="115">
        <f t="shared" si="17"/>
        <v>0.0002315652039</v>
      </c>
      <c r="AJ105" s="114">
        <f t="shared" si="36"/>
        <v>20.00723362</v>
      </c>
      <c r="AK105" s="116">
        <f t="shared" si="18"/>
        <v>0.09576422515</v>
      </c>
      <c r="AL105" s="114">
        <f t="shared" si="19"/>
        <v>8274.029053</v>
      </c>
      <c r="AM105" s="115">
        <f t="shared" si="20"/>
        <v>0.09663318883</v>
      </c>
      <c r="AN105" s="118">
        <f t="shared" si="21"/>
        <v>8349.107515</v>
      </c>
      <c r="AO105" s="113" t="str">
        <f t="shared" si="22"/>
        <v>no</v>
      </c>
      <c r="AP105" s="115">
        <f t="shared" si="23"/>
        <v>0</v>
      </c>
      <c r="AQ105" s="113">
        <f t="shared" si="37"/>
        <v>0</v>
      </c>
      <c r="AR105" s="116">
        <f t="shared" si="24"/>
        <v>0</v>
      </c>
      <c r="AS105" s="113">
        <f t="shared" si="25"/>
        <v>0</v>
      </c>
      <c r="AT105" s="116">
        <f t="shared" si="26"/>
        <v>0</v>
      </c>
      <c r="AU105" s="113">
        <f t="shared" si="27"/>
        <v>0</v>
      </c>
      <c r="AV105" s="113" t="str">
        <f t="shared" si="28"/>
        <v>no</v>
      </c>
      <c r="AW105" s="115">
        <f t="shared" si="29"/>
        <v>0</v>
      </c>
      <c r="AX105" s="85">
        <f t="shared" si="38"/>
        <v>0</v>
      </c>
      <c r="AY105" s="116">
        <f t="shared" si="30"/>
        <v>0</v>
      </c>
      <c r="AZ105" s="113">
        <f t="shared" si="31"/>
        <v>0</v>
      </c>
      <c r="BA105" s="116">
        <f t="shared" si="32"/>
        <v>0</v>
      </c>
      <c r="BB105" s="113">
        <f t="shared" si="33"/>
        <v>0</v>
      </c>
      <c r="BC105" s="112">
        <v>0.7580388552846574</v>
      </c>
      <c r="BD105" s="113" t="str">
        <f>ifs(BC105&lt;='Range Tables'!$G$81,'Range Tables'!$B$81,BC105&lt;='Range Tables'!$G$82,'Range Tables'!$B$82)</f>
        <v>Offline*</v>
      </c>
      <c r="BE105" s="112">
        <v>0.8082819208698279</v>
      </c>
      <c r="BF105" s="112" t="str">
        <f>ifs(BE105&lt;='Range Tables'!$G$95,'Range Tables'!$B$95,BE105&lt;='Range Tables'!$G$96,'Range Tables'!$B$96,BE105&lt;='Range Tables'!$G$97,'Range Tables'!$B$97,BE105&lt;='Range Tables'!$G$98,'Range Tables'!$B$98,BE105&lt;='Range Tables'!$G$99,'Range Tables'!$B$99,BE105&lt;='Range Tables'!$G$100,'Range Tables'!$B$100,BE105&lt;='Range Tables'!$G$101,'Range Tables'!$B$101,BE105&lt;='Range Tables'!$G$102,'Range Tables'!$B$102,BE105&lt;='Range Tables'!$G$103,'Range Tables'!$B$103)</f>
        <v>Other State Cities</v>
      </c>
      <c r="BG105" s="112">
        <v>0.0148317276087786</v>
      </c>
      <c r="BH105" s="113" t="str">
        <f>ifs(BG105&lt;='Range Tables'!$G$112,'Range Tables'!$B$112,BG105&lt;='Range Tables'!$G$113,'Range Tables'!$B$113,BG105&lt;='Range Tables'!$G$114,'Range Tables'!$B$114)</f>
        <v>0</v>
      </c>
      <c r="BI105" s="117">
        <v>0.8567560400831047</v>
      </c>
      <c r="BJ105" s="113" t="str">
        <f>ifs(BI105&lt;='Range Tables'!$G$118,'Range Tables'!$B$118,BI105&lt;='Range Tables'!$G$119,'Range Tables'!$B$119)</f>
        <v>Expired</v>
      </c>
    </row>
    <row r="106">
      <c r="A106" s="85">
        <v>103.0</v>
      </c>
      <c r="B106" s="112">
        <v>0.25022218559884735</v>
      </c>
      <c r="C106" s="113" t="str">
        <f>ifs(B106&lt;='Range Tables'!$G$54,'Range Tables'!$B$54,B106&lt;='Range Tables'!$G$55,'Range Tables'!$B$55,B106&lt;='Range Tables'!$G$56,'Range Tables'!$B$56,B106&lt;='Range Tables'!$G$57,'Range Tables'!$B$57,B106&lt;='Range Tables'!$G$58,'Range Tables'!$B$58,B106&lt;='Range Tables'!$G$59,'Range Tables'!$B$59,B106&lt;='Range Tables'!$G$60,'Range Tables'!$B$60,B106&lt;='Range Tables'!$G$61,'Range Tables'!$B$61,B106&lt;='Range Tables'!$G$63,'Range Tables'!$B$63,B106&lt;='Range Tables'!$G$64,'Range Tables'!$B$64,B106&lt;='Range Tables'!$G$66,'Range Tables'!$B$66)</f>
        <v>0 - 30</v>
      </c>
      <c r="D106" s="113">
        <f>IFERROR(__xludf.DUMMYFUNCTION("SPLIT(C106,""-"")"),0.0)</f>
        <v>0</v>
      </c>
      <c r="E106" s="113">
        <f>IFERROR(__xludf.DUMMYFUNCTION("""COMPUTED_VALUE"""),30.0)</f>
        <v>30</v>
      </c>
      <c r="F106" s="114">
        <f t="shared" si="40"/>
        <v>7.506665568</v>
      </c>
      <c r="G106" s="112">
        <v>0.9297070653728656</v>
      </c>
      <c r="H106" s="113" t="str">
        <f>ifs(G106&lt;='Range Tables'!$G$86,'Range Tables'!$B$86,G106&lt;='Range Tables'!$G$87,'Range Tables'!$B$87,G106&lt;='Range Tables'!$G$88,'Range Tables'!$B$88,G106&lt;='Range Tables'!$G$89,'Range Tables'!$B$89,G106&lt;='Range Tables'!$G$90,'Range Tables'!$B$90,G106&lt;='Range Tables'!$G$91,'Range Tables'!$B$91)</f>
        <v>Carriers*</v>
      </c>
      <c r="I106" s="112">
        <v>0.7745119400349342</v>
      </c>
      <c r="J106" s="113" t="str">
        <f>IFS(
  H106="Car", IF(I106&lt;='Range Tables'!$G$19, 'Range Tables'!$B$19, 'Range Tables'!$B$20), 
  H106="Bike", IF(I106&lt;='Range Tables'!$G$25, 'Range Tables'!$B$25, 'Range Tables'!$B$26), 
  H106="Scooter", IF(I106&lt;='Range Tables'!$G$31, 'Range Tables'!$B$31, 'Range Tables'!$B$32), 
  H106="Auto", IF(I106&lt;='Range Tables'!$G$37, 'Range Tables'!$B$37, 'Range Tables'!$B$38), 
  H106="Carriers*", IF(I106&lt;='Range Tables'!$G$43, 'Range Tables'!$B$43, 'Range Tables'!$B$44), 
  H106="Van*", IF(I106&lt;='Range Tables'!$G$50, 'Range Tables'!$B$50, 'Range Tables'!$B$49)
)</f>
        <v>Diesel</v>
      </c>
      <c r="K106" s="112">
        <v>0.4150873377780757</v>
      </c>
      <c r="L106" s="113">
        <f>if(J106="Petrol",ifs(K106&lt;='Range Tables'!$G$5,'Range Tables'!$B$5,K106&lt;='Range Tables'!$G$6,'Range Tables'!$B$6,K106&lt;='Range Tables'!$G$7,'Range Tables'!$B$7),ifs(K106&lt;='Range Tables'!$G$13,'Range Tables'!$B$13,K106&lt;='Range Tables'!$G$14,'Range Tables'!$B$14))</f>
        <v>1</v>
      </c>
      <c r="M106" s="112">
        <v>0.7233000459496802</v>
      </c>
      <c r="N106" s="113" t="str">
        <f>ifs(H106="Car",ifs(M106&lt;='Range Tables'!$G$125,'Range Tables'!$B$125,M106&lt;='Range Tables'!$G$126,'Range Tables'!$B$126,M106&lt;='Range Tables'!$G$127,'Range Tables'!$B$127,M106&lt;='Range Tables'!$G$128,'Range Tables'!$B$128,M106&lt;='Range Tables'!$G$129,'Range Tables'!$B$129,'Range Tables'!$G$131,'Range Tables'!$B$131),H106="Bike",ifs(M106&lt;='Range Tables'!$G$136,'Range Tables'!$B$136,M106&lt;='Range Tables'!$G$137,'Range Tables'!$B$137,M106&lt;='Range Tables'!$G$138,'Range Tables'!$B$138,M106&lt;='Range Tables'!$G$142,'Range Tables'!$B$142),H106="Scooter",ifs(M106&lt;='Range Tables'!$G$148,'Range Tables'!$B$148,M106&lt;='Range Tables'!$G$149,'Range Tables'!$B$149,M106&lt;='Range Tables'!$G$150,'Range Tables'!$B$150,M106&lt;='Range Tables'!$G$151,'Range Tables'!$B$151),H106="Auto",ifs(M106&lt;='Range Tables'!$G$161,'Range Tables'!$B$161,M106&lt;='Range Tables'!$G$162,'Range Tables'!$B$162,M106&lt;='Range Tables'!$G$163,'Range Tables'!$B$163,M106&lt;='Range Tables'!$G$164,'Range Tables'!$B$164),H106="Carriers*",ifs(M106&lt;='Range Tables'!$G$173,'Range Tables'!$B$173,M106&lt;='Range Tables'!$G$174,'Range Tables'!$B$174,M106&lt;='Range Tables'!$G$175,'Range Tables'!$B$175,M106&lt;='Range Tables'!$G$176,'Range Tables'!$B$176,M106&lt;='Range Tables'!$G$177,'Range Tables'!$B$177,M106&lt;='Range Tables'!$G$179,'Range Tables'!$B$179),H106="Van*",ifs(M106&lt;='Range Tables'!$G$186,'Range Tables'!$B$186))</f>
        <v>300 - 360</v>
      </c>
      <c r="O106" s="113">
        <f>IFERROR(__xludf.DUMMYFUNCTION("SPLIT(N106,""-"")"),300.0)</f>
        <v>300</v>
      </c>
      <c r="P106" s="113">
        <f>IFERROR(__xludf.DUMMYFUNCTION("""COMPUTED_VALUE"""),360.0)</f>
        <v>360</v>
      </c>
      <c r="Q106" s="114">
        <f t="shared" si="2"/>
        <v>343.3980028</v>
      </c>
      <c r="R106" s="115">
        <f t="shared" si="3"/>
        <v>0.09559833414</v>
      </c>
      <c r="S106" s="114">
        <f t="shared" si="39"/>
        <v>8259.696069</v>
      </c>
      <c r="T106" s="113" t="str">
        <f t="shared" si="4"/>
        <v>yes</v>
      </c>
      <c r="U106" s="115">
        <f t="shared" si="5"/>
        <v>0</v>
      </c>
      <c r="V106" s="113">
        <f t="shared" si="34"/>
        <v>0</v>
      </c>
      <c r="W106" s="115">
        <f t="shared" si="6"/>
        <v>0.09559833414</v>
      </c>
      <c r="X106" s="118">
        <f t="shared" si="7"/>
        <v>8259.696069</v>
      </c>
      <c r="Y106" s="116">
        <f t="shared" si="8"/>
        <v>0.09957284806</v>
      </c>
      <c r="Z106" s="114">
        <f t="shared" si="9"/>
        <v>8603.094072</v>
      </c>
      <c r="AA106" s="113" t="str">
        <f t="shared" si="10"/>
        <v>no</v>
      </c>
      <c r="AB106" s="115">
        <f t="shared" si="11"/>
        <v>0</v>
      </c>
      <c r="AC106" s="113">
        <f t="shared" si="35"/>
        <v>0</v>
      </c>
      <c r="AD106" s="116">
        <f t="shared" si="12"/>
        <v>0</v>
      </c>
      <c r="AE106" s="113">
        <f t="shared" si="13"/>
        <v>0</v>
      </c>
      <c r="AF106" s="116">
        <f t="shared" si="14"/>
        <v>0</v>
      </c>
      <c r="AG106" s="113">
        <f t="shared" si="15"/>
        <v>0</v>
      </c>
      <c r="AH106" s="113" t="str">
        <f t="shared" si="16"/>
        <v>no</v>
      </c>
      <c r="AI106" s="115">
        <f t="shared" si="17"/>
        <v>0</v>
      </c>
      <c r="AJ106" s="113">
        <f t="shared" si="36"/>
        <v>0</v>
      </c>
      <c r="AK106" s="116">
        <f t="shared" si="18"/>
        <v>0</v>
      </c>
      <c r="AL106" s="113">
        <f t="shared" si="19"/>
        <v>0</v>
      </c>
      <c r="AM106" s="115">
        <f t="shared" si="20"/>
        <v>0</v>
      </c>
      <c r="AN106" s="85">
        <f t="shared" si="21"/>
        <v>0</v>
      </c>
      <c r="AO106" s="113" t="str">
        <f t="shared" si="22"/>
        <v>no</v>
      </c>
      <c r="AP106" s="115">
        <f t="shared" si="23"/>
        <v>0</v>
      </c>
      <c r="AQ106" s="113">
        <f t="shared" si="37"/>
        <v>0</v>
      </c>
      <c r="AR106" s="116">
        <f t="shared" si="24"/>
        <v>0</v>
      </c>
      <c r="AS106" s="113">
        <f t="shared" si="25"/>
        <v>0</v>
      </c>
      <c r="AT106" s="116">
        <f t="shared" si="26"/>
        <v>0</v>
      </c>
      <c r="AU106" s="113">
        <f t="shared" si="27"/>
        <v>0</v>
      </c>
      <c r="AV106" s="113" t="str">
        <f t="shared" si="28"/>
        <v>no</v>
      </c>
      <c r="AW106" s="115">
        <f t="shared" si="29"/>
        <v>0</v>
      </c>
      <c r="AX106" s="85">
        <f t="shared" si="38"/>
        <v>0</v>
      </c>
      <c r="AY106" s="116">
        <f t="shared" si="30"/>
        <v>0</v>
      </c>
      <c r="AZ106" s="113">
        <f t="shared" si="31"/>
        <v>0</v>
      </c>
      <c r="BA106" s="116">
        <f t="shared" si="32"/>
        <v>0</v>
      </c>
      <c r="BB106" s="113">
        <f t="shared" si="33"/>
        <v>0</v>
      </c>
      <c r="BC106" s="112">
        <v>0.8148149219530134</v>
      </c>
      <c r="BD106" s="113" t="str">
        <f>ifs(BC106&lt;='Range Tables'!$G$81,'Range Tables'!$B$81,BC106&lt;='Range Tables'!$G$82,'Range Tables'!$B$82)</f>
        <v>Offline*</v>
      </c>
      <c r="BE106" s="112">
        <v>0.6736745111977389</v>
      </c>
      <c r="BF106" s="112" t="str">
        <f>ifs(BE106&lt;='Range Tables'!$G$95,'Range Tables'!$B$95,BE106&lt;='Range Tables'!$G$96,'Range Tables'!$B$96,BE106&lt;='Range Tables'!$G$97,'Range Tables'!$B$97,BE106&lt;='Range Tables'!$G$98,'Range Tables'!$B$98,BE106&lt;='Range Tables'!$G$99,'Range Tables'!$B$99,BE106&lt;='Range Tables'!$G$100,'Range Tables'!$B$100,BE106&lt;='Range Tables'!$G$101,'Range Tables'!$B$101,BE106&lt;='Range Tables'!$G$102,'Range Tables'!$B$102,BE106&lt;='Range Tables'!$G$103,'Range Tables'!$B$103)</f>
        <v>Jammu</v>
      </c>
      <c r="BG106" s="112">
        <v>0.4119581329278842</v>
      </c>
      <c r="BH106" s="113" t="str">
        <f>ifs(BG106&lt;='Range Tables'!$G$112,'Range Tables'!$B$112,BG106&lt;='Range Tables'!$G$113,'Range Tables'!$B$113,BG106&lt;='Range Tables'!$G$114,'Range Tables'!$B$114)</f>
        <v>0</v>
      </c>
      <c r="BI106" s="117">
        <v>0.5926280394193286</v>
      </c>
      <c r="BJ106" s="113" t="str">
        <f>ifs(BI106&lt;='Range Tables'!$G$118,'Range Tables'!$B$118,BI106&lt;='Range Tables'!$G$119,'Range Tables'!$B$119)</f>
        <v>Valid</v>
      </c>
    </row>
    <row r="107">
      <c r="A107" s="85">
        <v>104.0</v>
      </c>
      <c r="B107" s="112">
        <v>0.34085279174884164</v>
      </c>
      <c r="C107" s="113" t="str">
        <f>ifs(B107&lt;='Range Tables'!$G$54,'Range Tables'!$B$54,B107&lt;='Range Tables'!$G$55,'Range Tables'!$B$55,B107&lt;='Range Tables'!$G$56,'Range Tables'!$B$56,B107&lt;='Range Tables'!$G$57,'Range Tables'!$B$57,B107&lt;='Range Tables'!$G$58,'Range Tables'!$B$58,B107&lt;='Range Tables'!$G$59,'Range Tables'!$B$59,B107&lt;='Range Tables'!$G$60,'Range Tables'!$B$60,B107&lt;='Range Tables'!$G$61,'Range Tables'!$B$61,B107&lt;='Range Tables'!$G$63,'Range Tables'!$B$63,B107&lt;='Range Tables'!$G$64,'Range Tables'!$B$64,B107&lt;='Range Tables'!$G$66,'Range Tables'!$B$66)</f>
        <v>30 - 60 </v>
      </c>
      <c r="D107" s="113">
        <f>IFERROR(__xludf.DUMMYFUNCTION("SPLIT(C107,""-"")"),30.0)</f>
        <v>30</v>
      </c>
      <c r="E107" s="113">
        <f>IFERROR(__xludf.DUMMYFUNCTION("""COMPUTED_VALUE"""),60.0)</f>
        <v>60</v>
      </c>
      <c r="F107" s="114">
        <f t="shared" si="40"/>
        <v>40.22558375</v>
      </c>
      <c r="G107" s="112">
        <v>0.43442262066769977</v>
      </c>
      <c r="H107" s="113" t="str">
        <f>ifs(G107&lt;='Range Tables'!$G$86,'Range Tables'!$B$86,G107&lt;='Range Tables'!$G$87,'Range Tables'!$B$87,G107&lt;='Range Tables'!$G$88,'Range Tables'!$B$88,G107&lt;='Range Tables'!$G$89,'Range Tables'!$B$89,G107&lt;='Range Tables'!$G$90,'Range Tables'!$B$90,G107&lt;='Range Tables'!$G$91,'Range Tables'!$B$91)</f>
        <v>Car</v>
      </c>
      <c r="I107" s="112">
        <v>0.08853458077603815</v>
      </c>
      <c r="J107" s="113" t="str">
        <f>IFS(
  H107="Car", IF(I107&lt;='Range Tables'!$G$19, 'Range Tables'!$B$19, 'Range Tables'!$B$20), 
  H107="Bike", IF(I107&lt;='Range Tables'!$G$25, 'Range Tables'!$B$25, 'Range Tables'!$B$26), 
  H107="Scooter", IF(I107&lt;='Range Tables'!$G$31, 'Range Tables'!$B$31, 'Range Tables'!$B$32), 
  H107="Auto", IF(I107&lt;='Range Tables'!$G$37, 'Range Tables'!$B$37, 'Range Tables'!$B$38), 
  H107="Carriers*", IF(I107&lt;='Range Tables'!$G$43, 'Range Tables'!$B$43, 'Range Tables'!$B$44), 
  H107="Van*", IF(I107&lt;='Range Tables'!$G$50, 'Range Tables'!$B$50, 'Range Tables'!$B$49)
)</f>
        <v>Petrol</v>
      </c>
      <c r="K107" s="112">
        <v>0.1573559784013575</v>
      </c>
      <c r="L107" s="113">
        <f>if(J107="Petrol",ifs(K107&lt;='Range Tables'!$G$5,'Range Tables'!$B$5,K107&lt;='Range Tables'!$G$6,'Range Tables'!$B$6,K107&lt;='Range Tables'!$G$7,'Range Tables'!$B$7),ifs(K107&lt;='Range Tables'!$G$13,'Range Tables'!$B$13,K107&lt;='Range Tables'!$G$14,'Range Tables'!$B$14))</f>
        <v>2</v>
      </c>
      <c r="M107" s="112">
        <v>0.03800612809385118</v>
      </c>
      <c r="N107" s="113" t="str">
        <f>ifs(H107="Car",ifs(M107&lt;='Range Tables'!$G$125,'Range Tables'!$B$125,M107&lt;='Range Tables'!$G$126,'Range Tables'!$B$126,M107&lt;='Range Tables'!$G$127,'Range Tables'!$B$127,M107&lt;='Range Tables'!$G$128,'Range Tables'!$B$128,M107&lt;='Range Tables'!$G$129,'Range Tables'!$B$129,'Range Tables'!$G$131,'Range Tables'!$B$131),H107="Bike",ifs(M107&lt;='Range Tables'!$G$136,'Range Tables'!$B$136,M107&lt;='Range Tables'!$G$137,'Range Tables'!$B$137,M107&lt;='Range Tables'!$G$138,'Range Tables'!$B$138,M107&lt;='Range Tables'!$G$142,'Range Tables'!$B$142),H107="Scooter",ifs(M107&lt;='Range Tables'!$G$148,'Range Tables'!$B$148,M107&lt;='Range Tables'!$G$149,'Range Tables'!$B$149,M107&lt;='Range Tables'!$G$150,'Range Tables'!$B$150,M107&lt;='Range Tables'!$G$151,'Range Tables'!$B$151),H107="Auto",ifs(M107&lt;='Range Tables'!$G$161,'Range Tables'!$B$161,M107&lt;='Range Tables'!$G$162,'Range Tables'!$B$162,M107&lt;='Range Tables'!$G$163,'Range Tables'!$B$163,M107&lt;='Range Tables'!$G$164,'Range Tables'!$B$164),H107="Carriers*",ifs(M107&lt;='Range Tables'!$G$173,'Range Tables'!$B$173,M107&lt;='Range Tables'!$G$174,'Range Tables'!$B$174,M107&lt;='Range Tables'!$G$175,'Range Tables'!$B$175,M107&lt;='Range Tables'!$G$176,'Range Tables'!$B$176,M107&lt;='Range Tables'!$G$177,'Range Tables'!$B$177,M107&lt;='Range Tables'!$G$179,'Range Tables'!$B$179),H107="Van*",ifs(M107&lt;='Range Tables'!$G$186,'Range Tables'!$B$186))</f>
        <v>60 - 120</v>
      </c>
      <c r="O107" s="113">
        <f>IFERROR(__xludf.DUMMYFUNCTION("SPLIT(N107,""-"")"),60.0)</f>
        <v>60</v>
      </c>
      <c r="P107" s="113">
        <f>IFERROR(__xludf.DUMMYFUNCTION("""COMPUTED_VALUE"""),120.0)</f>
        <v>120</v>
      </c>
      <c r="Q107" s="114">
        <f t="shared" si="2"/>
        <v>62.28036769</v>
      </c>
      <c r="R107" s="115">
        <f t="shared" si="3"/>
        <v>0.09568521684</v>
      </c>
      <c r="S107" s="114">
        <f t="shared" si="39"/>
        <v>8267.202735</v>
      </c>
      <c r="T107" s="113" t="str">
        <f t="shared" si="4"/>
        <v>no</v>
      </c>
      <c r="U107" s="115">
        <f t="shared" si="5"/>
        <v>0</v>
      </c>
      <c r="V107" s="113">
        <f t="shared" si="34"/>
        <v>0</v>
      </c>
      <c r="W107" s="115">
        <f t="shared" si="6"/>
        <v>0</v>
      </c>
      <c r="X107" s="85">
        <f t="shared" si="7"/>
        <v>0</v>
      </c>
      <c r="Y107" s="116">
        <f t="shared" si="8"/>
        <v>0</v>
      </c>
      <c r="Z107" s="113">
        <f t="shared" si="9"/>
        <v>0</v>
      </c>
      <c r="AA107" s="113" t="str">
        <f t="shared" si="10"/>
        <v>yes</v>
      </c>
      <c r="AB107" s="115">
        <f t="shared" si="11"/>
        <v>0</v>
      </c>
      <c r="AC107" s="113">
        <f t="shared" si="35"/>
        <v>0</v>
      </c>
      <c r="AD107" s="116">
        <f t="shared" si="12"/>
        <v>0.09568521684</v>
      </c>
      <c r="AE107" s="114">
        <f t="shared" si="13"/>
        <v>8267.202735</v>
      </c>
      <c r="AF107" s="116">
        <f t="shared" si="14"/>
        <v>0.09640605443</v>
      </c>
      <c r="AG107" s="114">
        <f t="shared" si="15"/>
        <v>8329.483103</v>
      </c>
      <c r="AH107" s="113" t="str">
        <f t="shared" si="16"/>
        <v>no</v>
      </c>
      <c r="AI107" s="115">
        <f t="shared" si="17"/>
        <v>0</v>
      </c>
      <c r="AJ107" s="113">
        <f t="shared" si="36"/>
        <v>0</v>
      </c>
      <c r="AK107" s="116">
        <f t="shared" si="18"/>
        <v>0</v>
      </c>
      <c r="AL107" s="113">
        <f t="shared" si="19"/>
        <v>0</v>
      </c>
      <c r="AM107" s="115">
        <f t="shared" si="20"/>
        <v>0</v>
      </c>
      <c r="AN107" s="85">
        <f t="shared" si="21"/>
        <v>0</v>
      </c>
      <c r="AO107" s="113" t="str">
        <f t="shared" si="22"/>
        <v>no</v>
      </c>
      <c r="AP107" s="115">
        <f t="shared" si="23"/>
        <v>0</v>
      </c>
      <c r="AQ107" s="113">
        <f t="shared" si="37"/>
        <v>0</v>
      </c>
      <c r="AR107" s="116">
        <f t="shared" si="24"/>
        <v>0</v>
      </c>
      <c r="AS107" s="113">
        <f t="shared" si="25"/>
        <v>0</v>
      </c>
      <c r="AT107" s="116">
        <f t="shared" si="26"/>
        <v>0</v>
      </c>
      <c r="AU107" s="113">
        <f t="shared" si="27"/>
        <v>0</v>
      </c>
      <c r="AV107" s="113" t="str">
        <f t="shared" si="28"/>
        <v>no</v>
      </c>
      <c r="AW107" s="115">
        <f t="shared" si="29"/>
        <v>0</v>
      </c>
      <c r="AX107" s="85">
        <f t="shared" si="38"/>
        <v>0</v>
      </c>
      <c r="AY107" s="116">
        <f t="shared" si="30"/>
        <v>0</v>
      </c>
      <c r="AZ107" s="113">
        <f t="shared" si="31"/>
        <v>0</v>
      </c>
      <c r="BA107" s="116">
        <f t="shared" si="32"/>
        <v>0</v>
      </c>
      <c r="BB107" s="113">
        <f t="shared" si="33"/>
        <v>0</v>
      </c>
      <c r="BC107" s="112">
        <v>0.6890844934569161</v>
      </c>
      <c r="BD107" s="113" t="str">
        <f>ifs(BC107&lt;='Range Tables'!$G$81,'Range Tables'!$B$81,BC107&lt;='Range Tables'!$G$82,'Range Tables'!$B$82)</f>
        <v>Offline*</v>
      </c>
      <c r="BE107" s="112">
        <v>0.16180464603663502</v>
      </c>
      <c r="BF107" s="112" t="str">
        <f>ifs(BE107&lt;='Range Tables'!$G$95,'Range Tables'!$B$95,BE107&lt;='Range Tables'!$G$96,'Range Tables'!$B$96,BE107&lt;='Range Tables'!$G$97,'Range Tables'!$B$97,BE107&lt;='Range Tables'!$G$98,'Range Tables'!$B$98,BE107&lt;='Range Tables'!$G$99,'Range Tables'!$B$99,BE107&lt;='Range Tables'!$G$100,'Range Tables'!$B$100,BE107&lt;='Range Tables'!$G$101,'Range Tables'!$B$101,BE107&lt;='Range Tables'!$G$102,'Range Tables'!$B$102,BE107&lt;='Range Tables'!$G$103,'Range Tables'!$B$103)</f>
        <v>Jammu</v>
      </c>
      <c r="BG107" s="112">
        <v>0.13511096670994804</v>
      </c>
      <c r="BH107" s="113" t="str">
        <f>ifs(BG107&lt;='Range Tables'!$G$112,'Range Tables'!$B$112,BG107&lt;='Range Tables'!$G$113,'Range Tables'!$B$113,BG107&lt;='Range Tables'!$G$114,'Range Tables'!$B$114)</f>
        <v>0</v>
      </c>
      <c r="BI107" s="117">
        <v>0.6655005189783878</v>
      </c>
      <c r="BJ107" s="113" t="str">
        <f>ifs(BI107&lt;='Range Tables'!$G$118,'Range Tables'!$B$118,BI107&lt;='Range Tables'!$G$119,'Range Tables'!$B$119)</f>
        <v>Expired</v>
      </c>
    </row>
    <row r="108">
      <c r="A108" s="85">
        <v>105.0</v>
      </c>
      <c r="B108" s="112">
        <v>0.7002992997585133</v>
      </c>
      <c r="C108" s="113" t="str">
        <f>ifs(B108&lt;='Range Tables'!$G$54,'Range Tables'!$B$54,B108&lt;='Range Tables'!$G$55,'Range Tables'!$B$55,B108&lt;='Range Tables'!$G$56,'Range Tables'!$B$56,B108&lt;='Range Tables'!$G$57,'Range Tables'!$B$57,B108&lt;='Range Tables'!$G$58,'Range Tables'!$B$58,B108&lt;='Range Tables'!$G$59,'Range Tables'!$B$59,B108&lt;='Range Tables'!$G$60,'Range Tables'!$B$60,B108&lt;='Range Tables'!$G$61,'Range Tables'!$B$61,B108&lt;='Range Tables'!$G$63,'Range Tables'!$B$63,B108&lt;='Range Tables'!$G$64,'Range Tables'!$B$64,B108&lt;='Range Tables'!$G$66,'Range Tables'!$B$66)</f>
        <v>60 - 90</v>
      </c>
      <c r="D108" s="113">
        <f>IFERROR(__xludf.DUMMYFUNCTION("SPLIT(C108,""-"")"),60.0)</f>
        <v>60</v>
      </c>
      <c r="E108" s="113">
        <f>IFERROR(__xludf.DUMMYFUNCTION("""COMPUTED_VALUE"""),90.0)</f>
        <v>90</v>
      </c>
      <c r="F108" s="114">
        <f t="shared" si="40"/>
        <v>81.00897899</v>
      </c>
      <c r="G108" s="112">
        <v>0.7768862778213536</v>
      </c>
      <c r="H108" s="113" t="str">
        <f>ifs(G108&lt;='Range Tables'!$G$86,'Range Tables'!$B$86,G108&lt;='Range Tables'!$G$87,'Range Tables'!$B$87,G108&lt;='Range Tables'!$G$88,'Range Tables'!$B$88,G108&lt;='Range Tables'!$G$89,'Range Tables'!$B$89,G108&lt;='Range Tables'!$G$90,'Range Tables'!$B$90,G108&lt;='Range Tables'!$G$91,'Range Tables'!$B$91)</f>
        <v>Scooter</v>
      </c>
      <c r="I108" s="112">
        <v>0.054333339723267926</v>
      </c>
      <c r="J108" s="113" t="str">
        <f>IFS(
  H108="Car", IF(I108&lt;='Range Tables'!$G$19, 'Range Tables'!$B$19, 'Range Tables'!$B$20), 
  H108="Bike", IF(I108&lt;='Range Tables'!$G$25, 'Range Tables'!$B$25, 'Range Tables'!$B$26), 
  H108="Scooter", IF(I108&lt;='Range Tables'!$G$31, 'Range Tables'!$B$31, 'Range Tables'!$B$32), 
  H108="Auto", IF(I108&lt;='Range Tables'!$G$37, 'Range Tables'!$B$37, 'Range Tables'!$B$38), 
  H108="Carriers*", IF(I108&lt;='Range Tables'!$G$43, 'Range Tables'!$B$43, 'Range Tables'!$B$44), 
  H108="Van*", IF(I108&lt;='Range Tables'!$G$50, 'Range Tables'!$B$50, 'Range Tables'!$B$49)
)</f>
        <v>Petrol</v>
      </c>
      <c r="K108" s="112">
        <v>0.8285911479526568</v>
      </c>
      <c r="L108" s="113">
        <f>if(J108="Petrol",ifs(K108&lt;='Range Tables'!$G$5,'Range Tables'!$B$5,K108&lt;='Range Tables'!$G$6,'Range Tables'!$B$6,K108&lt;='Range Tables'!$G$7,'Range Tables'!$B$7),ifs(K108&lt;='Range Tables'!$G$13,'Range Tables'!$B$13,K108&lt;='Range Tables'!$G$14,'Range Tables'!$B$14))</f>
        <v>3</v>
      </c>
      <c r="M108" s="112">
        <v>0.2517402978336394</v>
      </c>
      <c r="N108" s="113" t="str">
        <f>ifs(H108="Car",ifs(M108&lt;='Range Tables'!$G$125,'Range Tables'!$B$125,M108&lt;='Range Tables'!$G$126,'Range Tables'!$B$126,M108&lt;='Range Tables'!$G$127,'Range Tables'!$B$127,M108&lt;='Range Tables'!$G$128,'Range Tables'!$B$128,M108&lt;='Range Tables'!$G$129,'Range Tables'!$B$129,'Range Tables'!$G$131,'Range Tables'!$B$131),H108="Bike",ifs(M108&lt;='Range Tables'!$G$136,'Range Tables'!$B$136,M108&lt;='Range Tables'!$G$137,'Range Tables'!$B$137,M108&lt;='Range Tables'!$G$138,'Range Tables'!$B$138,M108&lt;='Range Tables'!$G$142,'Range Tables'!$B$142),H108="Scooter",ifs(M108&lt;='Range Tables'!$G$148,'Range Tables'!$B$148,M108&lt;='Range Tables'!$G$149,'Range Tables'!$B$149,M108&lt;='Range Tables'!$G$150,'Range Tables'!$B$150,M108&lt;='Range Tables'!$G$151,'Range Tables'!$B$151),H108="Auto",ifs(M108&lt;='Range Tables'!$G$161,'Range Tables'!$B$161,M108&lt;='Range Tables'!$G$162,'Range Tables'!$B$162,M108&lt;='Range Tables'!$G$163,'Range Tables'!$B$163,M108&lt;='Range Tables'!$G$164,'Range Tables'!$B$164),H108="Carriers*",ifs(M108&lt;='Range Tables'!$G$173,'Range Tables'!$B$173,M108&lt;='Range Tables'!$G$174,'Range Tables'!$B$174,M108&lt;='Range Tables'!$G$175,'Range Tables'!$B$175,M108&lt;='Range Tables'!$G$176,'Range Tables'!$B$176,M108&lt;='Range Tables'!$G$177,'Range Tables'!$B$177,M108&lt;='Range Tables'!$G$179,'Range Tables'!$B$179),H108="Van*",ifs(M108&lt;='Range Tables'!$G$186,'Range Tables'!$B$186))</f>
        <v>60 - 120</v>
      </c>
      <c r="O108" s="113">
        <f>IFERROR(__xludf.DUMMYFUNCTION("SPLIT(N108,""-"")"),60.0)</f>
        <v>60</v>
      </c>
      <c r="P108" s="113">
        <f>IFERROR(__xludf.DUMMYFUNCTION("""COMPUTED_VALUE"""),120.0)</f>
        <v>120</v>
      </c>
      <c r="Q108" s="114">
        <f t="shared" si="2"/>
        <v>75.10441787</v>
      </c>
      <c r="R108" s="115">
        <f t="shared" si="3"/>
        <v>0.09615079073</v>
      </c>
      <c r="S108" s="114">
        <f t="shared" si="39"/>
        <v>8307.428319</v>
      </c>
      <c r="T108" s="113" t="str">
        <f t="shared" si="4"/>
        <v>no</v>
      </c>
      <c r="U108" s="115">
        <f t="shared" si="5"/>
        <v>0</v>
      </c>
      <c r="V108" s="113">
        <f t="shared" si="34"/>
        <v>0</v>
      </c>
      <c r="W108" s="115">
        <f t="shared" si="6"/>
        <v>0</v>
      </c>
      <c r="X108" s="85">
        <f t="shared" si="7"/>
        <v>0</v>
      </c>
      <c r="Y108" s="116">
        <f t="shared" si="8"/>
        <v>0</v>
      </c>
      <c r="Z108" s="113">
        <f t="shared" si="9"/>
        <v>0</v>
      </c>
      <c r="AA108" s="113" t="str">
        <f t="shared" si="10"/>
        <v>no</v>
      </c>
      <c r="AB108" s="115">
        <f t="shared" si="11"/>
        <v>0</v>
      </c>
      <c r="AC108" s="113">
        <f t="shared" si="35"/>
        <v>0</v>
      </c>
      <c r="AD108" s="116">
        <f t="shared" si="12"/>
        <v>0</v>
      </c>
      <c r="AE108" s="113">
        <f t="shared" si="13"/>
        <v>0</v>
      </c>
      <c r="AF108" s="116">
        <f t="shared" si="14"/>
        <v>0</v>
      </c>
      <c r="AG108" s="113">
        <f t="shared" si="15"/>
        <v>0</v>
      </c>
      <c r="AH108" s="113" t="str">
        <f t="shared" si="16"/>
        <v>yes</v>
      </c>
      <c r="AI108" s="115">
        <f t="shared" si="17"/>
        <v>0</v>
      </c>
      <c r="AJ108" s="113">
        <f t="shared" si="36"/>
        <v>0</v>
      </c>
      <c r="AK108" s="116">
        <f t="shared" si="18"/>
        <v>0.09615079073</v>
      </c>
      <c r="AL108" s="114">
        <f t="shared" si="19"/>
        <v>8307.428319</v>
      </c>
      <c r="AM108" s="115">
        <f t="shared" si="20"/>
        <v>0.09702005482</v>
      </c>
      <c r="AN108" s="118">
        <f t="shared" si="21"/>
        <v>8382.532737</v>
      </c>
      <c r="AO108" s="113" t="str">
        <f t="shared" si="22"/>
        <v>no</v>
      </c>
      <c r="AP108" s="115">
        <f t="shared" si="23"/>
        <v>0</v>
      </c>
      <c r="AQ108" s="113">
        <f t="shared" si="37"/>
        <v>0</v>
      </c>
      <c r="AR108" s="116">
        <f t="shared" si="24"/>
        <v>0</v>
      </c>
      <c r="AS108" s="113">
        <f t="shared" si="25"/>
        <v>0</v>
      </c>
      <c r="AT108" s="116">
        <f t="shared" si="26"/>
        <v>0</v>
      </c>
      <c r="AU108" s="113">
        <f t="shared" si="27"/>
        <v>0</v>
      </c>
      <c r="AV108" s="113" t="str">
        <f t="shared" si="28"/>
        <v>no</v>
      </c>
      <c r="AW108" s="115">
        <f t="shared" si="29"/>
        <v>0</v>
      </c>
      <c r="AX108" s="85">
        <f t="shared" si="38"/>
        <v>0</v>
      </c>
      <c r="AY108" s="116">
        <f t="shared" si="30"/>
        <v>0</v>
      </c>
      <c r="AZ108" s="113">
        <f t="shared" si="31"/>
        <v>0</v>
      </c>
      <c r="BA108" s="116">
        <f t="shared" si="32"/>
        <v>0</v>
      </c>
      <c r="BB108" s="113">
        <f t="shared" si="33"/>
        <v>0</v>
      </c>
      <c r="BC108" s="112">
        <v>0.23360450287651346</v>
      </c>
      <c r="BD108" s="113" t="str">
        <f>ifs(BC108&lt;='Range Tables'!$G$81,'Range Tables'!$B$81,BC108&lt;='Range Tables'!$G$82,'Range Tables'!$B$82)</f>
        <v>Online*</v>
      </c>
      <c r="BE108" s="112">
        <v>0.19432558816021317</v>
      </c>
      <c r="BF108" s="112" t="str">
        <f>ifs(BE108&lt;='Range Tables'!$G$95,'Range Tables'!$B$95,BE108&lt;='Range Tables'!$G$96,'Range Tables'!$B$96,BE108&lt;='Range Tables'!$G$97,'Range Tables'!$B$97,BE108&lt;='Range Tables'!$G$98,'Range Tables'!$B$98,BE108&lt;='Range Tables'!$G$99,'Range Tables'!$B$99,BE108&lt;='Range Tables'!$G$100,'Range Tables'!$B$100,BE108&lt;='Range Tables'!$G$101,'Range Tables'!$B$101,BE108&lt;='Range Tables'!$G$102,'Range Tables'!$B$102,BE108&lt;='Range Tables'!$G$103,'Range Tables'!$B$103)</f>
        <v>Jammu</v>
      </c>
      <c r="BG108" s="112">
        <v>0.9185134044053731</v>
      </c>
      <c r="BH108" s="113" t="str">
        <f>ifs(BG108&lt;='Range Tables'!$G$112,'Range Tables'!$B$112,BG108&lt;='Range Tables'!$G$113,'Range Tables'!$B$113,BG108&lt;='Range Tables'!$G$114,'Range Tables'!$B$114)</f>
        <v>1-5</v>
      </c>
      <c r="BI108" s="117">
        <v>0.8882843973151576</v>
      </c>
      <c r="BJ108" s="113" t="str">
        <f>ifs(BI108&lt;='Range Tables'!$G$118,'Range Tables'!$B$118,BI108&lt;='Range Tables'!$G$119,'Range Tables'!$B$119)</f>
        <v>Expired</v>
      </c>
    </row>
    <row r="109">
      <c r="A109" s="85">
        <v>106.0</v>
      </c>
      <c r="B109" s="112">
        <v>0.7471888035786155</v>
      </c>
      <c r="C109" s="113" t="str">
        <f>ifs(B109&lt;='Range Tables'!$G$54,'Range Tables'!$B$54,B109&lt;='Range Tables'!$G$55,'Range Tables'!$B$55,B109&lt;='Range Tables'!$G$56,'Range Tables'!$B$56,B109&lt;='Range Tables'!$G$57,'Range Tables'!$B$57,B109&lt;='Range Tables'!$G$58,'Range Tables'!$B$58,B109&lt;='Range Tables'!$G$59,'Range Tables'!$B$59,B109&lt;='Range Tables'!$G$60,'Range Tables'!$B$60,B109&lt;='Range Tables'!$G$61,'Range Tables'!$B$61,B109&lt;='Range Tables'!$G$63,'Range Tables'!$B$63,B109&lt;='Range Tables'!$G$64,'Range Tables'!$B$64,B109&lt;='Range Tables'!$G$66,'Range Tables'!$B$66)</f>
        <v>90 - 120</v>
      </c>
      <c r="D109" s="113">
        <f>IFERROR(__xludf.DUMMYFUNCTION("SPLIT(C109,""-"")"),90.0)</f>
        <v>90</v>
      </c>
      <c r="E109" s="113">
        <f>IFERROR(__xludf.DUMMYFUNCTION("""COMPUTED_VALUE"""),120.0)</f>
        <v>120</v>
      </c>
      <c r="F109" s="114">
        <f t="shared" si="40"/>
        <v>112.4156641</v>
      </c>
      <c r="G109" s="112">
        <v>0.6968507550973754</v>
      </c>
      <c r="H109" s="113" t="str">
        <f>ifs(G109&lt;='Range Tables'!$G$86,'Range Tables'!$B$86,G109&lt;='Range Tables'!$G$87,'Range Tables'!$B$87,G109&lt;='Range Tables'!$G$88,'Range Tables'!$B$88,G109&lt;='Range Tables'!$G$89,'Range Tables'!$B$89,G109&lt;='Range Tables'!$G$90,'Range Tables'!$B$90,G109&lt;='Range Tables'!$G$91,'Range Tables'!$B$91)</f>
        <v>Bike</v>
      </c>
      <c r="I109" s="112">
        <v>0.17553575229738538</v>
      </c>
      <c r="J109" s="113" t="str">
        <f>IFS(
  H109="Car", IF(I109&lt;='Range Tables'!$G$19, 'Range Tables'!$B$19, 'Range Tables'!$B$20), 
  H109="Bike", IF(I109&lt;='Range Tables'!$G$25, 'Range Tables'!$B$25, 'Range Tables'!$B$26), 
  H109="Scooter", IF(I109&lt;='Range Tables'!$G$31, 'Range Tables'!$B$31, 'Range Tables'!$B$32), 
  H109="Auto", IF(I109&lt;='Range Tables'!$G$37, 'Range Tables'!$B$37, 'Range Tables'!$B$38), 
  H109="Carriers*", IF(I109&lt;='Range Tables'!$G$43, 'Range Tables'!$B$43, 'Range Tables'!$B$44), 
  H109="Van*", IF(I109&lt;='Range Tables'!$G$50, 'Range Tables'!$B$50, 'Range Tables'!$B$49)
)</f>
        <v>Petrol</v>
      </c>
      <c r="K109" s="112">
        <v>0.655822372554382</v>
      </c>
      <c r="L109" s="113">
        <f>if(J109="Petrol",ifs(K109&lt;='Range Tables'!$G$5,'Range Tables'!$B$5,K109&lt;='Range Tables'!$G$6,'Range Tables'!$B$6,K109&lt;='Range Tables'!$G$7,'Range Tables'!$B$7),ifs(K109&lt;='Range Tables'!$G$13,'Range Tables'!$B$13,K109&lt;='Range Tables'!$G$14,'Range Tables'!$B$14))</f>
        <v>3</v>
      </c>
      <c r="M109" s="112">
        <v>0.018332046514040523</v>
      </c>
      <c r="N109" s="113" t="str">
        <f>ifs(H109="Car",ifs(M109&lt;='Range Tables'!$G$125,'Range Tables'!$B$125,M109&lt;='Range Tables'!$G$126,'Range Tables'!$B$126,M109&lt;='Range Tables'!$G$127,'Range Tables'!$B$127,M109&lt;='Range Tables'!$G$128,'Range Tables'!$B$128,M109&lt;='Range Tables'!$G$129,'Range Tables'!$B$129,'Range Tables'!$G$131,'Range Tables'!$B$131),H109="Bike",ifs(M109&lt;='Range Tables'!$G$136,'Range Tables'!$B$136,M109&lt;='Range Tables'!$G$137,'Range Tables'!$B$137,M109&lt;='Range Tables'!$G$138,'Range Tables'!$B$138,M109&lt;='Range Tables'!$G$142,'Range Tables'!$B$142),H109="Scooter",ifs(M109&lt;='Range Tables'!$G$148,'Range Tables'!$B$148,M109&lt;='Range Tables'!$G$149,'Range Tables'!$B$149,M109&lt;='Range Tables'!$G$150,'Range Tables'!$B$150,M109&lt;='Range Tables'!$G$151,'Range Tables'!$B$151),H109="Auto",ifs(M109&lt;='Range Tables'!$G$161,'Range Tables'!$B$161,M109&lt;='Range Tables'!$G$162,'Range Tables'!$B$162,M109&lt;='Range Tables'!$G$163,'Range Tables'!$B$163,M109&lt;='Range Tables'!$G$164,'Range Tables'!$B$164),H109="Carriers*",ifs(M109&lt;='Range Tables'!$G$173,'Range Tables'!$B$173,M109&lt;='Range Tables'!$G$174,'Range Tables'!$B$174,M109&lt;='Range Tables'!$G$175,'Range Tables'!$B$175,M109&lt;='Range Tables'!$G$176,'Range Tables'!$B$176,M109&lt;='Range Tables'!$G$177,'Range Tables'!$B$177,M109&lt;='Range Tables'!$G$179,'Range Tables'!$B$179),H109="Van*",ifs(M109&lt;='Range Tables'!$G$186,'Range Tables'!$B$186))</f>
        <v>30 - 60</v>
      </c>
      <c r="O109" s="113">
        <f>IFERROR(__xludf.DUMMYFUNCTION("SPLIT(N109,""-"")"),30.0)</f>
        <v>30</v>
      </c>
      <c r="P109" s="113">
        <f>IFERROR(__xludf.DUMMYFUNCTION("""COMPUTED_VALUE"""),60.0)</f>
        <v>60</v>
      </c>
      <c r="Q109" s="114">
        <f t="shared" si="2"/>
        <v>30.5499614</v>
      </c>
      <c r="R109" s="115">
        <f t="shared" si="3"/>
        <v>0.09708839465</v>
      </c>
      <c r="S109" s="114">
        <f t="shared" si="39"/>
        <v>8388.437298</v>
      </c>
      <c r="T109" s="113" t="str">
        <f t="shared" si="4"/>
        <v>no</v>
      </c>
      <c r="U109" s="115">
        <f t="shared" si="5"/>
        <v>0</v>
      </c>
      <c r="V109" s="113">
        <f t="shared" si="34"/>
        <v>0</v>
      </c>
      <c r="W109" s="115">
        <f t="shared" si="6"/>
        <v>0</v>
      </c>
      <c r="X109" s="85">
        <f t="shared" si="7"/>
        <v>0</v>
      </c>
      <c r="Y109" s="116">
        <f t="shared" si="8"/>
        <v>0</v>
      </c>
      <c r="Z109" s="113">
        <f t="shared" si="9"/>
        <v>0</v>
      </c>
      <c r="AA109" s="113" t="str">
        <f t="shared" si="10"/>
        <v>no</v>
      </c>
      <c r="AB109" s="115">
        <f t="shared" si="11"/>
        <v>0</v>
      </c>
      <c r="AC109" s="113">
        <f t="shared" si="35"/>
        <v>0</v>
      </c>
      <c r="AD109" s="116">
        <f t="shared" si="12"/>
        <v>0</v>
      </c>
      <c r="AE109" s="113">
        <f t="shared" si="13"/>
        <v>0</v>
      </c>
      <c r="AF109" s="116">
        <f t="shared" si="14"/>
        <v>0</v>
      </c>
      <c r="AG109" s="113">
        <f t="shared" si="15"/>
        <v>0</v>
      </c>
      <c r="AH109" s="113" t="str">
        <f t="shared" si="16"/>
        <v>yes</v>
      </c>
      <c r="AI109" s="115">
        <f t="shared" si="17"/>
        <v>0</v>
      </c>
      <c r="AJ109" s="113">
        <f t="shared" si="36"/>
        <v>0</v>
      </c>
      <c r="AK109" s="116">
        <f t="shared" si="18"/>
        <v>0.09708839465</v>
      </c>
      <c r="AL109" s="114">
        <f t="shared" si="19"/>
        <v>8388.437298</v>
      </c>
      <c r="AM109" s="115">
        <f t="shared" si="20"/>
        <v>0.09744198217</v>
      </c>
      <c r="AN109" s="118">
        <f t="shared" si="21"/>
        <v>8418.987259</v>
      </c>
      <c r="AO109" s="113" t="str">
        <f t="shared" si="22"/>
        <v>no</v>
      </c>
      <c r="AP109" s="115">
        <f t="shared" si="23"/>
        <v>0</v>
      </c>
      <c r="AQ109" s="113">
        <f t="shared" si="37"/>
        <v>0</v>
      </c>
      <c r="AR109" s="116">
        <f t="shared" si="24"/>
        <v>0</v>
      </c>
      <c r="AS109" s="113">
        <f t="shared" si="25"/>
        <v>0</v>
      </c>
      <c r="AT109" s="116">
        <f t="shared" si="26"/>
        <v>0</v>
      </c>
      <c r="AU109" s="113">
        <f t="shared" si="27"/>
        <v>0</v>
      </c>
      <c r="AV109" s="113" t="str">
        <f t="shared" si="28"/>
        <v>no</v>
      </c>
      <c r="AW109" s="115">
        <f t="shared" si="29"/>
        <v>0</v>
      </c>
      <c r="AX109" s="85">
        <f t="shared" si="38"/>
        <v>0</v>
      </c>
      <c r="AY109" s="116">
        <f t="shared" si="30"/>
        <v>0</v>
      </c>
      <c r="AZ109" s="113">
        <f t="shared" si="31"/>
        <v>0</v>
      </c>
      <c r="BA109" s="116">
        <f t="shared" si="32"/>
        <v>0</v>
      </c>
      <c r="BB109" s="113">
        <f t="shared" si="33"/>
        <v>0</v>
      </c>
      <c r="BC109" s="112">
        <v>0.49820680276048424</v>
      </c>
      <c r="BD109" s="113" t="str">
        <f>ifs(BC109&lt;='Range Tables'!$G$81,'Range Tables'!$B$81,BC109&lt;='Range Tables'!$G$82,'Range Tables'!$B$82)</f>
        <v>Offline*</v>
      </c>
      <c r="BE109" s="112">
        <v>0.15566840365457202</v>
      </c>
      <c r="BF109" s="112" t="str">
        <f>ifs(BE109&lt;='Range Tables'!$G$95,'Range Tables'!$B$95,BE109&lt;='Range Tables'!$G$96,'Range Tables'!$B$96,BE109&lt;='Range Tables'!$G$97,'Range Tables'!$B$97,BE109&lt;='Range Tables'!$G$98,'Range Tables'!$B$98,BE109&lt;='Range Tables'!$G$99,'Range Tables'!$B$99,BE109&lt;='Range Tables'!$G$100,'Range Tables'!$B$100,BE109&lt;='Range Tables'!$G$101,'Range Tables'!$B$101,BE109&lt;='Range Tables'!$G$102,'Range Tables'!$B$102,BE109&lt;='Range Tables'!$G$103,'Range Tables'!$B$103)</f>
        <v>Jammu</v>
      </c>
      <c r="BG109" s="112">
        <v>0.12234025785370517</v>
      </c>
      <c r="BH109" s="113" t="str">
        <f>ifs(BG109&lt;='Range Tables'!$G$112,'Range Tables'!$B$112,BG109&lt;='Range Tables'!$G$113,'Range Tables'!$B$113,BG109&lt;='Range Tables'!$G$114,'Range Tables'!$B$114)</f>
        <v>0</v>
      </c>
      <c r="BI109" s="117">
        <v>0.3395742961525955</v>
      </c>
      <c r="BJ109" s="113" t="str">
        <f>ifs(BI109&lt;='Range Tables'!$G$118,'Range Tables'!$B$118,BI109&lt;='Range Tables'!$G$119,'Range Tables'!$B$119)</f>
        <v>Valid</v>
      </c>
    </row>
    <row r="110">
      <c r="A110" s="85">
        <v>107.0</v>
      </c>
      <c r="B110" s="112">
        <v>0.027812172130443735</v>
      </c>
      <c r="C110" s="113" t="str">
        <f>ifs(B110&lt;='Range Tables'!$G$54,'Range Tables'!$B$54,B110&lt;='Range Tables'!$G$55,'Range Tables'!$B$55,B110&lt;='Range Tables'!$G$56,'Range Tables'!$B$56,B110&lt;='Range Tables'!$G$57,'Range Tables'!$B$57,B110&lt;='Range Tables'!$G$58,'Range Tables'!$B$58,B110&lt;='Range Tables'!$G$59,'Range Tables'!$B$59,B110&lt;='Range Tables'!$G$60,'Range Tables'!$B$60,B110&lt;='Range Tables'!$G$61,'Range Tables'!$B$61,B110&lt;='Range Tables'!$G$63,'Range Tables'!$B$63,B110&lt;='Range Tables'!$G$64,'Range Tables'!$B$64,B110&lt;='Range Tables'!$G$66,'Range Tables'!$B$66)</f>
        <v>0 - 30</v>
      </c>
      <c r="D110" s="113">
        <f>IFERROR(__xludf.DUMMYFUNCTION("SPLIT(C110,""-"")"),0.0)</f>
        <v>0</v>
      </c>
      <c r="E110" s="113">
        <f>IFERROR(__xludf.DUMMYFUNCTION("""COMPUTED_VALUE"""),30.0)</f>
        <v>30</v>
      </c>
      <c r="F110" s="114">
        <f t="shared" si="40"/>
        <v>0.8343651639</v>
      </c>
      <c r="G110" s="112">
        <v>0.23612046222605532</v>
      </c>
      <c r="H110" s="113" t="str">
        <f>ifs(G110&lt;='Range Tables'!$G$86,'Range Tables'!$B$86,G110&lt;='Range Tables'!$G$87,'Range Tables'!$B$87,G110&lt;='Range Tables'!$G$88,'Range Tables'!$B$88,G110&lt;='Range Tables'!$G$89,'Range Tables'!$B$89,G110&lt;='Range Tables'!$G$90,'Range Tables'!$B$90,G110&lt;='Range Tables'!$G$91,'Range Tables'!$B$91)</f>
        <v>Car</v>
      </c>
      <c r="I110" s="112">
        <v>0.36037524873181537</v>
      </c>
      <c r="J110" s="113" t="str">
        <f>IFS(
  H110="Car", IF(I110&lt;='Range Tables'!$G$19, 'Range Tables'!$B$19, 'Range Tables'!$B$20), 
  H110="Bike", IF(I110&lt;='Range Tables'!$G$25, 'Range Tables'!$B$25, 'Range Tables'!$B$26), 
  H110="Scooter", IF(I110&lt;='Range Tables'!$G$31, 'Range Tables'!$B$31, 'Range Tables'!$B$32), 
  H110="Auto", IF(I110&lt;='Range Tables'!$G$37, 'Range Tables'!$B$37, 'Range Tables'!$B$38), 
  H110="Carriers*", IF(I110&lt;='Range Tables'!$G$43, 'Range Tables'!$B$43, 'Range Tables'!$B$44), 
  H110="Van*", IF(I110&lt;='Range Tables'!$G$50, 'Range Tables'!$B$50, 'Range Tables'!$B$49)
)</f>
        <v>Petrol</v>
      </c>
      <c r="K110" s="112">
        <v>0.8223511741517384</v>
      </c>
      <c r="L110" s="113">
        <f>if(J110="Petrol",ifs(K110&lt;='Range Tables'!$G$5,'Range Tables'!$B$5,K110&lt;='Range Tables'!$G$6,'Range Tables'!$B$6,K110&lt;='Range Tables'!$G$7,'Range Tables'!$B$7),ifs(K110&lt;='Range Tables'!$G$13,'Range Tables'!$B$13,K110&lt;='Range Tables'!$G$14,'Range Tables'!$B$14))</f>
        <v>3</v>
      </c>
      <c r="M110" s="112">
        <v>0.15682023545527024</v>
      </c>
      <c r="N110" s="113" t="str">
        <f>ifs(H110="Car",ifs(M110&lt;='Range Tables'!$G$125,'Range Tables'!$B$125,M110&lt;='Range Tables'!$G$126,'Range Tables'!$B$126,M110&lt;='Range Tables'!$G$127,'Range Tables'!$B$127,M110&lt;='Range Tables'!$G$128,'Range Tables'!$B$128,M110&lt;='Range Tables'!$G$129,'Range Tables'!$B$129,'Range Tables'!$G$131,'Range Tables'!$B$131),H110="Bike",ifs(M110&lt;='Range Tables'!$G$136,'Range Tables'!$B$136,M110&lt;='Range Tables'!$G$137,'Range Tables'!$B$137,M110&lt;='Range Tables'!$G$138,'Range Tables'!$B$138,M110&lt;='Range Tables'!$G$142,'Range Tables'!$B$142),H110="Scooter",ifs(M110&lt;='Range Tables'!$G$148,'Range Tables'!$B$148,M110&lt;='Range Tables'!$G$149,'Range Tables'!$B$149,M110&lt;='Range Tables'!$G$150,'Range Tables'!$B$150,M110&lt;='Range Tables'!$G$151,'Range Tables'!$B$151),H110="Auto",ifs(M110&lt;='Range Tables'!$G$161,'Range Tables'!$B$161,M110&lt;='Range Tables'!$G$162,'Range Tables'!$B$162,M110&lt;='Range Tables'!$G$163,'Range Tables'!$B$163,M110&lt;='Range Tables'!$G$164,'Range Tables'!$B$164),H110="Carriers*",ifs(M110&lt;='Range Tables'!$G$173,'Range Tables'!$B$173,M110&lt;='Range Tables'!$G$174,'Range Tables'!$B$174,M110&lt;='Range Tables'!$G$175,'Range Tables'!$B$175,M110&lt;='Range Tables'!$G$176,'Range Tables'!$B$176,M110&lt;='Range Tables'!$G$177,'Range Tables'!$B$177,M110&lt;='Range Tables'!$G$179,'Range Tables'!$B$179),H110="Van*",ifs(M110&lt;='Range Tables'!$G$186,'Range Tables'!$B$186))</f>
        <v>60 - 120</v>
      </c>
      <c r="O110" s="113">
        <f>IFERROR(__xludf.DUMMYFUNCTION("SPLIT(N110,""-"")"),60.0)</f>
        <v>60</v>
      </c>
      <c r="P110" s="113">
        <f>IFERROR(__xludf.DUMMYFUNCTION("""COMPUTED_VALUE"""),120.0)</f>
        <v>120</v>
      </c>
      <c r="Q110" s="114">
        <f t="shared" si="2"/>
        <v>69.40921413</v>
      </c>
      <c r="R110" s="115">
        <f t="shared" si="3"/>
        <v>0.09838950187</v>
      </c>
      <c r="S110" s="114">
        <f t="shared" si="39"/>
        <v>8500.852962</v>
      </c>
      <c r="T110" s="113" t="str">
        <f t="shared" si="4"/>
        <v>no</v>
      </c>
      <c r="U110" s="115">
        <f t="shared" si="5"/>
        <v>0</v>
      </c>
      <c r="V110" s="113">
        <f t="shared" si="34"/>
        <v>0</v>
      </c>
      <c r="W110" s="115">
        <f t="shared" si="6"/>
        <v>0</v>
      </c>
      <c r="X110" s="85">
        <f t="shared" si="7"/>
        <v>0</v>
      </c>
      <c r="Y110" s="116">
        <f t="shared" si="8"/>
        <v>0</v>
      </c>
      <c r="Z110" s="113">
        <f t="shared" si="9"/>
        <v>0</v>
      </c>
      <c r="AA110" s="113" t="str">
        <f t="shared" si="10"/>
        <v>no</v>
      </c>
      <c r="AB110" s="115">
        <f t="shared" si="11"/>
        <v>0</v>
      </c>
      <c r="AC110" s="113">
        <f t="shared" si="35"/>
        <v>0</v>
      </c>
      <c r="AD110" s="116">
        <f t="shared" si="12"/>
        <v>0</v>
      </c>
      <c r="AE110" s="113">
        <f t="shared" si="13"/>
        <v>0</v>
      </c>
      <c r="AF110" s="116">
        <f t="shared" si="14"/>
        <v>0</v>
      </c>
      <c r="AG110" s="113">
        <f t="shared" si="15"/>
        <v>0</v>
      </c>
      <c r="AH110" s="113" t="str">
        <f t="shared" si="16"/>
        <v>yes</v>
      </c>
      <c r="AI110" s="115">
        <f t="shared" si="17"/>
        <v>0</v>
      </c>
      <c r="AJ110" s="113">
        <f t="shared" si="36"/>
        <v>0</v>
      </c>
      <c r="AK110" s="116">
        <f t="shared" si="18"/>
        <v>0.09838950187</v>
      </c>
      <c r="AL110" s="114">
        <f t="shared" si="19"/>
        <v>8500.852962</v>
      </c>
      <c r="AM110" s="115">
        <f t="shared" si="20"/>
        <v>0.09919284926</v>
      </c>
      <c r="AN110" s="118">
        <f t="shared" si="21"/>
        <v>8570.262176</v>
      </c>
      <c r="AO110" s="113" t="str">
        <f t="shared" si="22"/>
        <v>no</v>
      </c>
      <c r="AP110" s="115">
        <f t="shared" si="23"/>
        <v>0</v>
      </c>
      <c r="AQ110" s="113">
        <f t="shared" si="37"/>
        <v>0</v>
      </c>
      <c r="AR110" s="116">
        <f t="shared" si="24"/>
        <v>0</v>
      </c>
      <c r="AS110" s="113">
        <f t="shared" si="25"/>
        <v>0</v>
      </c>
      <c r="AT110" s="116">
        <f t="shared" si="26"/>
        <v>0</v>
      </c>
      <c r="AU110" s="113">
        <f t="shared" si="27"/>
        <v>0</v>
      </c>
      <c r="AV110" s="113" t="str">
        <f t="shared" si="28"/>
        <v>no</v>
      </c>
      <c r="AW110" s="115">
        <f t="shared" si="29"/>
        <v>0</v>
      </c>
      <c r="AX110" s="85">
        <f t="shared" si="38"/>
        <v>0</v>
      </c>
      <c r="AY110" s="116">
        <f t="shared" si="30"/>
        <v>0</v>
      </c>
      <c r="AZ110" s="113">
        <f t="shared" si="31"/>
        <v>0</v>
      </c>
      <c r="BA110" s="116">
        <f t="shared" si="32"/>
        <v>0</v>
      </c>
      <c r="BB110" s="113">
        <f t="shared" si="33"/>
        <v>0</v>
      </c>
      <c r="BC110" s="112">
        <v>0.8133715293385947</v>
      </c>
      <c r="BD110" s="113" t="str">
        <f>ifs(BC110&lt;='Range Tables'!$G$81,'Range Tables'!$B$81,BC110&lt;='Range Tables'!$G$82,'Range Tables'!$B$82)</f>
        <v>Offline*</v>
      </c>
      <c r="BE110" s="112">
        <v>0.7491306933142212</v>
      </c>
      <c r="BF110" s="112" t="str">
        <f>ifs(BE110&lt;='Range Tables'!$G$95,'Range Tables'!$B$95,BE110&lt;='Range Tables'!$G$96,'Range Tables'!$B$96,BE110&lt;='Range Tables'!$G$97,'Range Tables'!$B$97,BE110&lt;='Range Tables'!$G$98,'Range Tables'!$B$98,BE110&lt;='Range Tables'!$G$99,'Range Tables'!$B$99,BE110&lt;='Range Tables'!$G$100,'Range Tables'!$B$100,BE110&lt;='Range Tables'!$G$101,'Range Tables'!$B$101,BE110&lt;='Range Tables'!$G$102,'Range Tables'!$B$102,BE110&lt;='Range Tables'!$G$103,'Range Tables'!$B$103)</f>
        <v>Jammu</v>
      </c>
      <c r="BG110" s="112">
        <v>0.20846187656370807</v>
      </c>
      <c r="BH110" s="113" t="str">
        <f>ifs(BG110&lt;='Range Tables'!$G$112,'Range Tables'!$B$112,BG110&lt;='Range Tables'!$G$113,'Range Tables'!$B$113,BG110&lt;='Range Tables'!$G$114,'Range Tables'!$B$114)</f>
        <v>0</v>
      </c>
      <c r="BI110" s="117">
        <v>0.35477844421921656</v>
      </c>
      <c r="BJ110" s="113" t="str">
        <f>ifs(BI110&lt;='Range Tables'!$G$118,'Range Tables'!$B$118,BI110&lt;='Range Tables'!$G$119,'Range Tables'!$B$119)</f>
        <v>Valid</v>
      </c>
    </row>
    <row r="111">
      <c r="A111" s="85">
        <v>108.0</v>
      </c>
      <c r="B111" s="112">
        <v>0.6739466985122881</v>
      </c>
      <c r="C111" s="113" t="str">
        <f>ifs(B111&lt;='Range Tables'!$G$54,'Range Tables'!$B$54,B111&lt;='Range Tables'!$G$55,'Range Tables'!$B$55,B111&lt;='Range Tables'!$G$56,'Range Tables'!$B$56,B111&lt;='Range Tables'!$G$57,'Range Tables'!$B$57,B111&lt;='Range Tables'!$G$58,'Range Tables'!$B$58,B111&lt;='Range Tables'!$G$59,'Range Tables'!$B$59,B111&lt;='Range Tables'!$G$60,'Range Tables'!$B$60,B111&lt;='Range Tables'!$G$61,'Range Tables'!$B$61,B111&lt;='Range Tables'!$G$63,'Range Tables'!$B$63,B111&lt;='Range Tables'!$G$64,'Range Tables'!$B$64,B111&lt;='Range Tables'!$G$66,'Range Tables'!$B$66)</f>
        <v>60 - 90</v>
      </c>
      <c r="D111" s="113">
        <f>IFERROR(__xludf.DUMMYFUNCTION("SPLIT(C111,""-"")"),60.0)</f>
        <v>60</v>
      </c>
      <c r="E111" s="113">
        <f>IFERROR(__xludf.DUMMYFUNCTION("""COMPUTED_VALUE"""),90.0)</f>
        <v>90</v>
      </c>
      <c r="F111" s="114">
        <f t="shared" si="40"/>
        <v>80.21840096</v>
      </c>
      <c r="G111" s="112">
        <v>0.23670545492175243</v>
      </c>
      <c r="H111" s="113" t="str">
        <f>ifs(G111&lt;='Range Tables'!$G$86,'Range Tables'!$B$86,G111&lt;='Range Tables'!$G$87,'Range Tables'!$B$87,G111&lt;='Range Tables'!$G$88,'Range Tables'!$B$88,G111&lt;='Range Tables'!$G$89,'Range Tables'!$B$89,G111&lt;='Range Tables'!$G$90,'Range Tables'!$B$90,G111&lt;='Range Tables'!$G$91,'Range Tables'!$B$91)</f>
        <v>Car</v>
      </c>
      <c r="I111" s="112">
        <v>0.21663263981771608</v>
      </c>
      <c r="J111" s="113" t="str">
        <f>IFS(
  H111="Car", IF(I111&lt;='Range Tables'!$G$19, 'Range Tables'!$B$19, 'Range Tables'!$B$20), 
  H111="Bike", IF(I111&lt;='Range Tables'!$G$25, 'Range Tables'!$B$25, 'Range Tables'!$B$26), 
  H111="Scooter", IF(I111&lt;='Range Tables'!$G$31, 'Range Tables'!$B$31, 'Range Tables'!$B$32), 
  H111="Auto", IF(I111&lt;='Range Tables'!$G$37, 'Range Tables'!$B$37, 'Range Tables'!$B$38), 
  H111="Carriers*", IF(I111&lt;='Range Tables'!$G$43, 'Range Tables'!$B$43, 'Range Tables'!$B$44), 
  H111="Van*", IF(I111&lt;='Range Tables'!$G$50, 'Range Tables'!$B$50, 'Range Tables'!$B$49)
)</f>
        <v>Petrol</v>
      </c>
      <c r="K111" s="112">
        <v>0.5920867666625018</v>
      </c>
      <c r="L111" s="113">
        <f>if(J111="Petrol",ifs(K111&lt;='Range Tables'!$G$5,'Range Tables'!$B$5,K111&lt;='Range Tables'!$G$6,'Range Tables'!$B$6,K111&lt;='Range Tables'!$G$7,'Range Tables'!$B$7),ifs(K111&lt;='Range Tables'!$G$13,'Range Tables'!$B$13,K111&lt;='Range Tables'!$G$14,'Range Tables'!$B$14))</f>
        <v>3</v>
      </c>
      <c r="M111" s="112">
        <v>0.7205014316102105</v>
      </c>
      <c r="N111" s="113" t="str">
        <f>ifs(H111="Car",ifs(M111&lt;='Range Tables'!$G$125,'Range Tables'!$B$125,M111&lt;='Range Tables'!$G$126,'Range Tables'!$B$126,M111&lt;='Range Tables'!$G$127,'Range Tables'!$B$127,M111&lt;='Range Tables'!$G$128,'Range Tables'!$B$128,M111&lt;='Range Tables'!$G$129,'Range Tables'!$B$129,'Range Tables'!$G$131,'Range Tables'!$B$131),H111="Bike",ifs(M111&lt;='Range Tables'!$G$136,'Range Tables'!$B$136,M111&lt;='Range Tables'!$G$137,'Range Tables'!$B$137,M111&lt;='Range Tables'!$G$138,'Range Tables'!$B$138,M111&lt;='Range Tables'!$G$142,'Range Tables'!$B$142),H111="Scooter",ifs(M111&lt;='Range Tables'!$G$148,'Range Tables'!$B$148,M111&lt;='Range Tables'!$G$149,'Range Tables'!$B$149,M111&lt;='Range Tables'!$G$150,'Range Tables'!$B$150,M111&lt;='Range Tables'!$G$151,'Range Tables'!$B$151),H111="Auto",ifs(M111&lt;='Range Tables'!$G$161,'Range Tables'!$B$161,M111&lt;='Range Tables'!$G$162,'Range Tables'!$B$162,M111&lt;='Range Tables'!$G$163,'Range Tables'!$B$163,M111&lt;='Range Tables'!$G$164,'Range Tables'!$B$164),H111="Carriers*",ifs(M111&lt;='Range Tables'!$G$173,'Range Tables'!$B$173,M111&lt;='Range Tables'!$G$174,'Range Tables'!$B$174,M111&lt;='Range Tables'!$G$175,'Range Tables'!$B$175,M111&lt;='Range Tables'!$G$176,'Range Tables'!$B$176,M111&lt;='Range Tables'!$G$177,'Range Tables'!$B$177,M111&lt;='Range Tables'!$G$179,'Range Tables'!$B$179),H111="Van*",ifs(M111&lt;='Range Tables'!$G$186,'Range Tables'!$B$186))</f>
        <v>120 - 180</v>
      </c>
      <c r="O111" s="113">
        <f>IFERROR(__xludf.DUMMYFUNCTION("SPLIT(N111,""-"")"),120.0)</f>
        <v>120</v>
      </c>
      <c r="P111" s="113">
        <f>IFERROR(__xludf.DUMMYFUNCTION("""COMPUTED_VALUE"""),180.0)</f>
        <v>180</v>
      </c>
      <c r="Q111" s="114">
        <f t="shared" si="2"/>
        <v>163.2300859</v>
      </c>
      <c r="R111" s="115">
        <f t="shared" si="3"/>
        <v>0.09839915888</v>
      </c>
      <c r="S111" s="114">
        <f t="shared" si="39"/>
        <v>8501.687327</v>
      </c>
      <c r="T111" s="113" t="str">
        <f t="shared" si="4"/>
        <v>no</v>
      </c>
      <c r="U111" s="115">
        <f t="shared" si="5"/>
        <v>0</v>
      </c>
      <c r="V111" s="113">
        <f t="shared" si="34"/>
        <v>0</v>
      </c>
      <c r="W111" s="115">
        <f t="shared" si="6"/>
        <v>0</v>
      </c>
      <c r="X111" s="85">
        <f t="shared" si="7"/>
        <v>0</v>
      </c>
      <c r="Y111" s="116">
        <f t="shared" si="8"/>
        <v>0</v>
      </c>
      <c r="Z111" s="113">
        <f t="shared" si="9"/>
        <v>0</v>
      </c>
      <c r="AA111" s="113" t="str">
        <f t="shared" si="10"/>
        <v>no</v>
      </c>
      <c r="AB111" s="115">
        <f t="shared" si="11"/>
        <v>0</v>
      </c>
      <c r="AC111" s="113">
        <f t="shared" si="35"/>
        <v>0</v>
      </c>
      <c r="AD111" s="116">
        <f t="shared" si="12"/>
        <v>0</v>
      </c>
      <c r="AE111" s="113">
        <f t="shared" si="13"/>
        <v>0</v>
      </c>
      <c r="AF111" s="116">
        <f t="shared" si="14"/>
        <v>0</v>
      </c>
      <c r="AG111" s="113">
        <f t="shared" si="15"/>
        <v>0</v>
      </c>
      <c r="AH111" s="113" t="str">
        <f t="shared" si="16"/>
        <v>yes</v>
      </c>
      <c r="AI111" s="115">
        <f t="shared" si="17"/>
        <v>0.0007936903815</v>
      </c>
      <c r="AJ111" s="114">
        <f t="shared" si="36"/>
        <v>68.57484896</v>
      </c>
      <c r="AK111" s="116">
        <f t="shared" si="18"/>
        <v>0.09919284926</v>
      </c>
      <c r="AL111" s="114">
        <f t="shared" si="19"/>
        <v>8570.262176</v>
      </c>
      <c r="AM111" s="115">
        <f t="shared" si="20"/>
        <v>0.1010820864</v>
      </c>
      <c r="AN111" s="118">
        <f t="shared" si="21"/>
        <v>8733.492262</v>
      </c>
      <c r="AO111" s="113" t="str">
        <f t="shared" si="22"/>
        <v>no</v>
      </c>
      <c r="AP111" s="115">
        <f t="shared" si="23"/>
        <v>0</v>
      </c>
      <c r="AQ111" s="113">
        <f t="shared" si="37"/>
        <v>0</v>
      </c>
      <c r="AR111" s="116">
        <f t="shared" si="24"/>
        <v>0</v>
      </c>
      <c r="AS111" s="113">
        <f t="shared" si="25"/>
        <v>0</v>
      </c>
      <c r="AT111" s="116">
        <f t="shared" si="26"/>
        <v>0</v>
      </c>
      <c r="AU111" s="113">
        <f t="shared" si="27"/>
        <v>0</v>
      </c>
      <c r="AV111" s="113" t="str">
        <f t="shared" si="28"/>
        <v>no</v>
      </c>
      <c r="AW111" s="115">
        <f t="shared" si="29"/>
        <v>0</v>
      </c>
      <c r="AX111" s="85">
        <f t="shared" si="38"/>
        <v>0</v>
      </c>
      <c r="AY111" s="116">
        <f t="shared" si="30"/>
        <v>0</v>
      </c>
      <c r="AZ111" s="113">
        <f t="shared" si="31"/>
        <v>0</v>
      </c>
      <c r="BA111" s="116">
        <f t="shared" si="32"/>
        <v>0</v>
      </c>
      <c r="BB111" s="113">
        <f t="shared" si="33"/>
        <v>0</v>
      </c>
      <c r="BC111" s="112">
        <v>0.276139598141224</v>
      </c>
      <c r="BD111" s="113" t="str">
        <f>ifs(BC111&lt;='Range Tables'!$G$81,'Range Tables'!$B$81,BC111&lt;='Range Tables'!$G$82,'Range Tables'!$B$82)</f>
        <v>Online*</v>
      </c>
      <c r="BE111" s="112">
        <v>0.02976534222512528</v>
      </c>
      <c r="BF111" s="112" t="str">
        <f>ifs(BE111&lt;='Range Tables'!$G$95,'Range Tables'!$B$95,BE111&lt;='Range Tables'!$G$96,'Range Tables'!$B$96,BE111&lt;='Range Tables'!$G$97,'Range Tables'!$B$97,BE111&lt;='Range Tables'!$G$98,'Range Tables'!$B$98,BE111&lt;='Range Tables'!$G$99,'Range Tables'!$B$99,BE111&lt;='Range Tables'!$G$100,'Range Tables'!$B$100,BE111&lt;='Range Tables'!$G$101,'Range Tables'!$B$101,BE111&lt;='Range Tables'!$G$102,'Range Tables'!$B$102,BE111&lt;='Range Tables'!$G$103,'Range Tables'!$B$103)</f>
        <v>Jammu</v>
      </c>
      <c r="BG111" s="112">
        <v>0.37009794879265856</v>
      </c>
      <c r="BH111" s="113" t="str">
        <f>ifs(BG111&lt;='Range Tables'!$G$112,'Range Tables'!$B$112,BG111&lt;='Range Tables'!$G$113,'Range Tables'!$B$113,BG111&lt;='Range Tables'!$G$114,'Range Tables'!$B$114)</f>
        <v>0</v>
      </c>
      <c r="BI111" s="117">
        <v>0.1218469798565095</v>
      </c>
      <c r="BJ111" s="113" t="str">
        <f>ifs(BI111&lt;='Range Tables'!$G$118,'Range Tables'!$B$118,BI111&lt;='Range Tables'!$G$119,'Range Tables'!$B$119)</f>
        <v>Valid</v>
      </c>
    </row>
    <row r="112">
      <c r="A112" s="85">
        <v>109.0</v>
      </c>
      <c r="B112" s="112">
        <v>0.13900001520007277</v>
      </c>
      <c r="C112" s="113" t="str">
        <f>ifs(B112&lt;='Range Tables'!$G$54,'Range Tables'!$B$54,B112&lt;='Range Tables'!$G$55,'Range Tables'!$B$55,B112&lt;='Range Tables'!$G$56,'Range Tables'!$B$56,B112&lt;='Range Tables'!$G$57,'Range Tables'!$B$57,B112&lt;='Range Tables'!$G$58,'Range Tables'!$B$58,B112&lt;='Range Tables'!$G$59,'Range Tables'!$B$59,B112&lt;='Range Tables'!$G$60,'Range Tables'!$B$60,B112&lt;='Range Tables'!$G$61,'Range Tables'!$B$61,B112&lt;='Range Tables'!$G$63,'Range Tables'!$B$63,B112&lt;='Range Tables'!$G$64,'Range Tables'!$B$64,B112&lt;='Range Tables'!$G$66,'Range Tables'!$B$66)</f>
        <v>0 - 30</v>
      </c>
      <c r="D112" s="113">
        <f>IFERROR(__xludf.DUMMYFUNCTION("SPLIT(C112,""-"")"),0.0)</f>
        <v>0</v>
      </c>
      <c r="E112" s="113">
        <f>IFERROR(__xludf.DUMMYFUNCTION("""COMPUTED_VALUE"""),30.0)</f>
        <v>30</v>
      </c>
      <c r="F112" s="114">
        <f t="shared" si="40"/>
        <v>4.170000456</v>
      </c>
      <c r="G112" s="112">
        <v>0.3263883262304711</v>
      </c>
      <c r="H112" s="113" t="str">
        <f>ifs(G112&lt;='Range Tables'!$G$86,'Range Tables'!$B$86,G112&lt;='Range Tables'!$G$87,'Range Tables'!$B$87,G112&lt;='Range Tables'!$G$88,'Range Tables'!$B$88,G112&lt;='Range Tables'!$G$89,'Range Tables'!$B$89,G112&lt;='Range Tables'!$G$90,'Range Tables'!$B$90,G112&lt;='Range Tables'!$G$91,'Range Tables'!$B$91)</f>
        <v>Car</v>
      </c>
      <c r="I112" s="112">
        <v>0.97391084751407</v>
      </c>
      <c r="J112" s="113" t="str">
        <f>IFS(
  H112="Car", IF(I112&lt;='Range Tables'!$G$19, 'Range Tables'!$B$19, 'Range Tables'!$B$20), 
  H112="Bike", IF(I112&lt;='Range Tables'!$G$25, 'Range Tables'!$B$25, 'Range Tables'!$B$26), 
  H112="Scooter", IF(I112&lt;='Range Tables'!$G$31, 'Range Tables'!$B$31, 'Range Tables'!$B$32), 
  H112="Auto", IF(I112&lt;='Range Tables'!$G$37, 'Range Tables'!$B$37, 'Range Tables'!$B$38), 
  H112="Carriers*", IF(I112&lt;='Range Tables'!$G$43, 'Range Tables'!$B$43, 'Range Tables'!$B$44), 
  H112="Van*", IF(I112&lt;='Range Tables'!$G$50, 'Range Tables'!$B$50, 'Range Tables'!$B$49)
)</f>
        <v>Diesel</v>
      </c>
      <c r="K112" s="112">
        <v>0.09176966969176359</v>
      </c>
      <c r="L112" s="113">
        <f>if(J112="Petrol",ifs(K112&lt;='Range Tables'!$G$5,'Range Tables'!$B$5,K112&lt;='Range Tables'!$G$6,'Range Tables'!$B$6,K112&lt;='Range Tables'!$G$7,'Range Tables'!$B$7),ifs(K112&lt;='Range Tables'!$G$13,'Range Tables'!$B$13,K112&lt;='Range Tables'!$G$14,'Range Tables'!$B$14))</f>
        <v>1</v>
      </c>
      <c r="M112" s="112">
        <v>0.7256465214544687</v>
      </c>
      <c r="N112" s="113" t="str">
        <f>ifs(H112="Car",ifs(M112&lt;='Range Tables'!$G$125,'Range Tables'!$B$125,M112&lt;='Range Tables'!$G$126,'Range Tables'!$B$126,M112&lt;='Range Tables'!$G$127,'Range Tables'!$B$127,M112&lt;='Range Tables'!$G$128,'Range Tables'!$B$128,M112&lt;='Range Tables'!$G$129,'Range Tables'!$B$129,'Range Tables'!$G$131,'Range Tables'!$B$131),H112="Bike",ifs(M112&lt;='Range Tables'!$G$136,'Range Tables'!$B$136,M112&lt;='Range Tables'!$G$137,'Range Tables'!$B$137,M112&lt;='Range Tables'!$G$138,'Range Tables'!$B$138,M112&lt;='Range Tables'!$G$142,'Range Tables'!$B$142),H112="Scooter",ifs(M112&lt;='Range Tables'!$G$148,'Range Tables'!$B$148,M112&lt;='Range Tables'!$G$149,'Range Tables'!$B$149,M112&lt;='Range Tables'!$G$150,'Range Tables'!$B$150,M112&lt;='Range Tables'!$G$151,'Range Tables'!$B$151),H112="Auto",ifs(M112&lt;='Range Tables'!$G$161,'Range Tables'!$B$161,M112&lt;='Range Tables'!$G$162,'Range Tables'!$B$162,M112&lt;='Range Tables'!$G$163,'Range Tables'!$B$163,M112&lt;='Range Tables'!$G$164,'Range Tables'!$B$164),H112="Carriers*",ifs(M112&lt;='Range Tables'!$G$173,'Range Tables'!$B$173,M112&lt;='Range Tables'!$G$174,'Range Tables'!$B$174,M112&lt;='Range Tables'!$G$175,'Range Tables'!$B$175,M112&lt;='Range Tables'!$G$176,'Range Tables'!$B$176,M112&lt;='Range Tables'!$G$177,'Range Tables'!$B$177,M112&lt;='Range Tables'!$G$179,'Range Tables'!$B$179),H112="Van*",ifs(M112&lt;='Range Tables'!$G$186,'Range Tables'!$B$186))</f>
        <v>120 - 180</v>
      </c>
      <c r="O112" s="113">
        <f>IFERROR(__xludf.DUMMYFUNCTION("SPLIT(N112,""-"")"),120.0)</f>
        <v>120</v>
      </c>
      <c r="P112" s="113">
        <f>IFERROR(__xludf.DUMMYFUNCTION("""COMPUTED_VALUE"""),180.0)</f>
        <v>180</v>
      </c>
      <c r="Q112" s="114">
        <f t="shared" si="2"/>
        <v>163.5387913</v>
      </c>
      <c r="R112" s="115">
        <f t="shared" si="3"/>
        <v>0.09932761259</v>
      </c>
      <c r="S112" s="114">
        <f t="shared" si="39"/>
        <v>8581.905728</v>
      </c>
      <c r="T112" s="113" t="str">
        <f t="shared" si="4"/>
        <v>yes</v>
      </c>
      <c r="U112" s="115">
        <f t="shared" si="5"/>
        <v>0</v>
      </c>
      <c r="V112" s="113">
        <f t="shared" si="34"/>
        <v>0</v>
      </c>
      <c r="W112" s="115">
        <f t="shared" si="6"/>
        <v>0.09932761259</v>
      </c>
      <c r="X112" s="118">
        <f t="shared" si="7"/>
        <v>8581.905728</v>
      </c>
      <c r="Y112" s="116">
        <f t="shared" si="8"/>
        <v>0.1012204227</v>
      </c>
      <c r="Z112" s="114">
        <f t="shared" si="9"/>
        <v>8745.444519</v>
      </c>
      <c r="AA112" s="113" t="str">
        <f t="shared" si="10"/>
        <v>no</v>
      </c>
      <c r="AB112" s="115">
        <f t="shared" si="11"/>
        <v>0</v>
      </c>
      <c r="AC112" s="113">
        <f t="shared" si="35"/>
        <v>0</v>
      </c>
      <c r="AD112" s="116">
        <f t="shared" si="12"/>
        <v>0</v>
      </c>
      <c r="AE112" s="113">
        <f t="shared" si="13"/>
        <v>0</v>
      </c>
      <c r="AF112" s="116">
        <f t="shared" si="14"/>
        <v>0</v>
      </c>
      <c r="AG112" s="113">
        <f t="shared" si="15"/>
        <v>0</v>
      </c>
      <c r="AH112" s="113" t="str">
        <f t="shared" si="16"/>
        <v>no</v>
      </c>
      <c r="AI112" s="115">
        <f t="shared" si="17"/>
        <v>0</v>
      </c>
      <c r="AJ112" s="113">
        <f t="shared" si="36"/>
        <v>0</v>
      </c>
      <c r="AK112" s="116">
        <f t="shared" si="18"/>
        <v>0</v>
      </c>
      <c r="AL112" s="113">
        <f t="shared" si="19"/>
        <v>0</v>
      </c>
      <c r="AM112" s="115">
        <f t="shared" si="20"/>
        <v>0</v>
      </c>
      <c r="AN112" s="85">
        <f t="shared" si="21"/>
        <v>0</v>
      </c>
      <c r="AO112" s="113" t="str">
        <f t="shared" si="22"/>
        <v>no</v>
      </c>
      <c r="AP112" s="115">
        <f t="shared" si="23"/>
        <v>0</v>
      </c>
      <c r="AQ112" s="113">
        <f t="shared" si="37"/>
        <v>0</v>
      </c>
      <c r="AR112" s="116">
        <f t="shared" si="24"/>
        <v>0</v>
      </c>
      <c r="AS112" s="113">
        <f t="shared" si="25"/>
        <v>0</v>
      </c>
      <c r="AT112" s="116">
        <f t="shared" si="26"/>
        <v>0</v>
      </c>
      <c r="AU112" s="113">
        <f t="shared" si="27"/>
        <v>0</v>
      </c>
      <c r="AV112" s="113" t="str">
        <f t="shared" si="28"/>
        <v>no</v>
      </c>
      <c r="AW112" s="115">
        <f t="shared" si="29"/>
        <v>0</v>
      </c>
      <c r="AX112" s="85">
        <f t="shared" si="38"/>
        <v>0</v>
      </c>
      <c r="AY112" s="116">
        <f t="shared" si="30"/>
        <v>0</v>
      </c>
      <c r="AZ112" s="113">
        <f t="shared" si="31"/>
        <v>0</v>
      </c>
      <c r="BA112" s="116">
        <f t="shared" si="32"/>
        <v>0</v>
      </c>
      <c r="BB112" s="113">
        <f t="shared" si="33"/>
        <v>0</v>
      </c>
      <c r="BC112" s="112">
        <v>0.07950250511961698</v>
      </c>
      <c r="BD112" s="113" t="str">
        <f>ifs(BC112&lt;='Range Tables'!$G$81,'Range Tables'!$B$81,BC112&lt;='Range Tables'!$G$82,'Range Tables'!$B$82)</f>
        <v>Online*</v>
      </c>
      <c r="BE112" s="112">
        <v>0.38526275941095545</v>
      </c>
      <c r="BF112" s="112" t="str">
        <f>ifs(BE112&lt;='Range Tables'!$G$95,'Range Tables'!$B$95,BE112&lt;='Range Tables'!$G$96,'Range Tables'!$B$96,BE112&lt;='Range Tables'!$G$97,'Range Tables'!$B$97,BE112&lt;='Range Tables'!$G$98,'Range Tables'!$B$98,BE112&lt;='Range Tables'!$G$99,'Range Tables'!$B$99,BE112&lt;='Range Tables'!$G$100,'Range Tables'!$B$100,BE112&lt;='Range Tables'!$G$101,'Range Tables'!$B$101,BE112&lt;='Range Tables'!$G$102,'Range Tables'!$B$102,BE112&lt;='Range Tables'!$G$103,'Range Tables'!$B$103)</f>
        <v>Jammu</v>
      </c>
      <c r="BG112" s="112">
        <v>0.35436486047818017</v>
      </c>
      <c r="BH112" s="113" t="str">
        <f>ifs(BG112&lt;='Range Tables'!$G$112,'Range Tables'!$B$112,BG112&lt;='Range Tables'!$G$113,'Range Tables'!$B$113,BG112&lt;='Range Tables'!$G$114,'Range Tables'!$B$114)</f>
        <v>0</v>
      </c>
      <c r="BI112" s="117">
        <v>0.7439387491414954</v>
      </c>
      <c r="BJ112" s="113" t="str">
        <f>ifs(BI112&lt;='Range Tables'!$G$118,'Range Tables'!$B$118,BI112&lt;='Range Tables'!$G$119,'Range Tables'!$B$119)</f>
        <v>Expired</v>
      </c>
    </row>
    <row r="113">
      <c r="A113" s="85">
        <v>110.0</v>
      </c>
      <c r="B113" s="112">
        <v>0.22090893154438596</v>
      </c>
      <c r="C113" s="113" t="str">
        <f>ifs(B113&lt;='Range Tables'!$G$54,'Range Tables'!$B$54,B113&lt;='Range Tables'!$G$55,'Range Tables'!$B$55,B113&lt;='Range Tables'!$G$56,'Range Tables'!$B$56,B113&lt;='Range Tables'!$G$57,'Range Tables'!$B$57,B113&lt;='Range Tables'!$G$58,'Range Tables'!$B$58,B113&lt;='Range Tables'!$G$59,'Range Tables'!$B$59,B113&lt;='Range Tables'!$G$60,'Range Tables'!$B$60,B113&lt;='Range Tables'!$G$61,'Range Tables'!$B$61,B113&lt;='Range Tables'!$G$63,'Range Tables'!$B$63,B113&lt;='Range Tables'!$G$64,'Range Tables'!$B$64,B113&lt;='Range Tables'!$G$66,'Range Tables'!$B$66)</f>
        <v>0 - 30</v>
      </c>
      <c r="D113" s="113">
        <f>IFERROR(__xludf.DUMMYFUNCTION("SPLIT(C113,""-"")"),0.0)</f>
        <v>0</v>
      </c>
      <c r="E113" s="113">
        <f>IFERROR(__xludf.DUMMYFUNCTION("""COMPUTED_VALUE"""),30.0)</f>
        <v>30</v>
      </c>
      <c r="F113" s="114">
        <f t="shared" si="40"/>
        <v>6.627267946</v>
      </c>
      <c r="G113" s="112">
        <v>0.34507212409373755</v>
      </c>
      <c r="H113" s="113" t="str">
        <f>ifs(G113&lt;='Range Tables'!$G$86,'Range Tables'!$B$86,G113&lt;='Range Tables'!$G$87,'Range Tables'!$B$87,G113&lt;='Range Tables'!$G$88,'Range Tables'!$B$88,G113&lt;='Range Tables'!$G$89,'Range Tables'!$B$89,G113&lt;='Range Tables'!$G$90,'Range Tables'!$B$90,G113&lt;='Range Tables'!$G$91,'Range Tables'!$B$91)</f>
        <v>Car</v>
      </c>
      <c r="I113" s="112">
        <v>0.5319645470673785</v>
      </c>
      <c r="J113" s="113" t="str">
        <f>IFS(
  H113="Car", IF(I113&lt;='Range Tables'!$G$19, 'Range Tables'!$B$19, 'Range Tables'!$B$20), 
  H113="Bike", IF(I113&lt;='Range Tables'!$G$25, 'Range Tables'!$B$25, 'Range Tables'!$B$26), 
  H113="Scooter", IF(I113&lt;='Range Tables'!$G$31, 'Range Tables'!$B$31, 'Range Tables'!$B$32), 
  H113="Auto", IF(I113&lt;='Range Tables'!$G$37, 'Range Tables'!$B$37, 'Range Tables'!$B$38), 
  H113="Carriers*", IF(I113&lt;='Range Tables'!$G$43, 'Range Tables'!$B$43, 'Range Tables'!$B$44), 
  H113="Van*", IF(I113&lt;='Range Tables'!$G$50, 'Range Tables'!$B$50, 'Range Tables'!$B$49)
)</f>
        <v>Petrol</v>
      </c>
      <c r="K113" s="112">
        <v>0.03546683918726523</v>
      </c>
      <c r="L113" s="113">
        <f>if(J113="Petrol",ifs(K113&lt;='Range Tables'!$G$5,'Range Tables'!$B$5,K113&lt;='Range Tables'!$G$6,'Range Tables'!$B$6,K113&lt;='Range Tables'!$G$7,'Range Tables'!$B$7),ifs(K113&lt;='Range Tables'!$G$13,'Range Tables'!$B$13,K113&lt;='Range Tables'!$G$14,'Range Tables'!$B$14))</f>
        <v>2</v>
      </c>
      <c r="M113" s="112">
        <v>0.4262278572339665</v>
      </c>
      <c r="N113" s="113" t="str">
        <f>ifs(H113="Car",ifs(M113&lt;='Range Tables'!$G$125,'Range Tables'!$B$125,M113&lt;='Range Tables'!$G$126,'Range Tables'!$B$126,M113&lt;='Range Tables'!$G$127,'Range Tables'!$B$127,M113&lt;='Range Tables'!$G$128,'Range Tables'!$B$128,M113&lt;='Range Tables'!$G$129,'Range Tables'!$B$129,'Range Tables'!$G$131,'Range Tables'!$B$131),H113="Bike",ifs(M113&lt;='Range Tables'!$G$136,'Range Tables'!$B$136,M113&lt;='Range Tables'!$G$137,'Range Tables'!$B$137,M113&lt;='Range Tables'!$G$138,'Range Tables'!$B$138,M113&lt;='Range Tables'!$G$142,'Range Tables'!$B$142),H113="Scooter",ifs(M113&lt;='Range Tables'!$G$148,'Range Tables'!$B$148,M113&lt;='Range Tables'!$G$149,'Range Tables'!$B$149,M113&lt;='Range Tables'!$G$150,'Range Tables'!$B$150,M113&lt;='Range Tables'!$G$151,'Range Tables'!$B$151),H113="Auto",ifs(M113&lt;='Range Tables'!$G$161,'Range Tables'!$B$161,M113&lt;='Range Tables'!$G$162,'Range Tables'!$B$162,M113&lt;='Range Tables'!$G$163,'Range Tables'!$B$163,M113&lt;='Range Tables'!$G$164,'Range Tables'!$B$164),H113="Carriers*",ifs(M113&lt;='Range Tables'!$G$173,'Range Tables'!$B$173,M113&lt;='Range Tables'!$G$174,'Range Tables'!$B$174,M113&lt;='Range Tables'!$G$175,'Range Tables'!$B$175,M113&lt;='Range Tables'!$G$176,'Range Tables'!$B$176,M113&lt;='Range Tables'!$G$177,'Range Tables'!$B$177,M113&lt;='Range Tables'!$G$179,'Range Tables'!$B$179),H113="Van*",ifs(M113&lt;='Range Tables'!$G$186,'Range Tables'!$B$186))</f>
        <v>60 - 120</v>
      </c>
      <c r="O113" s="113">
        <f>IFERROR(__xludf.DUMMYFUNCTION("SPLIT(N113,""-"")"),60.0)</f>
        <v>60</v>
      </c>
      <c r="P113" s="113">
        <f>IFERROR(__xludf.DUMMYFUNCTION("""COMPUTED_VALUE"""),120.0)</f>
        <v>120</v>
      </c>
      <c r="Q113" s="114">
        <f t="shared" si="2"/>
        <v>85.57367143</v>
      </c>
      <c r="R113" s="115">
        <f t="shared" si="3"/>
        <v>0.09937587649</v>
      </c>
      <c r="S113" s="114">
        <f t="shared" si="39"/>
        <v>8586.075728</v>
      </c>
      <c r="T113" s="113" t="str">
        <f t="shared" si="4"/>
        <v>no</v>
      </c>
      <c r="U113" s="115">
        <f t="shared" si="5"/>
        <v>0</v>
      </c>
      <c r="V113" s="113">
        <f t="shared" si="34"/>
        <v>0</v>
      </c>
      <c r="W113" s="115">
        <f t="shared" si="6"/>
        <v>0</v>
      </c>
      <c r="X113" s="85">
        <f t="shared" si="7"/>
        <v>0</v>
      </c>
      <c r="Y113" s="116">
        <f t="shared" si="8"/>
        <v>0</v>
      </c>
      <c r="Z113" s="113">
        <f t="shared" si="9"/>
        <v>0</v>
      </c>
      <c r="AA113" s="113" t="str">
        <f t="shared" si="10"/>
        <v>yes</v>
      </c>
      <c r="AB113" s="115">
        <f t="shared" si="11"/>
        <v>0</v>
      </c>
      <c r="AC113" s="113">
        <f t="shared" si="35"/>
        <v>0</v>
      </c>
      <c r="AD113" s="116">
        <f t="shared" si="12"/>
        <v>0.09937587649</v>
      </c>
      <c r="AE113" s="114">
        <f t="shared" si="13"/>
        <v>8586.075728</v>
      </c>
      <c r="AF113" s="116">
        <f t="shared" si="14"/>
        <v>0.1003663125</v>
      </c>
      <c r="AG113" s="114">
        <f t="shared" si="15"/>
        <v>8671.6494</v>
      </c>
      <c r="AH113" s="113" t="str">
        <f t="shared" si="16"/>
        <v>no</v>
      </c>
      <c r="AI113" s="115">
        <f t="shared" si="17"/>
        <v>0</v>
      </c>
      <c r="AJ113" s="113">
        <f t="shared" si="36"/>
        <v>0</v>
      </c>
      <c r="AK113" s="116">
        <f t="shared" si="18"/>
        <v>0</v>
      </c>
      <c r="AL113" s="113">
        <f t="shared" si="19"/>
        <v>0</v>
      </c>
      <c r="AM113" s="115">
        <f t="shared" si="20"/>
        <v>0</v>
      </c>
      <c r="AN113" s="85">
        <f t="shared" si="21"/>
        <v>0</v>
      </c>
      <c r="AO113" s="113" t="str">
        <f t="shared" si="22"/>
        <v>no</v>
      </c>
      <c r="AP113" s="115">
        <f t="shared" si="23"/>
        <v>0</v>
      </c>
      <c r="AQ113" s="113">
        <f t="shared" si="37"/>
        <v>0</v>
      </c>
      <c r="AR113" s="116">
        <f t="shared" si="24"/>
        <v>0</v>
      </c>
      <c r="AS113" s="113">
        <f t="shared" si="25"/>
        <v>0</v>
      </c>
      <c r="AT113" s="116">
        <f t="shared" si="26"/>
        <v>0</v>
      </c>
      <c r="AU113" s="113">
        <f t="shared" si="27"/>
        <v>0</v>
      </c>
      <c r="AV113" s="113" t="str">
        <f t="shared" si="28"/>
        <v>no</v>
      </c>
      <c r="AW113" s="115">
        <f t="shared" si="29"/>
        <v>0</v>
      </c>
      <c r="AX113" s="85">
        <f t="shared" si="38"/>
        <v>0</v>
      </c>
      <c r="AY113" s="116">
        <f t="shared" si="30"/>
        <v>0</v>
      </c>
      <c r="AZ113" s="113">
        <f t="shared" si="31"/>
        <v>0</v>
      </c>
      <c r="BA113" s="116">
        <f t="shared" si="32"/>
        <v>0</v>
      </c>
      <c r="BB113" s="113">
        <f t="shared" si="33"/>
        <v>0</v>
      </c>
      <c r="BC113" s="112">
        <v>0.3914668408506633</v>
      </c>
      <c r="BD113" s="113" t="str">
        <f>ifs(BC113&lt;='Range Tables'!$G$81,'Range Tables'!$B$81,BC113&lt;='Range Tables'!$G$82,'Range Tables'!$B$82)</f>
        <v>Offline*</v>
      </c>
      <c r="BE113" s="112">
        <v>0.23972061185557503</v>
      </c>
      <c r="BF113" s="112" t="str">
        <f>ifs(BE113&lt;='Range Tables'!$G$95,'Range Tables'!$B$95,BE113&lt;='Range Tables'!$G$96,'Range Tables'!$B$96,BE113&lt;='Range Tables'!$G$97,'Range Tables'!$B$97,BE113&lt;='Range Tables'!$G$98,'Range Tables'!$B$98,BE113&lt;='Range Tables'!$G$99,'Range Tables'!$B$99,BE113&lt;='Range Tables'!$G$100,'Range Tables'!$B$100,BE113&lt;='Range Tables'!$G$101,'Range Tables'!$B$101,BE113&lt;='Range Tables'!$G$102,'Range Tables'!$B$102,BE113&lt;='Range Tables'!$G$103,'Range Tables'!$B$103)</f>
        <v>Jammu</v>
      </c>
      <c r="BG113" s="112">
        <v>0.5056901638491871</v>
      </c>
      <c r="BH113" s="113" t="str">
        <f>ifs(BG113&lt;='Range Tables'!$G$112,'Range Tables'!$B$112,BG113&lt;='Range Tables'!$G$113,'Range Tables'!$B$113,BG113&lt;='Range Tables'!$G$114,'Range Tables'!$B$114)</f>
        <v>0</v>
      </c>
      <c r="BI113" s="117">
        <v>0.7452021363428951</v>
      </c>
      <c r="BJ113" s="113" t="str">
        <f>ifs(BI113&lt;='Range Tables'!$G$118,'Range Tables'!$B$118,BI113&lt;='Range Tables'!$G$119,'Range Tables'!$B$119)</f>
        <v>Expired</v>
      </c>
    </row>
    <row r="114">
      <c r="A114" s="85">
        <v>111.0</v>
      </c>
      <c r="B114" s="112">
        <v>0.8426884179204363</v>
      </c>
      <c r="C114" s="113" t="str">
        <f>ifs(B114&lt;='Range Tables'!$G$54,'Range Tables'!$B$54,B114&lt;='Range Tables'!$G$55,'Range Tables'!$B$55,B114&lt;='Range Tables'!$G$56,'Range Tables'!$B$56,B114&lt;='Range Tables'!$G$57,'Range Tables'!$B$57,B114&lt;='Range Tables'!$G$58,'Range Tables'!$B$58,B114&lt;='Range Tables'!$G$59,'Range Tables'!$B$59,B114&lt;='Range Tables'!$G$60,'Range Tables'!$B$60,B114&lt;='Range Tables'!$G$61,'Range Tables'!$B$61,B114&lt;='Range Tables'!$G$63,'Range Tables'!$B$63,B114&lt;='Range Tables'!$G$64,'Range Tables'!$B$64,B114&lt;='Range Tables'!$G$66,'Range Tables'!$B$66)</f>
        <v>150 - 180</v>
      </c>
      <c r="D114" s="113">
        <f>IFERROR(__xludf.DUMMYFUNCTION("SPLIT(C114,""-"")"),150.0)</f>
        <v>150</v>
      </c>
      <c r="E114" s="113">
        <f>IFERROR(__xludf.DUMMYFUNCTION("""COMPUTED_VALUE"""),180.0)</f>
        <v>180</v>
      </c>
      <c r="F114" s="114">
        <f t="shared" si="40"/>
        <v>175.2806525</v>
      </c>
      <c r="G114" s="112">
        <v>0.21680734066328144</v>
      </c>
      <c r="H114" s="113" t="str">
        <f>ifs(G114&lt;='Range Tables'!$G$86,'Range Tables'!$B$86,G114&lt;='Range Tables'!$G$87,'Range Tables'!$B$87,G114&lt;='Range Tables'!$G$88,'Range Tables'!$B$88,G114&lt;='Range Tables'!$G$89,'Range Tables'!$B$89,G114&lt;='Range Tables'!$G$90,'Range Tables'!$B$90,G114&lt;='Range Tables'!$G$91,'Range Tables'!$B$91)</f>
        <v>Car</v>
      </c>
      <c r="I114" s="112">
        <v>0.8800791223229252</v>
      </c>
      <c r="J114" s="113" t="str">
        <f>IFS(
  H114="Car", IF(I114&lt;='Range Tables'!$G$19, 'Range Tables'!$B$19, 'Range Tables'!$B$20), 
  H114="Bike", IF(I114&lt;='Range Tables'!$G$25, 'Range Tables'!$B$25, 'Range Tables'!$B$26), 
  H114="Scooter", IF(I114&lt;='Range Tables'!$G$31, 'Range Tables'!$B$31, 'Range Tables'!$B$32), 
  H114="Auto", IF(I114&lt;='Range Tables'!$G$37, 'Range Tables'!$B$37, 'Range Tables'!$B$38), 
  H114="Carriers*", IF(I114&lt;='Range Tables'!$G$43, 'Range Tables'!$B$43, 'Range Tables'!$B$44), 
  H114="Van*", IF(I114&lt;='Range Tables'!$G$50, 'Range Tables'!$B$50, 'Range Tables'!$B$49)
)</f>
        <v>Petrol</v>
      </c>
      <c r="K114" s="112">
        <v>0.8487166127281867</v>
      </c>
      <c r="L114" s="113">
        <f>if(J114="Petrol",ifs(K114&lt;='Range Tables'!$G$5,'Range Tables'!$B$5,K114&lt;='Range Tables'!$G$6,'Range Tables'!$B$6,K114&lt;='Range Tables'!$G$7,'Range Tables'!$B$7),ifs(K114&lt;='Range Tables'!$G$13,'Range Tables'!$B$13,K114&lt;='Range Tables'!$G$14,'Range Tables'!$B$14))</f>
        <v>4</v>
      </c>
      <c r="M114" s="112">
        <v>0.1872673111956149</v>
      </c>
      <c r="N114" s="113" t="str">
        <f>ifs(H114="Car",ifs(M114&lt;='Range Tables'!$G$125,'Range Tables'!$B$125,M114&lt;='Range Tables'!$G$126,'Range Tables'!$B$126,M114&lt;='Range Tables'!$G$127,'Range Tables'!$B$127,M114&lt;='Range Tables'!$G$128,'Range Tables'!$B$128,M114&lt;='Range Tables'!$G$129,'Range Tables'!$B$129,'Range Tables'!$G$131,'Range Tables'!$B$131),H114="Bike",ifs(M114&lt;='Range Tables'!$G$136,'Range Tables'!$B$136,M114&lt;='Range Tables'!$G$137,'Range Tables'!$B$137,M114&lt;='Range Tables'!$G$138,'Range Tables'!$B$138,M114&lt;='Range Tables'!$G$142,'Range Tables'!$B$142),H114="Scooter",ifs(M114&lt;='Range Tables'!$G$148,'Range Tables'!$B$148,M114&lt;='Range Tables'!$G$149,'Range Tables'!$B$149,M114&lt;='Range Tables'!$G$150,'Range Tables'!$B$150,M114&lt;='Range Tables'!$G$151,'Range Tables'!$B$151),H114="Auto",ifs(M114&lt;='Range Tables'!$G$161,'Range Tables'!$B$161,M114&lt;='Range Tables'!$G$162,'Range Tables'!$B$162,M114&lt;='Range Tables'!$G$163,'Range Tables'!$B$163,M114&lt;='Range Tables'!$G$164,'Range Tables'!$B$164),H114="Carriers*",ifs(M114&lt;='Range Tables'!$G$173,'Range Tables'!$B$173,M114&lt;='Range Tables'!$G$174,'Range Tables'!$B$174,M114&lt;='Range Tables'!$G$175,'Range Tables'!$B$175,M114&lt;='Range Tables'!$G$176,'Range Tables'!$B$176,M114&lt;='Range Tables'!$G$177,'Range Tables'!$B$177,M114&lt;='Range Tables'!$G$179,'Range Tables'!$B$179),H114="Van*",ifs(M114&lt;='Range Tables'!$G$186,'Range Tables'!$B$186))</f>
        <v>60 - 120</v>
      </c>
      <c r="O114" s="113">
        <f>IFERROR(__xludf.DUMMYFUNCTION("SPLIT(N114,""-"")"),60.0)</f>
        <v>60</v>
      </c>
      <c r="P114" s="113">
        <f>IFERROR(__xludf.DUMMYFUNCTION("""COMPUTED_VALUE"""),120.0)</f>
        <v>120</v>
      </c>
      <c r="Q114" s="114">
        <f t="shared" si="2"/>
        <v>71.23603867</v>
      </c>
      <c r="R114" s="115">
        <f t="shared" si="3"/>
        <v>0.09945258098</v>
      </c>
      <c r="S114" s="114">
        <f t="shared" si="39"/>
        <v>8592.702996</v>
      </c>
      <c r="T114" s="113" t="str">
        <f t="shared" si="4"/>
        <v>no</v>
      </c>
      <c r="U114" s="115">
        <f t="shared" si="5"/>
        <v>0</v>
      </c>
      <c r="V114" s="113">
        <f t="shared" si="34"/>
        <v>0</v>
      </c>
      <c r="W114" s="115">
        <f t="shared" si="6"/>
        <v>0</v>
      </c>
      <c r="X114" s="85">
        <f t="shared" si="7"/>
        <v>0</v>
      </c>
      <c r="Y114" s="116">
        <f t="shared" si="8"/>
        <v>0</v>
      </c>
      <c r="Z114" s="113">
        <f t="shared" si="9"/>
        <v>0</v>
      </c>
      <c r="AA114" s="113" t="str">
        <f t="shared" si="10"/>
        <v>no</v>
      </c>
      <c r="AB114" s="115">
        <f t="shared" si="11"/>
        <v>0</v>
      </c>
      <c r="AC114" s="113">
        <f t="shared" si="35"/>
        <v>0</v>
      </c>
      <c r="AD114" s="116">
        <f t="shared" si="12"/>
        <v>0</v>
      </c>
      <c r="AE114" s="113">
        <f t="shared" si="13"/>
        <v>0</v>
      </c>
      <c r="AF114" s="116">
        <f t="shared" si="14"/>
        <v>0</v>
      </c>
      <c r="AG114" s="113">
        <f t="shared" si="15"/>
        <v>0</v>
      </c>
      <c r="AH114" s="113" t="str">
        <f t="shared" si="16"/>
        <v>no</v>
      </c>
      <c r="AI114" s="115">
        <f t="shared" si="17"/>
        <v>0</v>
      </c>
      <c r="AJ114" s="113">
        <f t="shared" si="36"/>
        <v>0</v>
      </c>
      <c r="AK114" s="116">
        <f t="shared" si="18"/>
        <v>0</v>
      </c>
      <c r="AL114" s="113">
        <f t="shared" si="19"/>
        <v>0</v>
      </c>
      <c r="AM114" s="115">
        <f t="shared" si="20"/>
        <v>0</v>
      </c>
      <c r="AN114" s="85">
        <f t="shared" si="21"/>
        <v>0</v>
      </c>
      <c r="AO114" s="113" t="str">
        <f t="shared" si="22"/>
        <v>yes</v>
      </c>
      <c r="AP114" s="115">
        <f t="shared" si="23"/>
        <v>0</v>
      </c>
      <c r="AQ114" s="113">
        <f t="shared" si="37"/>
        <v>0</v>
      </c>
      <c r="AR114" s="116">
        <f t="shared" si="24"/>
        <v>0.09945258098</v>
      </c>
      <c r="AS114" s="114">
        <f t="shared" si="25"/>
        <v>8592.702996</v>
      </c>
      <c r="AT114" s="116">
        <f t="shared" si="26"/>
        <v>0.1002770722</v>
      </c>
      <c r="AU114" s="114">
        <f t="shared" si="27"/>
        <v>8663.939035</v>
      </c>
      <c r="AV114" s="113" t="str">
        <f t="shared" si="28"/>
        <v>no</v>
      </c>
      <c r="AW114" s="115">
        <f t="shared" si="29"/>
        <v>0</v>
      </c>
      <c r="AX114" s="85">
        <f t="shared" si="38"/>
        <v>0</v>
      </c>
      <c r="AY114" s="116">
        <f t="shared" si="30"/>
        <v>0</v>
      </c>
      <c r="AZ114" s="113">
        <f t="shared" si="31"/>
        <v>0</v>
      </c>
      <c r="BA114" s="116">
        <f t="shared" si="32"/>
        <v>0</v>
      </c>
      <c r="BB114" s="113">
        <f t="shared" si="33"/>
        <v>0</v>
      </c>
      <c r="BC114" s="112">
        <v>0.5933833257008464</v>
      </c>
      <c r="BD114" s="113" t="str">
        <f>ifs(BC114&lt;='Range Tables'!$G$81,'Range Tables'!$B$81,BC114&lt;='Range Tables'!$G$82,'Range Tables'!$B$82)</f>
        <v>Offline*</v>
      </c>
      <c r="BE114" s="112">
        <v>0.5840557469126013</v>
      </c>
      <c r="BF114" s="112" t="str">
        <f>ifs(BE114&lt;='Range Tables'!$G$95,'Range Tables'!$B$95,BE114&lt;='Range Tables'!$G$96,'Range Tables'!$B$96,BE114&lt;='Range Tables'!$G$97,'Range Tables'!$B$97,BE114&lt;='Range Tables'!$G$98,'Range Tables'!$B$98,BE114&lt;='Range Tables'!$G$99,'Range Tables'!$B$99,BE114&lt;='Range Tables'!$G$100,'Range Tables'!$B$100,BE114&lt;='Range Tables'!$G$101,'Range Tables'!$B$101,BE114&lt;='Range Tables'!$G$102,'Range Tables'!$B$102,BE114&lt;='Range Tables'!$G$103,'Range Tables'!$B$103)</f>
        <v>Jammu</v>
      </c>
      <c r="BG114" s="112">
        <v>0.9352309288209699</v>
      </c>
      <c r="BH114" s="113" t="str">
        <f>ifs(BG114&lt;='Range Tables'!$G$112,'Range Tables'!$B$112,BG114&lt;='Range Tables'!$G$113,'Range Tables'!$B$113,BG114&lt;='Range Tables'!$G$114,'Range Tables'!$B$114)</f>
        <v>1-5</v>
      </c>
      <c r="BI114" s="117">
        <v>0.7117560479173543</v>
      </c>
      <c r="BJ114" s="113" t="str">
        <f>ifs(BI114&lt;='Range Tables'!$G$118,'Range Tables'!$B$118,BI114&lt;='Range Tables'!$G$119,'Range Tables'!$B$119)</f>
        <v>Expired</v>
      </c>
    </row>
    <row r="115">
      <c r="A115" s="85">
        <v>112.0</v>
      </c>
      <c r="B115" s="112">
        <v>0.11704419596902249</v>
      </c>
      <c r="C115" s="113" t="str">
        <f>ifs(B115&lt;='Range Tables'!$G$54,'Range Tables'!$B$54,B115&lt;='Range Tables'!$G$55,'Range Tables'!$B$55,B115&lt;='Range Tables'!$G$56,'Range Tables'!$B$56,B115&lt;='Range Tables'!$G$57,'Range Tables'!$B$57,B115&lt;='Range Tables'!$G$58,'Range Tables'!$B$58,B115&lt;='Range Tables'!$G$59,'Range Tables'!$B$59,B115&lt;='Range Tables'!$G$60,'Range Tables'!$B$60,B115&lt;='Range Tables'!$G$61,'Range Tables'!$B$61,B115&lt;='Range Tables'!$G$63,'Range Tables'!$B$63,B115&lt;='Range Tables'!$G$64,'Range Tables'!$B$64,B115&lt;='Range Tables'!$G$66,'Range Tables'!$B$66)</f>
        <v>0 - 30</v>
      </c>
      <c r="D115" s="113">
        <f>IFERROR(__xludf.DUMMYFUNCTION("SPLIT(C115,""-"")"),0.0)</f>
        <v>0</v>
      </c>
      <c r="E115" s="113">
        <f>IFERROR(__xludf.DUMMYFUNCTION("""COMPUTED_VALUE"""),30.0)</f>
        <v>30</v>
      </c>
      <c r="F115" s="114">
        <f t="shared" si="40"/>
        <v>3.511325879</v>
      </c>
      <c r="G115" s="112">
        <v>0.4398315137187202</v>
      </c>
      <c r="H115" s="113" t="str">
        <f>ifs(G115&lt;='Range Tables'!$G$86,'Range Tables'!$B$86,G115&lt;='Range Tables'!$G$87,'Range Tables'!$B$87,G115&lt;='Range Tables'!$G$88,'Range Tables'!$B$88,G115&lt;='Range Tables'!$G$89,'Range Tables'!$B$89,G115&lt;='Range Tables'!$G$90,'Range Tables'!$B$90,G115&lt;='Range Tables'!$G$91,'Range Tables'!$B$91)</f>
        <v>Car</v>
      </c>
      <c r="I115" s="112">
        <v>0.7942547675463579</v>
      </c>
      <c r="J115" s="113" t="str">
        <f>IFS(
  H115="Car", IF(I115&lt;='Range Tables'!$G$19, 'Range Tables'!$B$19, 'Range Tables'!$B$20), 
  H115="Bike", IF(I115&lt;='Range Tables'!$G$25, 'Range Tables'!$B$25, 'Range Tables'!$B$26), 
  H115="Scooter", IF(I115&lt;='Range Tables'!$G$31, 'Range Tables'!$B$31, 'Range Tables'!$B$32), 
  H115="Auto", IF(I115&lt;='Range Tables'!$G$37, 'Range Tables'!$B$37, 'Range Tables'!$B$38), 
  H115="Carriers*", IF(I115&lt;='Range Tables'!$G$43, 'Range Tables'!$B$43, 'Range Tables'!$B$44), 
  H115="Van*", IF(I115&lt;='Range Tables'!$G$50, 'Range Tables'!$B$50, 'Range Tables'!$B$49)
)</f>
        <v>Petrol</v>
      </c>
      <c r="K115" s="112">
        <v>0.397706801493083</v>
      </c>
      <c r="L115" s="113">
        <f>if(J115="Petrol",ifs(K115&lt;='Range Tables'!$G$5,'Range Tables'!$B$5,K115&lt;='Range Tables'!$G$6,'Range Tables'!$B$6,K115&lt;='Range Tables'!$G$7,'Range Tables'!$B$7),ifs(K115&lt;='Range Tables'!$G$13,'Range Tables'!$B$13,K115&lt;='Range Tables'!$G$14,'Range Tables'!$B$14))</f>
        <v>2</v>
      </c>
      <c r="M115" s="112">
        <v>0.8306539068607578</v>
      </c>
      <c r="N115" s="113" t="str">
        <f>ifs(H115="Car",ifs(M115&lt;='Range Tables'!$G$125,'Range Tables'!$B$125,M115&lt;='Range Tables'!$G$126,'Range Tables'!$B$126,M115&lt;='Range Tables'!$G$127,'Range Tables'!$B$127,M115&lt;='Range Tables'!$G$128,'Range Tables'!$B$128,M115&lt;='Range Tables'!$G$129,'Range Tables'!$B$129,'Range Tables'!$G$131,'Range Tables'!$B$131),H115="Bike",ifs(M115&lt;='Range Tables'!$G$136,'Range Tables'!$B$136,M115&lt;='Range Tables'!$G$137,'Range Tables'!$B$137,M115&lt;='Range Tables'!$G$138,'Range Tables'!$B$138,M115&lt;='Range Tables'!$G$142,'Range Tables'!$B$142),H115="Scooter",ifs(M115&lt;='Range Tables'!$G$148,'Range Tables'!$B$148,M115&lt;='Range Tables'!$G$149,'Range Tables'!$B$149,M115&lt;='Range Tables'!$G$150,'Range Tables'!$B$150,M115&lt;='Range Tables'!$G$151,'Range Tables'!$B$151),H115="Auto",ifs(M115&lt;='Range Tables'!$G$161,'Range Tables'!$B$161,M115&lt;='Range Tables'!$G$162,'Range Tables'!$B$162,M115&lt;='Range Tables'!$G$163,'Range Tables'!$B$163,M115&lt;='Range Tables'!$G$164,'Range Tables'!$B$164),H115="Carriers*",ifs(M115&lt;='Range Tables'!$G$173,'Range Tables'!$B$173,M115&lt;='Range Tables'!$G$174,'Range Tables'!$B$174,M115&lt;='Range Tables'!$G$175,'Range Tables'!$B$175,M115&lt;='Range Tables'!$G$176,'Range Tables'!$B$176,M115&lt;='Range Tables'!$G$177,'Range Tables'!$B$177,M115&lt;='Range Tables'!$G$179,'Range Tables'!$B$179),H115="Van*",ifs(M115&lt;='Range Tables'!$G$186,'Range Tables'!$B$186))</f>
        <v>180 - 240</v>
      </c>
      <c r="O115" s="113">
        <f>IFERROR(__xludf.DUMMYFUNCTION("SPLIT(N115,""-"")"),180.0)</f>
        <v>180</v>
      </c>
      <c r="P115" s="113">
        <f>IFERROR(__xludf.DUMMYFUNCTION("""COMPUTED_VALUE"""),240.0)</f>
        <v>240</v>
      </c>
      <c r="Q115" s="114">
        <f t="shared" si="2"/>
        <v>229.8392344</v>
      </c>
      <c r="R115" s="115">
        <f t="shared" si="3"/>
        <v>0.1014812922</v>
      </c>
      <c r="S115" s="114">
        <f t="shared" si="39"/>
        <v>8767.983649</v>
      </c>
      <c r="T115" s="113" t="str">
        <f t="shared" si="4"/>
        <v>no</v>
      </c>
      <c r="U115" s="115">
        <f t="shared" si="5"/>
        <v>0</v>
      </c>
      <c r="V115" s="113">
        <f t="shared" si="34"/>
        <v>0</v>
      </c>
      <c r="W115" s="115">
        <f t="shared" si="6"/>
        <v>0</v>
      </c>
      <c r="X115" s="85">
        <f t="shared" si="7"/>
        <v>0</v>
      </c>
      <c r="Y115" s="116">
        <f t="shared" si="8"/>
        <v>0</v>
      </c>
      <c r="Z115" s="113">
        <f t="shared" si="9"/>
        <v>0</v>
      </c>
      <c r="AA115" s="113" t="str">
        <f t="shared" si="10"/>
        <v>yes</v>
      </c>
      <c r="AB115" s="115">
        <f t="shared" si="11"/>
        <v>0</v>
      </c>
      <c r="AC115" s="113">
        <f t="shared" si="35"/>
        <v>0</v>
      </c>
      <c r="AD115" s="116">
        <f t="shared" si="12"/>
        <v>0.1014812922</v>
      </c>
      <c r="AE115" s="114">
        <f t="shared" si="13"/>
        <v>8767.983649</v>
      </c>
      <c r="AF115" s="116">
        <f t="shared" si="14"/>
        <v>0.1041414686</v>
      </c>
      <c r="AG115" s="114">
        <f t="shared" si="15"/>
        <v>8997.822883</v>
      </c>
      <c r="AH115" s="113" t="str">
        <f t="shared" si="16"/>
        <v>no</v>
      </c>
      <c r="AI115" s="115">
        <f t="shared" si="17"/>
        <v>0</v>
      </c>
      <c r="AJ115" s="113">
        <f t="shared" si="36"/>
        <v>0</v>
      </c>
      <c r="AK115" s="116">
        <f t="shared" si="18"/>
        <v>0</v>
      </c>
      <c r="AL115" s="113">
        <f t="shared" si="19"/>
        <v>0</v>
      </c>
      <c r="AM115" s="115">
        <f t="shared" si="20"/>
        <v>0</v>
      </c>
      <c r="AN115" s="85">
        <f t="shared" si="21"/>
        <v>0</v>
      </c>
      <c r="AO115" s="113" t="str">
        <f t="shared" si="22"/>
        <v>no</v>
      </c>
      <c r="AP115" s="115">
        <f t="shared" si="23"/>
        <v>0</v>
      </c>
      <c r="AQ115" s="113">
        <f t="shared" si="37"/>
        <v>0</v>
      </c>
      <c r="AR115" s="116">
        <f t="shared" si="24"/>
        <v>0</v>
      </c>
      <c r="AS115" s="113">
        <f t="shared" si="25"/>
        <v>0</v>
      </c>
      <c r="AT115" s="116">
        <f t="shared" si="26"/>
        <v>0</v>
      </c>
      <c r="AU115" s="113">
        <f t="shared" si="27"/>
        <v>0</v>
      </c>
      <c r="AV115" s="113" t="str">
        <f t="shared" si="28"/>
        <v>no</v>
      </c>
      <c r="AW115" s="115">
        <f t="shared" si="29"/>
        <v>0</v>
      </c>
      <c r="AX115" s="85">
        <f t="shared" si="38"/>
        <v>0</v>
      </c>
      <c r="AY115" s="116">
        <f t="shared" si="30"/>
        <v>0</v>
      </c>
      <c r="AZ115" s="113">
        <f t="shared" si="31"/>
        <v>0</v>
      </c>
      <c r="BA115" s="116">
        <f t="shared" si="32"/>
        <v>0</v>
      </c>
      <c r="BB115" s="113">
        <f t="shared" si="33"/>
        <v>0</v>
      </c>
      <c r="BC115" s="112">
        <v>0.6960896889526941</v>
      </c>
      <c r="BD115" s="113" t="str">
        <f>ifs(BC115&lt;='Range Tables'!$G$81,'Range Tables'!$B$81,BC115&lt;='Range Tables'!$G$82,'Range Tables'!$B$82)</f>
        <v>Offline*</v>
      </c>
      <c r="BE115" s="112">
        <v>0.0700042252565446</v>
      </c>
      <c r="BF115" s="112" t="str">
        <f>ifs(BE115&lt;='Range Tables'!$G$95,'Range Tables'!$B$95,BE115&lt;='Range Tables'!$G$96,'Range Tables'!$B$96,BE115&lt;='Range Tables'!$G$97,'Range Tables'!$B$97,BE115&lt;='Range Tables'!$G$98,'Range Tables'!$B$98,BE115&lt;='Range Tables'!$G$99,'Range Tables'!$B$99,BE115&lt;='Range Tables'!$G$100,'Range Tables'!$B$100,BE115&lt;='Range Tables'!$G$101,'Range Tables'!$B$101,BE115&lt;='Range Tables'!$G$102,'Range Tables'!$B$102,BE115&lt;='Range Tables'!$G$103,'Range Tables'!$B$103)</f>
        <v>Jammu</v>
      </c>
      <c r="BG115" s="112">
        <v>0.3302343724417812</v>
      </c>
      <c r="BH115" s="113" t="str">
        <f>ifs(BG115&lt;='Range Tables'!$G$112,'Range Tables'!$B$112,BG115&lt;='Range Tables'!$G$113,'Range Tables'!$B$113,BG115&lt;='Range Tables'!$G$114,'Range Tables'!$B$114)</f>
        <v>0</v>
      </c>
      <c r="BI115" s="117">
        <v>0.7537839791126842</v>
      </c>
      <c r="BJ115" s="113" t="str">
        <f>ifs(BI115&lt;='Range Tables'!$G$118,'Range Tables'!$B$118,BI115&lt;='Range Tables'!$G$119,'Range Tables'!$B$119)</f>
        <v>Expired</v>
      </c>
    </row>
    <row r="116">
      <c r="A116" s="85">
        <v>113.0</v>
      </c>
      <c r="B116" s="112">
        <v>0.5195335395192309</v>
      </c>
      <c r="C116" s="113" t="str">
        <f>ifs(B116&lt;='Range Tables'!$G$54,'Range Tables'!$B$54,B116&lt;='Range Tables'!$G$55,'Range Tables'!$B$55,B116&lt;='Range Tables'!$G$56,'Range Tables'!$B$56,B116&lt;='Range Tables'!$G$57,'Range Tables'!$B$57,B116&lt;='Range Tables'!$G$58,'Range Tables'!$B$58,B116&lt;='Range Tables'!$G$59,'Range Tables'!$B$59,B116&lt;='Range Tables'!$G$60,'Range Tables'!$B$60,B116&lt;='Range Tables'!$G$61,'Range Tables'!$B$61,B116&lt;='Range Tables'!$G$63,'Range Tables'!$B$63,B116&lt;='Range Tables'!$G$64,'Range Tables'!$B$64,B116&lt;='Range Tables'!$G$66,'Range Tables'!$B$66)</f>
        <v>30 - 60 </v>
      </c>
      <c r="D116" s="113">
        <f>IFERROR(__xludf.DUMMYFUNCTION("SPLIT(C116,""-"")"),30.0)</f>
        <v>30</v>
      </c>
      <c r="E116" s="113">
        <f>IFERROR(__xludf.DUMMYFUNCTION("""COMPUTED_VALUE"""),60.0)</f>
        <v>60</v>
      </c>
      <c r="F116" s="114">
        <f t="shared" si="40"/>
        <v>45.58600619</v>
      </c>
      <c r="G116" s="112">
        <v>0.17991929004842488</v>
      </c>
      <c r="H116" s="113" t="str">
        <f>ifs(G116&lt;='Range Tables'!$G$86,'Range Tables'!$B$86,G116&lt;='Range Tables'!$G$87,'Range Tables'!$B$87,G116&lt;='Range Tables'!$G$88,'Range Tables'!$B$88,G116&lt;='Range Tables'!$G$89,'Range Tables'!$B$89,G116&lt;='Range Tables'!$G$90,'Range Tables'!$B$90,G116&lt;='Range Tables'!$G$91,'Range Tables'!$B$91)</f>
        <v>Car</v>
      </c>
      <c r="I116" s="112">
        <v>0.9059271417830657</v>
      </c>
      <c r="J116" s="113" t="str">
        <f>IFS(
  H116="Car", IF(I116&lt;='Range Tables'!$G$19, 'Range Tables'!$B$19, 'Range Tables'!$B$20), 
  H116="Bike", IF(I116&lt;='Range Tables'!$G$25, 'Range Tables'!$B$25, 'Range Tables'!$B$26), 
  H116="Scooter", IF(I116&lt;='Range Tables'!$G$31, 'Range Tables'!$B$31, 'Range Tables'!$B$32), 
  H116="Auto", IF(I116&lt;='Range Tables'!$G$37, 'Range Tables'!$B$37, 'Range Tables'!$B$38), 
  H116="Carriers*", IF(I116&lt;='Range Tables'!$G$43, 'Range Tables'!$B$43, 'Range Tables'!$B$44), 
  H116="Van*", IF(I116&lt;='Range Tables'!$G$50, 'Range Tables'!$B$50, 'Range Tables'!$B$49)
)</f>
        <v>Diesel</v>
      </c>
      <c r="K116" s="112">
        <v>0.4321827848190879</v>
      </c>
      <c r="L116" s="113">
        <f>if(J116="Petrol",ifs(K116&lt;='Range Tables'!$G$5,'Range Tables'!$B$5,K116&lt;='Range Tables'!$G$6,'Range Tables'!$B$6,K116&lt;='Range Tables'!$G$7,'Range Tables'!$B$7),ifs(K116&lt;='Range Tables'!$G$13,'Range Tables'!$B$13,K116&lt;='Range Tables'!$G$14,'Range Tables'!$B$14))</f>
        <v>1</v>
      </c>
      <c r="M116" s="112">
        <v>0.3968779730999362</v>
      </c>
      <c r="N116" s="113" t="str">
        <f>ifs(H116="Car",ifs(M116&lt;='Range Tables'!$G$125,'Range Tables'!$B$125,M116&lt;='Range Tables'!$G$126,'Range Tables'!$B$126,M116&lt;='Range Tables'!$G$127,'Range Tables'!$B$127,M116&lt;='Range Tables'!$G$128,'Range Tables'!$B$128,M116&lt;='Range Tables'!$G$129,'Range Tables'!$B$129,'Range Tables'!$G$131,'Range Tables'!$B$131),H116="Bike",ifs(M116&lt;='Range Tables'!$G$136,'Range Tables'!$B$136,M116&lt;='Range Tables'!$G$137,'Range Tables'!$B$137,M116&lt;='Range Tables'!$G$138,'Range Tables'!$B$138,M116&lt;='Range Tables'!$G$142,'Range Tables'!$B$142),H116="Scooter",ifs(M116&lt;='Range Tables'!$G$148,'Range Tables'!$B$148,M116&lt;='Range Tables'!$G$149,'Range Tables'!$B$149,M116&lt;='Range Tables'!$G$150,'Range Tables'!$B$150,M116&lt;='Range Tables'!$G$151,'Range Tables'!$B$151),H116="Auto",ifs(M116&lt;='Range Tables'!$G$161,'Range Tables'!$B$161,M116&lt;='Range Tables'!$G$162,'Range Tables'!$B$162,M116&lt;='Range Tables'!$G$163,'Range Tables'!$B$163,M116&lt;='Range Tables'!$G$164,'Range Tables'!$B$164),H116="Carriers*",ifs(M116&lt;='Range Tables'!$G$173,'Range Tables'!$B$173,M116&lt;='Range Tables'!$G$174,'Range Tables'!$B$174,M116&lt;='Range Tables'!$G$175,'Range Tables'!$B$175,M116&lt;='Range Tables'!$G$176,'Range Tables'!$B$176,M116&lt;='Range Tables'!$G$177,'Range Tables'!$B$177,M116&lt;='Range Tables'!$G$179,'Range Tables'!$B$179),H116="Van*",ifs(M116&lt;='Range Tables'!$G$186,'Range Tables'!$B$186))</f>
        <v>60 - 120</v>
      </c>
      <c r="O116" s="113">
        <f>IFERROR(__xludf.DUMMYFUNCTION("SPLIT(N116,""-"")"),60.0)</f>
        <v>60</v>
      </c>
      <c r="P116" s="113">
        <f>IFERROR(__xludf.DUMMYFUNCTION("""COMPUTED_VALUE"""),120.0)</f>
        <v>120</v>
      </c>
      <c r="Q116" s="114">
        <f t="shared" si="2"/>
        <v>83.81267839</v>
      </c>
      <c r="R116" s="115">
        <f t="shared" si="3"/>
        <v>0.1015219326</v>
      </c>
      <c r="S116" s="114">
        <f t="shared" si="39"/>
        <v>8771.494975</v>
      </c>
      <c r="T116" s="113" t="str">
        <f t="shared" si="4"/>
        <v>yes</v>
      </c>
      <c r="U116" s="115">
        <f t="shared" si="5"/>
        <v>0</v>
      </c>
      <c r="V116" s="113">
        <f t="shared" si="34"/>
        <v>0</v>
      </c>
      <c r="W116" s="115">
        <f t="shared" si="6"/>
        <v>0.1015219326</v>
      </c>
      <c r="X116" s="118">
        <f t="shared" si="7"/>
        <v>8771.494975</v>
      </c>
      <c r="Y116" s="116">
        <f t="shared" si="8"/>
        <v>0.1024919867</v>
      </c>
      <c r="Z116" s="114">
        <f t="shared" si="9"/>
        <v>8855.307653</v>
      </c>
      <c r="AA116" s="113" t="str">
        <f t="shared" si="10"/>
        <v>no</v>
      </c>
      <c r="AB116" s="115">
        <f t="shared" si="11"/>
        <v>0</v>
      </c>
      <c r="AC116" s="113">
        <f t="shared" si="35"/>
        <v>0</v>
      </c>
      <c r="AD116" s="116">
        <f t="shared" si="12"/>
        <v>0</v>
      </c>
      <c r="AE116" s="113">
        <f t="shared" si="13"/>
        <v>0</v>
      </c>
      <c r="AF116" s="116">
        <f t="shared" si="14"/>
        <v>0</v>
      </c>
      <c r="AG116" s="113">
        <f t="shared" si="15"/>
        <v>0</v>
      </c>
      <c r="AH116" s="113" t="str">
        <f t="shared" si="16"/>
        <v>no</v>
      </c>
      <c r="AI116" s="115">
        <f t="shared" si="17"/>
        <v>0</v>
      </c>
      <c r="AJ116" s="113">
        <f t="shared" si="36"/>
        <v>0</v>
      </c>
      <c r="AK116" s="116">
        <f t="shared" si="18"/>
        <v>0</v>
      </c>
      <c r="AL116" s="113">
        <f t="shared" si="19"/>
        <v>0</v>
      </c>
      <c r="AM116" s="115">
        <f t="shared" si="20"/>
        <v>0</v>
      </c>
      <c r="AN116" s="85">
        <f t="shared" si="21"/>
        <v>0</v>
      </c>
      <c r="AO116" s="113" t="str">
        <f t="shared" si="22"/>
        <v>no</v>
      </c>
      <c r="AP116" s="115">
        <f t="shared" si="23"/>
        <v>0</v>
      </c>
      <c r="AQ116" s="113">
        <f t="shared" si="37"/>
        <v>0</v>
      </c>
      <c r="AR116" s="116">
        <f t="shared" si="24"/>
        <v>0</v>
      </c>
      <c r="AS116" s="113">
        <f t="shared" si="25"/>
        <v>0</v>
      </c>
      <c r="AT116" s="116">
        <f t="shared" si="26"/>
        <v>0</v>
      </c>
      <c r="AU116" s="113">
        <f t="shared" si="27"/>
        <v>0</v>
      </c>
      <c r="AV116" s="113" t="str">
        <f t="shared" si="28"/>
        <v>no</v>
      </c>
      <c r="AW116" s="115">
        <f t="shared" si="29"/>
        <v>0</v>
      </c>
      <c r="AX116" s="85">
        <f t="shared" si="38"/>
        <v>0</v>
      </c>
      <c r="AY116" s="116">
        <f t="shared" si="30"/>
        <v>0</v>
      </c>
      <c r="AZ116" s="113">
        <f t="shared" si="31"/>
        <v>0</v>
      </c>
      <c r="BA116" s="116">
        <f t="shared" si="32"/>
        <v>0</v>
      </c>
      <c r="BB116" s="113">
        <f t="shared" si="33"/>
        <v>0</v>
      </c>
      <c r="BC116" s="112">
        <v>0.8481998161032468</v>
      </c>
      <c r="BD116" s="113" t="str">
        <f>ifs(BC116&lt;='Range Tables'!$G$81,'Range Tables'!$B$81,BC116&lt;='Range Tables'!$G$82,'Range Tables'!$B$82)</f>
        <v>Offline*</v>
      </c>
      <c r="BE116" s="112">
        <v>0.827272745452764</v>
      </c>
      <c r="BF116" s="112" t="str">
        <f>ifs(BE116&lt;='Range Tables'!$G$95,'Range Tables'!$B$95,BE116&lt;='Range Tables'!$G$96,'Range Tables'!$B$96,BE116&lt;='Range Tables'!$G$97,'Range Tables'!$B$97,BE116&lt;='Range Tables'!$G$98,'Range Tables'!$B$98,BE116&lt;='Range Tables'!$G$99,'Range Tables'!$B$99,BE116&lt;='Range Tables'!$G$100,'Range Tables'!$B$100,BE116&lt;='Range Tables'!$G$101,'Range Tables'!$B$101,BE116&lt;='Range Tables'!$G$102,'Range Tables'!$B$102,BE116&lt;='Range Tables'!$G$103,'Range Tables'!$B$103)</f>
        <v>Udhampur</v>
      </c>
      <c r="BG116" s="112">
        <v>0.09154703022604316</v>
      </c>
      <c r="BH116" s="113" t="str">
        <f>ifs(BG116&lt;='Range Tables'!$G$112,'Range Tables'!$B$112,BG116&lt;='Range Tables'!$G$113,'Range Tables'!$B$113,BG116&lt;='Range Tables'!$G$114,'Range Tables'!$B$114)</f>
        <v>0</v>
      </c>
      <c r="BI116" s="117">
        <v>0.868631096469959</v>
      </c>
      <c r="BJ116" s="113" t="str">
        <f>ifs(BI116&lt;='Range Tables'!$G$118,'Range Tables'!$B$118,BI116&lt;='Range Tables'!$G$119,'Range Tables'!$B$119)</f>
        <v>Expired</v>
      </c>
    </row>
    <row r="117">
      <c r="A117" s="85">
        <v>114.0</v>
      </c>
      <c r="B117" s="112">
        <v>0.4500594549569402</v>
      </c>
      <c r="C117" s="113" t="str">
        <f>ifs(B117&lt;='Range Tables'!$G$54,'Range Tables'!$B$54,B117&lt;='Range Tables'!$G$55,'Range Tables'!$B$55,B117&lt;='Range Tables'!$G$56,'Range Tables'!$B$56,B117&lt;='Range Tables'!$G$57,'Range Tables'!$B$57,B117&lt;='Range Tables'!$G$58,'Range Tables'!$B$58,B117&lt;='Range Tables'!$G$59,'Range Tables'!$B$59,B117&lt;='Range Tables'!$G$60,'Range Tables'!$B$60,B117&lt;='Range Tables'!$G$61,'Range Tables'!$B$61,B117&lt;='Range Tables'!$G$63,'Range Tables'!$B$63,B117&lt;='Range Tables'!$G$64,'Range Tables'!$B$64,B117&lt;='Range Tables'!$G$66,'Range Tables'!$B$66)</f>
        <v>30 - 60 </v>
      </c>
      <c r="D117" s="113">
        <f>IFERROR(__xludf.DUMMYFUNCTION("SPLIT(C117,""-"")"),30.0)</f>
        <v>30</v>
      </c>
      <c r="E117" s="113">
        <f>IFERROR(__xludf.DUMMYFUNCTION("""COMPUTED_VALUE"""),60.0)</f>
        <v>60</v>
      </c>
      <c r="F117" s="114">
        <f t="shared" si="40"/>
        <v>43.50178365</v>
      </c>
      <c r="G117" s="112">
        <v>0.8435016513073631</v>
      </c>
      <c r="H117" s="113" t="str">
        <f>ifs(G117&lt;='Range Tables'!$G$86,'Range Tables'!$B$86,G117&lt;='Range Tables'!$G$87,'Range Tables'!$B$87,G117&lt;='Range Tables'!$G$88,'Range Tables'!$B$88,G117&lt;='Range Tables'!$G$89,'Range Tables'!$B$89,G117&lt;='Range Tables'!$G$90,'Range Tables'!$B$90,G117&lt;='Range Tables'!$G$91,'Range Tables'!$B$91)</f>
        <v>Auto</v>
      </c>
      <c r="I117" s="112">
        <v>0.8703508403681597</v>
      </c>
      <c r="J117" s="113" t="str">
        <f>IFS(
  H117="Car", IF(I117&lt;='Range Tables'!$G$19, 'Range Tables'!$B$19, 'Range Tables'!$B$20), 
  H117="Bike", IF(I117&lt;='Range Tables'!$G$25, 'Range Tables'!$B$25, 'Range Tables'!$B$26), 
  H117="Scooter", IF(I117&lt;='Range Tables'!$G$31, 'Range Tables'!$B$31, 'Range Tables'!$B$32), 
  H117="Auto", IF(I117&lt;='Range Tables'!$G$37, 'Range Tables'!$B$37, 'Range Tables'!$B$38), 
  H117="Carriers*", IF(I117&lt;='Range Tables'!$G$43, 'Range Tables'!$B$43, 'Range Tables'!$B$44), 
  H117="Van*", IF(I117&lt;='Range Tables'!$G$50, 'Range Tables'!$B$50, 'Range Tables'!$B$49)
)</f>
        <v>Diesel</v>
      </c>
      <c r="K117" s="112">
        <v>0.39962000341423976</v>
      </c>
      <c r="L117" s="113">
        <f>if(J117="Petrol",ifs(K117&lt;='Range Tables'!$G$5,'Range Tables'!$B$5,K117&lt;='Range Tables'!$G$6,'Range Tables'!$B$6,K117&lt;='Range Tables'!$G$7,'Range Tables'!$B$7),ifs(K117&lt;='Range Tables'!$G$13,'Range Tables'!$B$13,K117&lt;='Range Tables'!$G$14,'Range Tables'!$B$14))</f>
        <v>1</v>
      </c>
      <c r="M117" s="112">
        <v>0.9645926093109162</v>
      </c>
      <c r="N117" s="113" t="str">
        <f>ifs(H117="Car",ifs(M117&lt;='Range Tables'!$G$125,'Range Tables'!$B$125,M117&lt;='Range Tables'!$G$126,'Range Tables'!$B$126,M117&lt;='Range Tables'!$G$127,'Range Tables'!$B$127,M117&lt;='Range Tables'!$G$128,'Range Tables'!$B$128,M117&lt;='Range Tables'!$G$129,'Range Tables'!$B$129,'Range Tables'!$G$131,'Range Tables'!$B$131),H117="Bike",ifs(M117&lt;='Range Tables'!$G$136,'Range Tables'!$B$136,M117&lt;='Range Tables'!$G$137,'Range Tables'!$B$137,M117&lt;='Range Tables'!$G$138,'Range Tables'!$B$138,M117&lt;='Range Tables'!$G$142,'Range Tables'!$B$142),H117="Scooter",ifs(M117&lt;='Range Tables'!$G$148,'Range Tables'!$B$148,M117&lt;='Range Tables'!$G$149,'Range Tables'!$B$149,M117&lt;='Range Tables'!$G$150,'Range Tables'!$B$150,M117&lt;='Range Tables'!$G$151,'Range Tables'!$B$151),H117="Auto",ifs(M117&lt;='Range Tables'!$G$161,'Range Tables'!$B$161,M117&lt;='Range Tables'!$G$162,'Range Tables'!$B$162,M117&lt;='Range Tables'!$G$163,'Range Tables'!$B$163,M117&lt;='Range Tables'!$G$164,'Range Tables'!$B$164),H117="Carriers*",ifs(M117&lt;='Range Tables'!$G$173,'Range Tables'!$B$173,M117&lt;='Range Tables'!$G$174,'Range Tables'!$B$174,M117&lt;='Range Tables'!$G$175,'Range Tables'!$B$175,M117&lt;='Range Tables'!$G$176,'Range Tables'!$B$176,M117&lt;='Range Tables'!$G$177,'Range Tables'!$B$177,M117&lt;='Range Tables'!$G$179,'Range Tables'!$B$179),H117="Van*",ifs(M117&lt;='Range Tables'!$G$186,'Range Tables'!$B$186))</f>
        <v>240 - 300</v>
      </c>
      <c r="O117" s="113">
        <f>IFERROR(__xludf.DUMMYFUNCTION("SPLIT(N117,""-"")"),240.0)</f>
        <v>240</v>
      </c>
      <c r="P117" s="113">
        <f>IFERROR(__xludf.DUMMYFUNCTION("""COMPUTED_VALUE"""),300.0)</f>
        <v>300</v>
      </c>
      <c r="Q117" s="114">
        <f t="shared" si="2"/>
        <v>297.8755566</v>
      </c>
      <c r="R117" s="115">
        <f t="shared" si="3"/>
        <v>0.1020495484</v>
      </c>
      <c r="S117" s="114">
        <f t="shared" si="39"/>
        <v>8817.080981</v>
      </c>
      <c r="T117" s="113" t="str">
        <f t="shared" si="4"/>
        <v>yes</v>
      </c>
      <c r="U117" s="119">
        <f t="shared" si="5"/>
        <v>0.0004424383357</v>
      </c>
      <c r="V117" s="114">
        <f t="shared" si="34"/>
        <v>38.2266722</v>
      </c>
      <c r="W117" s="115">
        <f t="shared" si="6"/>
        <v>0.1024919867</v>
      </c>
      <c r="X117" s="118">
        <f t="shared" si="7"/>
        <v>8855.307653</v>
      </c>
      <c r="Y117" s="116">
        <f t="shared" si="8"/>
        <v>0.1059396205</v>
      </c>
      <c r="Z117" s="114">
        <f t="shared" si="9"/>
        <v>9153.18321</v>
      </c>
      <c r="AA117" s="113" t="str">
        <f t="shared" si="10"/>
        <v>no</v>
      </c>
      <c r="AB117" s="115">
        <f t="shared" si="11"/>
        <v>0</v>
      </c>
      <c r="AC117" s="113">
        <f t="shared" si="35"/>
        <v>0</v>
      </c>
      <c r="AD117" s="116">
        <f t="shared" si="12"/>
        <v>0</v>
      </c>
      <c r="AE117" s="113">
        <f t="shared" si="13"/>
        <v>0</v>
      </c>
      <c r="AF117" s="116">
        <f t="shared" si="14"/>
        <v>0</v>
      </c>
      <c r="AG117" s="113">
        <f t="shared" si="15"/>
        <v>0</v>
      </c>
      <c r="AH117" s="113" t="str">
        <f t="shared" si="16"/>
        <v>no</v>
      </c>
      <c r="AI117" s="115">
        <f t="shared" si="17"/>
        <v>0</v>
      </c>
      <c r="AJ117" s="113">
        <f t="shared" si="36"/>
        <v>0</v>
      </c>
      <c r="AK117" s="116">
        <f t="shared" si="18"/>
        <v>0</v>
      </c>
      <c r="AL117" s="113">
        <f t="shared" si="19"/>
        <v>0</v>
      </c>
      <c r="AM117" s="115">
        <f t="shared" si="20"/>
        <v>0</v>
      </c>
      <c r="AN117" s="85">
        <f t="shared" si="21"/>
        <v>0</v>
      </c>
      <c r="AO117" s="113" t="str">
        <f t="shared" si="22"/>
        <v>no</v>
      </c>
      <c r="AP117" s="115">
        <f t="shared" si="23"/>
        <v>0</v>
      </c>
      <c r="AQ117" s="113">
        <f t="shared" si="37"/>
        <v>0</v>
      </c>
      <c r="AR117" s="116">
        <f t="shared" si="24"/>
        <v>0</v>
      </c>
      <c r="AS117" s="113">
        <f t="shared" si="25"/>
        <v>0</v>
      </c>
      <c r="AT117" s="116">
        <f t="shared" si="26"/>
        <v>0</v>
      </c>
      <c r="AU117" s="113">
        <f t="shared" si="27"/>
        <v>0</v>
      </c>
      <c r="AV117" s="113" t="str">
        <f t="shared" si="28"/>
        <v>no</v>
      </c>
      <c r="AW117" s="115">
        <f t="shared" si="29"/>
        <v>0</v>
      </c>
      <c r="AX117" s="85">
        <f t="shared" si="38"/>
        <v>0</v>
      </c>
      <c r="AY117" s="116">
        <f t="shared" si="30"/>
        <v>0</v>
      </c>
      <c r="AZ117" s="113">
        <f t="shared" si="31"/>
        <v>0</v>
      </c>
      <c r="BA117" s="116">
        <f t="shared" si="32"/>
        <v>0</v>
      </c>
      <c r="BB117" s="113">
        <f t="shared" si="33"/>
        <v>0</v>
      </c>
      <c r="BC117" s="112">
        <v>0.08150215011369899</v>
      </c>
      <c r="BD117" s="113" t="str">
        <f>ifs(BC117&lt;='Range Tables'!$G$81,'Range Tables'!$B$81,BC117&lt;='Range Tables'!$G$82,'Range Tables'!$B$82)</f>
        <v>Online*</v>
      </c>
      <c r="BE117" s="112">
        <v>0.15877243011270203</v>
      </c>
      <c r="BF117" s="112" t="str">
        <f>ifs(BE117&lt;='Range Tables'!$G$95,'Range Tables'!$B$95,BE117&lt;='Range Tables'!$G$96,'Range Tables'!$B$96,BE117&lt;='Range Tables'!$G$97,'Range Tables'!$B$97,BE117&lt;='Range Tables'!$G$98,'Range Tables'!$B$98,BE117&lt;='Range Tables'!$G$99,'Range Tables'!$B$99,BE117&lt;='Range Tables'!$G$100,'Range Tables'!$B$100,BE117&lt;='Range Tables'!$G$101,'Range Tables'!$B$101,BE117&lt;='Range Tables'!$G$102,'Range Tables'!$B$102,BE117&lt;='Range Tables'!$G$103,'Range Tables'!$B$103)</f>
        <v>Jammu</v>
      </c>
      <c r="BG117" s="112">
        <v>0.38130254113620476</v>
      </c>
      <c r="BH117" s="113" t="str">
        <f>ifs(BG117&lt;='Range Tables'!$G$112,'Range Tables'!$B$112,BG117&lt;='Range Tables'!$G$113,'Range Tables'!$B$113,BG117&lt;='Range Tables'!$G$114,'Range Tables'!$B$114)</f>
        <v>0</v>
      </c>
      <c r="BI117" s="117">
        <v>0.8258228307933526</v>
      </c>
      <c r="BJ117" s="113" t="str">
        <f>ifs(BI117&lt;='Range Tables'!$G$118,'Range Tables'!$B$118,BI117&lt;='Range Tables'!$G$119,'Range Tables'!$B$119)</f>
        <v>Expired</v>
      </c>
    </row>
    <row r="118">
      <c r="A118" s="85">
        <v>115.0</v>
      </c>
      <c r="B118" s="112">
        <v>0.6807021415627945</v>
      </c>
      <c r="C118" s="113" t="str">
        <f>ifs(B118&lt;='Range Tables'!$G$54,'Range Tables'!$B$54,B118&lt;='Range Tables'!$G$55,'Range Tables'!$B$55,B118&lt;='Range Tables'!$G$56,'Range Tables'!$B$56,B118&lt;='Range Tables'!$G$57,'Range Tables'!$B$57,B118&lt;='Range Tables'!$G$58,'Range Tables'!$B$58,B118&lt;='Range Tables'!$G$59,'Range Tables'!$B$59,B118&lt;='Range Tables'!$G$60,'Range Tables'!$B$60,B118&lt;='Range Tables'!$G$61,'Range Tables'!$B$61,B118&lt;='Range Tables'!$G$63,'Range Tables'!$B$63,B118&lt;='Range Tables'!$G$64,'Range Tables'!$B$64,B118&lt;='Range Tables'!$G$66,'Range Tables'!$B$66)</f>
        <v>60 - 90</v>
      </c>
      <c r="D118" s="113">
        <f>IFERROR(__xludf.DUMMYFUNCTION("SPLIT(C118,""-"")"),60.0)</f>
        <v>60</v>
      </c>
      <c r="E118" s="113">
        <f>IFERROR(__xludf.DUMMYFUNCTION("""COMPUTED_VALUE"""),90.0)</f>
        <v>90</v>
      </c>
      <c r="F118" s="114">
        <f t="shared" si="40"/>
        <v>80.42106425</v>
      </c>
      <c r="G118" s="112">
        <v>0.04604571603667962</v>
      </c>
      <c r="H118" s="113" t="str">
        <f>ifs(G118&lt;='Range Tables'!$G$86,'Range Tables'!$B$86,G118&lt;='Range Tables'!$G$87,'Range Tables'!$B$87,G118&lt;='Range Tables'!$G$88,'Range Tables'!$B$88,G118&lt;='Range Tables'!$G$89,'Range Tables'!$B$89,G118&lt;='Range Tables'!$G$90,'Range Tables'!$B$90,G118&lt;='Range Tables'!$G$91,'Range Tables'!$B$91)</f>
        <v>Car</v>
      </c>
      <c r="I118" s="112">
        <v>0.11829238655342189</v>
      </c>
      <c r="J118" s="113" t="str">
        <f>IFS(
  H118="Car", IF(I118&lt;='Range Tables'!$G$19, 'Range Tables'!$B$19, 'Range Tables'!$B$20), 
  H118="Bike", IF(I118&lt;='Range Tables'!$G$25, 'Range Tables'!$B$25, 'Range Tables'!$B$26), 
  H118="Scooter", IF(I118&lt;='Range Tables'!$G$31, 'Range Tables'!$B$31, 'Range Tables'!$B$32), 
  H118="Auto", IF(I118&lt;='Range Tables'!$G$37, 'Range Tables'!$B$37, 'Range Tables'!$B$38), 
  H118="Carriers*", IF(I118&lt;='Range Tables'!$G$43, 'Range Tables'!$B$43, 'Range Tables'!$B$44), 
  H118="Van*", IF(I118&lt;='Range Tables'!$G$50, 'Range Tables'!$B$50, 'Range Tables'!$B$49)
)</f>
        <v>Petrol</v>
      </c>
      <c r="K118" s="112">
        <v>0.9088768192818393</v>
      </c>
      <c r="L118" s="113">
        <f>if(J118="Petrol",ifs(K118&lt;='Range Tables'!$G$5,'Range Tables'!$B$5,K118&lt;='Range Tables'!$G$6,'Range Tables'!$B$6,K118&lt;='Range Tables'!$G$7,'Range Tables'!$B$7),ifs(K118&lt;='Range Tables'!$G$13,'Range Tables'!$B$13,K118&lt;='Range Tables'!$G$14,'Range Tables'!$B$14))</f>
        <v>4</v>
      </c>
      <c r="M118" s="112">
        <v>0.5445649799772768</v>
      </c>
      <c r="N118" s="113" t="str">
        <f>ifs(H118="Car",ifs(M118&lt;='Range Tables'!$G$125,'Range Tables'!$B$125,M118&lt;='Range Tables'!$G$126,'Range Tables'!$B$126,M118&lt;='Range Tables'!$G$127,'Range Tables'!$B$127,M118&lt;='Range Tables'!$G$128,'Range Tables'!$B$128,M118&lt;='Range Tables'!$G$129,'Range Tables'!$B$129,'Range Tables'!$G$131,'Range Tables'!$B$131),H118="Bike",ifs(M118&lt;='Range Tables'!$G$136,'Range Tables'!$B$136,M118&lt;='Range Tables'!$G$137,'Range Tables'!$B$137,M118&lt;='Range Tables'!$G$138,'Range Tables'!$B$138,M118&lt;='Range Tables'!$G$142,'Range Tables'!$B$142),H118="Scooter",ifs(M118&lt;='Range Tables'!$G$148,'Range Tables'!$B$148,M118&lt;='Range Tables'!$G$149,'Range Tables'!$B$149,M118&lt;='Range Tables'!$G$150,'Range Tables'!$B$150,M118&lt;='Range Tables'!$G$151,'Range Tables'!$B$151),H118="Auto",ifs(M118&lt;='Range Tables'!$G$161,'Range Tables'!$B$161,M118&lt;='Range Tables'!$G$162,'Range Tables'!$B$162,M118&lt;='Range Tables'!$G$163,'Range Tables'!$B$163,M118&lt;='Range Tables'!$G$164,'Range Tables'!$B$164),H118="Carriers*",ifs(M118&lt;='Range Tables'!$G$173,'Range Tables'!$B$173,M118&lt;='Range Tables'!$G$174,'Range Tables'!$B$174,M118&lt;='Range Tables'!$G$175,'Range Tables'!$B$175,M118&lt;='Range Tables'!$G$176,'Range Tables'!$B$176,M118&lt;='Range Tables'!$G$177,'Range Tables'!$B$177,M118&lt;='Range Tables'!$G$179,'Range Tables'!$B$179),H118="Van*",ifs(M118&lt;='Range Tables'!$G$186,'Range Tables'!$B$186))</f>
        <v>120 - 180</v>
      </c>
      <c r="O118" s="113">
        <f>IFERROR(__xludf.DUMMYFUNCTION("SPLIT(N118,""-"")"),120.0)</f>
        <v>120</v>
      </c>
      <c r="P118" s="113">
        <f>IFERROR(__xludf.DUMMYFUNCTION("""COMPUTED_VALUE"""),180.0)</f>
        <v>180</v>
      </c>
      <c r="Q118" s="114">
        <f t="shared" si="2"/>
        <v>152.6738988</v>
      </c>
      <c r="R118" s="115">
        <f t="shared" si="3"/>
        <v>0.1025530413</v>
      </c>
      <c r="S118" s="114">
        <f t="shared" si="39"/>
        <v>8860.582765</v>
      </c>
      <c r="T118" s="113" t="str">
        <f t="shared" si="4"/>
        <v>no</v>
      </c>
      <c r="U118" s="115">
        <f t="shared" si="5"/>
        <v>0</v>
      </c>
      <c r="V118" s="113">
        <f t="shared" si="34"/>
        <v>0</v>
      </c>
      <c r="W118" s="115">
        <f t="shared" si="6"/>
        <v>0</v>
      </c>
      <c r="X118" s="85">
        <f t="shared" si="7"/>
        <v>0</v>
      </c>
      <c r="Y118" s="116">
        <f t="shared" si="8"/>
        <v>0</v>
      </c>
      <c r="Z118" s="113">
        <f t="shared" si="9"/>
        <v>0</v>
      </c>
      <c r="AA118" s="113" t="str">
        <f t="shared" si="10"/>
        <v>no</v>
      </c>
      <c r="AB118" s="115">
        <f t="shared" si="11"/>
        <v>0</v>
      </c>
      <c r="AC118" s="113">
        <f t="shared" si="35"/>
        <v>0</v>
      </c>
      <c r="AD118" s="116">
        <f t="shared" si="12"/>
        <v>0</v>
      </c>
      <c r="AE118" s="113">
        <f t="shared" si="13"/>
        <v>0</v>
      </c>
      <c r="AF118" s="116">
        <f t="shared" si="14"/>
        <v>0</v>
      </c>
      <c r="AG118" s="113">
        <f t="shared" si="15"/>
        <v>0</v>
      </c>
      <c r="AH118" s="113" t="str">
        <f t="shared" si="16"/>
        <v>no</v>
      </c>
      <c r="AI118" s="115">
        <f t="shared" si="17"/>
        <v>0</v>
      </c>
      <c r="AJ118" s="113">
        <f t="shared" si="36"/>
        <v>0</v>
      </c>
      <c r="AK118" s="116">
        <f t="shared" si="18"/>
        <v>0</v>
      </c>
      <c r="AL118" s="113">
        <f t="shared" si="19"/>
        <v>0</v>
      </c>
      <c r="AM118" s="115">
        <f t="shared" si="20"/>
        <v>0</v>
      </c>
      <c r="AN118" s="85">
        <f t="shared" si="21"/>
        <v>0</v>
      </c>
      <c r="AO118" s="113" t="str">
        <f t="shared" si="22"/>
        <v>yes</v>
      </c>
      <c r="AP118" s="115">
        <f t="shared" si="23"/>
        <v>0</v>
      </c>
      <c r="AQ118" s="113">
        <f t="shared" si="37"/>
        <v>0</v>
      </c>
      <c r="AR118" s="116">
        <f t="shared" si="24"/>
        <v>0.1025530413</v>
      </c>
      <c r="AS118" s="114">
        <f t="shared" si="25"/>
        <v>8860.582765</v>
      </c>
      <c r="AT118" s="116">
        <f t="shared" si="26"/>
        <v>0.1043201003</v>
      </c>
      <c r="AU118" s="114">
        <f t="shared" si="27"/>
        <v>9013.256663</v>
      </c>
      <c r="AV118" s="113" t="str">
        <f t="shared" si="28"/>
        <v>no</v>
      </c>
      <c r="AW118" s="115">
        <f t="shared" si="29"/>
        <v>0</v>
      </c>
      <c r="AX118" s="85">
        <f t="shared" si="38"/>
        <v>0</v>
      </c>
      <c r="AY118" s="116">
        <f t="shared" si="30"/>
        <v>0</v>
      </c>
      <c r="AZ118" s="113">
        <f t="shared" si="31"/>
        <v>0</v>
      </c>
      <c r="BA118" s="116">
        <f t="shared" si="32"/>
        <v>0</v>
      </c>
      <c r="BB118" s="113">
        <f t="shared" si="33"/>
        <v>0</v>
      </c>
      <c r="BC118" s="112">
        <v>0.7883425637662241</v>
      </c>
      <c r="BD118" s="113" t="str">
        <f>ifs(BC118&lt;='Range Tables'!$G$81,'Range Tables'!$B$81,BC118&lt;='Range Tables'!$G$82,'Range Tables'!$B$82)</f>
        <v>Offline*</v>
      </c>
      <c r="BE118" s="112">
        <v>0.39100280097823137</v>
      </c>
      <c r="BF118" s="112" t="str">
        <f>ifs(BE118&lt;='Range Tables'!$G$95,'Range Tables'!$B$95,BE118&lt;='Range Tables'!$G$96,'Range Tables'!$B$96,BE118&lt;='Range Tables'!$G$97,'Range Tables'!$B$97,BE118&lt;='Range Tables'!$G$98,'Range Tables'!$B$98,BE118&lt;='Range Tables'!$G$99,'Range Tables'!$B$99,BE118&lt;='Range Tables'!$G$100,'Range Tables'!$B$100,BE118&lt;='Range Tables'!$G$101,'Range Tables'!$B$101,BE118&lt;='Range Tables'!$G$102,'Range Tables'!$B$102,BE118&lt;='Range Tables'!$G$103,'Range Tables'!$B$103)</f>
        <v>Jammu</v>
      </c>
      <c r="BG118" s="112">
        <v>0.9207700418286175</v>
      </c>
      <c r="BH118" s="113" t="str">
        <f>ifs(BG118&lt;='Range Tables'!$G$112,'Range Tables'!$B$112,BG118&lt;='Range Tables'!$G$113,'Range Tables'!$B$113,BG118&lt;='Range Tables'!$G$114,'Range Tables'!$B$114)</f>
        <v>1-5</v>
      </c>
      <c r="BI118" s="117">
        <v>0.3806176410205132</v>
      </c>
      <c r="BJ118" s="113" t="str">
        <f>ifs(BI118&lt;='Range Tables'!$G$118,'Range Tables'!$B$118,BI118&lt;='Range Tables'!$G$119,'Range Tables'!$B$119)</f>
        <v>Valid</v>
      </c>
    </row>
    <row r="119">
      <c r="A119" s="85">
        <v>116.0</v>
      </c>
      <c r="B119" s="112">
        <v>0.33542816564023215</v>
      </c>
      <c r="C119" s="113" t="str">
        <f>ifs(B119&lt;='Range Tables'!$G$54,'Range Tables'!$B$54,B119&lt;='Range Tables'!$G$55,'Range Tables'!$B$55,B119&lt;='Range Tables'!$G$56,'Range Tables'!$B$56,B119&lt;='Range Tables'!$G$57,'Range Tables'!$B$57,B119&lt;='Range Tables'!$G$58,'Range Tables'!$B$58,B119&lt;='Range Tables'!$G$59,'Range Tables'!$B$59,B119&lt;='Range Tables'!$G$60,'Range Tables'!$B$60,B119&lt;='Range Tables'!$G$61,'Range Tables'!$B$61,B119&lt;='Range Tables'!$G$63,'Range Tables'!$B$63,B119&lt;='Range Tables'!$G$64,'Range Tables'!$B$64,B119&lt;='Range Tables'!$G$66,'Range Tables'!$B$66)</f>
        <v>30 - 60 </v>
      </c>
      <c r="D119" s="113">
        <f>IFERROR(__xludf.DUMMYFUNCTION("SPLIT(C119,""-"")"),30.0)</f>
        <v>30</v>
      </c>
      <c r="E119" s="113">
        <f>IFERROR(__xludf.DUMMYFUNCTION("""COMPUTED_VALUE"""),60.0)</f>
        <v>60</v>
      </c>
      <c r="F119" s="114">
        <f t="shared" si="40"/>
        <v>40.06284497</v>
      </c>
      <c r="G119" s="112">
        <v>0.7555264029092469</v>
      </c>
      <c r="H119" s="113" t="str">
        <f>ifs(G119&lt;='Range Tables'!$G$86,'Range Tables'!$B$86,G119&lt;='Range Tables'!$G$87,'Range Tables'!$B$87,G119&lt;='Range Tables'!$G$88,'Range Tables'!$B$88,G119&lt;='Range Tables'!$G$89,'Range Tables'!$B$89,G119&lt;='Range Tables'!$G$90,'Range Tables'!$B$90,G119&lt;='Range Tables'!$G$91,'Range Tables'!$B$91)</f>
        <v>Bike</v>
      </c>
      <c r="I119" s="112">
        <v>0.9805029048756828</v>
      </c>
      <c r="J119" s="113" t="str">
        <f>IFS(
  H119="Car", IF(I119&lt;='Range Tables'!$G$19, 'Range Tables'!$B$19, 'Range Tables'!$B$20), 
  H119="Bike", IF(I119&lt;='Range Tables'!$G$25, 'Range Tables'!$B$25, 'Range Tables'!$B$26), 
  H119="Scooter", IF(I119&lt;='Range Tables'!$G$31, 'Range Tables'!$B$31, 'Range Tables'!$B$32), 
  H119="Auto", IF(I119&lt;='Range Tables'!$G$37, 'Range Tables'!$B$37, 'Range Tables'!$B$38), 
  H119="Carriers*", IF(I119&lt;='Range Tables'!$G$43, 'Range Tables'!$B$43, 'Range Tables'!$B$44), 
  H119="Van*", IF(I119&lt;='Range Tables'!$G$50, 'Range Tables'!$B$50, 'Range Tables'!$B$49)
)</f>
        <v>Petrol</v>
      </c>
      <c r="K119" s="112">
        <v>0.9570722464072963</v>
      </c>
      <c r="L119" s="113">
        <f>if(J119="Petrol",ifs(K119&lt;='Range Tables'!$G$5,'Range Tables'!$B$5,K119&lt;='Range Tables'!$G$6,'Range Tables'!$B$6,K119&lt;='Range Tables'!$G$7,'Range Tables'!$B$7),ifs(K119&lt;='Range Tables'!$G$13,'Range Tables'!$B$13,K119&lt;='Range Tables'!$G$14,'Range Tables'!$B$14))</f>
        <v>4</v>
      </c>
      <c r="M119" s="112">
        <v>0.22927654753368143</v>
      </c>
      <c r="N119" s="113" t="str">
        <f>ifs(H119="Car",ifs(M119&lt;='Range Tables'!$G$125,'Range Tables'!$B$125,M119&lt;='Range Tables'!$G$126,'Range Tables'!$B$126,M119&lt;='Range Tables'!$G$127,'Range Tables'!$B$127,M119&lt;='Range Tables'!$G$128,'Range Tables'!$B$128,M119&lt;='Range Tables'!$G$129,'Range Tables'!$B$129,'Range Tables'!$G$131,'Range Tables'!$B$131),H119="Bike",ifs(M119&lt;='Range Tables'!$G$136,'Range Tables'!$B$136,M119&lt;='Range Tables'!$G$137,'Range Tables'!$B$137,M119&lt;='Range Tables'!$G$138,'Range Tables'!$B$138,M119&lt;='Range Tables'!$G$142,'Range Tables'!$B$142),H119="Scooter",ifs(M119&lt;='Range Tables'!$G$148,'Range Tables'!$B$148,M119&lt;='Range Tables'!$G$149,'Range Tables'!$B$149,M119&lt;='Range Tables'!$G$150,'Range Tables'!$B$150,M119&lt;='Range Tables'!$G$151,'Range Tables'!$B$151),H119="Auto",ifs(M119&lt;='Range Tables'!$G$161,'Range Tables'!$B$161,M119&lt;='Range Tables'!$G$162,'Range Tables'!$B$162,M119&lt;='Range Tables'!$G$163,'Range Tables'!$B$163,M119&lt;='Range Tables'!$G$164,'Range Tables'!$B$164),H119="Carriers*",ifs(M119&lt;='Range Tables'!$G$173,'Range Tables'!$B$173,M119&lt;='Range Tables'!$G$174,'Range Tables'!$B$174,M119&lt;='Range Tables'!$G$175,'Range Tables'!$B$175,M119&lt;='Range Tables'!$G$176,'Range Tables'!$B$176,M119&lt;='Range Tables'!$G$177,'Range Tables'!$B$177,M119&lt;='Range Tables'!$G$179,'Range Tables'!$B$179),H119="Van*",ifs(M119&lt;='Range Tables'!$G$186,'Range Tables'!$B$186))</f>
        <v>60 - 120</v>
      </c>
      <c r="O119" s="113">
        <f>IFERROR(__xludf.DUMMYFUNCTION("SPLIT(N119,""-"")"),60.0)</f>
        <v>60</v>
      </c>
      <c r="P119" s="113">
        <f>IFERROR(__xludf.DUMMYFUNCTION("""COMPUTED_VALUE"""),120.0)</f>
        <v>120</v>
      </c>
      <c r="Q119" s="114">
        <f t="shared" si="2"/>
        <v>73.75659285</v>
      </c>
      <c r="R119" s="115">
        <f t="shared" si="3"/>
        <v>0.1034838406</v>
      </c>
      <c r="S119" s="114">
        <f t="shared" si="39"/>
        <v>8941.003829</v>
      </c>
      <c r="T119" s="113" t="str">
        <f t="shared" si="4"/>
        <v>no</v>
      </c>
      <c r="U119" s="115">
        <f t="shared" si="5"/>
        <v>0</v>
      </c>
      <c r="V119" s="113">
        <f t="shared" si="34"/>
        <v>0</v>
      </c>
      <c r="W119" s="115">
        <f t="shared" si="6"/>
        <v>0</v>
      </c>
      <c r="X119" s="85">
        <f t="shared" si="7"/>
        <v>0</v>
      </c>
      <c r="Y119" s="116">
        <f t="shared" si="8"/>
        <v>0</v>
      </c>
      <c r="Z119" s="113">
        <f t="shared" si="9"/>
        <v>0</v>
      </c>
      <c r="AA119" s="113" t="str">
        <f t="shared" si="10"/>
        <v>no</v>
      </c>
      <c r="AB119" s="115">
        <f t="shared" si="11"/>
        <v>0</v>
      </c>
      <c r="AC119" s="113">
        <f t="shared" si="35"/>
        <v>0</v>
      </c>
      <c r="AD119" s="116">
        <f t="shared" si="12"/>
        <v>0</v>
      </c>
      <c r="AE119" s="113">
        <f t="shared" si="13"/>
        <v>0</v>
      </c>
      <c r="AF119" s="116">
        <f t="shared" si="14"/>
        <v>0</v>
      </c>
      <c r="AG119" s="113">
        <f t="shared" si="15"/>
        <v>0</v>
      </c>
      <c r="AH119" s="113" t="str">
        <f t="shared" si="16"/>
        <v>no</v>
      </c>
      <c r="AI119" s="115">
        <f t="shared" si="17"/>
        <v>0</v>
      </c>
      <c r="AJ119" s="113">
        <f t="shared" si="36"/>
        <v>0</v>
      </c>
      <c r="AK119" s="116">
        <f t="shared" si="18"/>
        <v>0</v>
      </c>
      <c r="AL119" s="113">
        <f t="shared" si="19"/>
        <v>0</v>
      </c>
      <c r="AM119" s="115">
        <f t="shared" si="20"/>
        <v>0</v>
      </c>
      <c r="AN119" s="85">
        <f t="shared" si="21"/>
        <v>0</v>
      </c>
      <c r="AO119" s="113" t="str">
        <f t="shared" si="22"/>
        <v>yes</v>
      </c>
      <c r="AP119" s="115">
        <f t="shared" si="23"/>
        <v>0.0008362596592</v>
      </c>
      <c r="AQ119" s="114">
        <f t="shared" si="37"/>
        <v>72.25283455</v>
      </c>
      <c r="AR119" s="116">
        <f t="shared" si="24"/>
        <v>0.1043201003</v>
      </c>
      <c r="AS119" s="114">
        <f t="shared" si="25"/>
        <v>9013.256663</v>
      </c>
      <c r="AT119" s="116">
        <f t="shared" si="26"/>
        <v>0.1051737645</v>
      </c>
      <c r="AU119" s="114">
        <f t="shared" si="27"/>
        <v>9087.013256</v>
      </c>
      <c r="AV119" s="113" t="str">
        <f t="shared" si="28"/>
        <v>no</v>
      </c>
      <c r="AW119" s="115">
        <f t="shared" si="29"/>
        <v>0</v>
      </c>
      <c r="AX119" s="85">
        <f t="shared" si="38"/>
        <v>0</v>
      </c>
      <c r="AY119" s="116">
        <f t="shared" si="30"/>
        <v>0</v>
      </c>
      <c r="AZ119" s="113">
        <f t="shared" si="31"/>
        <v>0</v>
      </c>
      <c r="BA119" s="116">
        <f t="shared" si="32"/>
        <v>0</v>
      </c>
      <c r="BB119" s="113">
        <f t="shared" si="33"/>
        <v>0</v>
      </c>
      <c r="BC119" s="112">
        <v>0.40946831056443544</v>
      </c>
      <c r="BD119" s="113" t="str">
        <f>ifs(BC119&lt;='Range Tables'!$G$81,'Range Tables'!$B$81,BC119&lt;='Range Tables'!$G$82,'Range Tables'!$B$82)</f>
        <v>Offline*</v>
      </c>
      <c r="BE119" s="112">
        <v>0.8712109797874737</v>
      </c>
      <c r="BF119" s="112" t="str">
        <f>ifs(BE119&lt;='Range Tables'!$G$95,'Range Tables'!$B$95,BE119&lt;='Range Tables'!$G$96,'Range Tables'!$B$96,BE119&lt;='Range Tables'!$G$97,'Range Tables'!$B$97,BE119&lt;='Range Tables'!$G$98,'Range Tables'!$B$98,BE119&lt;='Range Tables'!$G$99,'Range Tables'!$B$99,BE119&lt;='Range Tables'!$G$100,'Range Tables'!$B$100,BE119&lt;='Range Tables'!$G$101,'Range Tables'!$B$101,BE119&lt;='Range Tables'!$G$102,'Range Tables'!$B$102,BE119&lt;='Range Tables'!$G$103,'Range Tables'!$B$103)</f>
        <v>Udhampur</v>
      </c>
      <c r="BG119" s="112">
        <v>0.790578380349988</v>
      </c>
      <c r="BH119" s="113" t="str">
        <f>ifs(BG119&lt;='Range Tables'!$G$112,'Range Tables'!$B$112,BG119&lt;='Range Tables'!$G$113,'Range Tables'!$B$113,BG119&lt;='Range Tables'!$G$114,'Range Tables'!$B$114)</f>
        <v>1-5</v>
      </c>
      <c r="BI119" s="117">
        <v>0.5915869622025529</v>
      </c>
      <c r="BJ119" s="113" t="str">
        <f>ifs(BI119&lt;='Range Tables'!$G$118,'Range Tables'!$B$118,BI119&lt;='Range Tables'!$G$119,'Range Tables'!$B$119)</f>
        <v>Valid</v>
      </c>
    </row>
    <row r="120">
      <c r="A120" s="85">
        <v>117.0</v>
      </c>
      <c r="B120" s="112">
        <v>0.5748693460733245</v>
      </c>
      <c r="C120" s="113" t="str">
        <f>ifs(B120&lt;='Range Tables'!$G$54,'Range Tables'!$B$54,B120&lt;='Range Tables'!$G$55,'Range Tables'!$B$55,B120&lt;='Range Tables'!$G$56,'Range Tables'!$B$56,B120&lt;='Range Tables'!$G$57,'Range Tables'!$B$57,B120&lt;='Range Tables'!$G$58,'Range Tables'!$B$58,B120&lt;='Range Tables'!$G$59,'Range Tables'!$B$59,B120&lt;='Range Tables'!$G$60,'Range Tables'!$B$60,B120&lt;='Range Tables'!$G$61,'Range Tables'!$B$61,B120&lt;='Range Tables'!$G$63,'Range Tables'!$B$63,B120&lt;='Range Tables'!$G$64,'Range Tables'!$B$64,B120&lt;='Range Tables'!$G$66,'Range Tables'!$B$66)</f>
        <v>60 - 90</v>
      </c>
      <c r="D120" s="113">
        <f>IFERROR(__xludf.DUMMYFUNCTION("SPLIT(C120,""-"")"),60.0)</f>
        <v>60</v>
      </c>
      <c r="E120" s="113">
        <f>IFERROR(__xludf.DUMMYFUNCTION("""COMPUTED_VALUE"""),90.0)</f>
        <v>90</v>
      </c>
      <c r="F120" s="114">
        <f t="shared" si="40"/>
        <v>77.24608038</v>
      </c>
      <c r="G120" s="112">
        <v>0.4521606793598978</v>
      </c>
      <c r="H120" s="113" t="str">
        <f>ifs(G120&lt;='Range Tables'!$G$86,'Range Tables'!$B$86,G120&lt;='Range Tables'!$G$87,'Range Tables'!$B$87,G120&lt;='Range Tables'!$G$88,'Range Tables'!$B$88,G120&lt;='Range Tables'!$G$89,'Range Tables'!$B$89,G120&lt;='Range Tables'!$G$90,'Range Tables'!$B$90,G120&lt;='Range Tables'!$G$91,'Range Tables'!$B$91)</f>
        <v>Car</v>
      </c>
      <c r="I120" s="112">
        <v>0.5880299716191174</v>
      </c>
      <c r="J120" s="113" t="str">
        <f>IFS(
  H120="Car", IF(I120&lt;='Range Tables'!$G$19, 'Range Tables'!$B$19, 'Range Tables'!$B$20), 
  H120="Bike", IF(I120&lt;='Range Tables'!$G$25, 'Range Tables'!$B$25, 'Range Tables'!$B$26), 
  H120="Scooter", IF(I120&lt;='Range Tables'!$G$31, 'Range Tables'!$B$31, 'Range Tables'!$B$32), 
  H120="Auto", IF(I120&lt;='Range Tables'!$G$37, 'Range Tables'!$B$37, 'Range Tables'!$B$38), 
  H120="Carriers*", IF(I120&lt;='Range Tables'!$G$43, 'Range Tables'!$B$43, 'Range Tables'!$B$44), 
  H120="Van*", IF(I120&lt;='Range Tables'!$G$50, 'Range Tables'!$B$50, 'Range Tables'!$B$49)
)</f>
        <v>Petrol</v>
      </c>
      <c r="K120" s="112">
        <v>0.18549772062022596</v>
      </c>
      <c r="L120" s="113">
        <f>if(J120="Petrol",ifs(K120&lt;='Range Tables'!$G$5,'Range Tables'!$B$5,K120&lt;='Range Tables'!$G$6,'Range Tables'!$B$6,K120&lt;='Range Tables'!$G$7,'Range Tables'!$B$7),ifs(K120&lt;='Range Tables'!$G$13,'Range Tables'!$B$13,K120&lt;='Range Tables'!$G$14,'Range Tables'!$B$14))</f>
        <v>2</v>
      </c>
      <c r="M120" s="112">
        <v>0.16633901782812877</v>
      </c>
      <c r="N120" s="113" t="str">
        <f>ifs(H120="Car",ifs(M120&lt;='Range Tables'!$G$125,'Range Tables'!$B$125,M120&lt;='Range Tables'!$G$126,'Range Tables'!$B$126,M120&lt;='Range Tables'!$G$127,'Range Tables'!$B$127,M120&lt;='Range Tables'!$G$128,'Range Tables'!$B$128,M120&lt;='Range Tables'!$G$129,'Range Tables'!$B$129,'Range Tables'!$G$131,'Range Tables'!$B$131),H120="Bike",ifs(M120&lt;='Range Tables'!$G$136,'Range Tables'!$B$136,M120&lt;='Range Tables'!$G$137,'Range Tables'!$B$137,M120&lt;='Range Tables'!$G$138,'Range Tables'!$B$138,M120&lt;='Range Tables'!$G$142,'Range Tables'!$B$142),H120="Scooter",ifs(M120&lt;='Range Tables'!$G$148,'Range Tables'!$B$148,M120&lt;='Range Tables'!$G$149,'Range Tables'!$B$149,M120&lt;='Range Tables'!$G$150,'Range Tables'!$B$150,M120&lt;='Range Tables'!$G$151,'Range Tables'!$B$151),H120="Auto",ifs(M120&lt;='Range Tables'!$G$161,'Range Tables'!$B$161,M120&lt;='Range Tables'!$G$162,'Range Tables'!$B$162,M120&lt;='Range Tables'!$G$163,'Range Tables'!$B$163,M120&lt;='Range Tables'!$G$164,'Range Tables'!$B$164),H120="Carriers*",ifs(M120&lt;='Range Tables'!$G$173,'Range Tables'!$B$173,M120&lt;='Range Tables'!$G$174,'Range Tables'!$B$174,M120&lt;='Range Tables'!$G$175,'Range Tables'!$B$175,M120&lt;='Range Tables'!$G$176,'Range Tables'!$B$176,M120&lt;='Range Tables'!$G$177,'Range Tables'!$B$177,M120&lt;='Range Tables'!$G$179,'Range Tables'!$B$179),H120="Van*",ifs(M120&lt;='Range Tables'!$G$186,'Range Tables'!$B$186))</f>
        <v>60 - 120</v>
      </c>
      <c r="O120" s="113">
        <f>IFERROR(__xludf.DUMMYFUNCTION("SPLIT(N120,""-"")"),60.0)</f>
        <v>60</v>
      </c>
      <c r="P120" s="113">
        <f>IFERROR(__xludf.DUMMYFUNCTION("""COMPUTED_VALUE"""),120.0)</f>
        <v>120</v>
      </c>
      <c r="Q120" s="114">
        <f t="shared" si="2"/>
        <v>69.98034107</v>
      </c>
      <c r="R120" s="115">
        <f t="shared" si="3"/>
        <v>0.1039475309</v>
      </c>
      <c r="S120" s="114">
        <f t="shared" si="39"/>
        <v>8981.066674</v>
      </c>
      <c r="T120" s="113" t="str">
        <f t="shared" si="4"/>
        <v>no</v>
      </c>
      <c r="U120" s="115">
        <f t="shared" si="5"/>
        <v>0</v>
      </c>
      <c r="V120" s="113">
        <f t="shared" si="34"/>
        <v>0</v>
      </c>
      <c r="W120" s="115">
        <f t="shared" si="6"/>
        <v>0</v>
      </c>
      <c r="X120" s="85">
        <f t="shared" si="7"/>
        <v>0</v>
      </c>
      <c r="Y120" s="116">
        <f t="shared" si="8"/>
        <v>0</v>
      </c>
      <c r="Z120" s="113">
        <f t="shared" si="9"/>
        <v>0</v>
      </c>
      <c r="AA120" s="113" t="str">
        <f t="shared" si="10"/>
        <v>yes</v>
      </c>
      <c r="AB120" s="115">
        <f t="shared" si="11"/>
        <v>0</v>
      </c>
      <c r="AC120" s="113">
        <f t="shared" si="35"/>
        <v>0</v>
      </c>
      <c r="AD120" s="116">
        <f t="shared" si="12"/>
        <v>0.1039475309</v>
      </c>
      <c r="AE120" s="114">
        <f t="shared" si="13"/>
        <v>8981.066674</v>
      </c>
      <c r="AF120" s="116">
        <f t="shared" si="14"/>
        <v>0.1047574886</v>
      </c>
      <c r="AG120" s="114">
        <f t="shared" si="15"/>
        <v>9051.047015</v>
      </c>
      <c r="AH120" s="113" t="str">
        <f t="shared" si="16"/>
        <v>no</v>
      </c>
      <c r="AI120" s="115">
        <f t="shared" si="17"/>
        <v>0</v>
      </c>
      <c r="AJ120" s="113">
        <f t="shared" si="36"/>
        <v>0</v>
      </c>
      <c r="AK120" s="116">
        <f t="shared" si="18"/>
        <v>0</v>
      </c>
      <c r="AL120" s="113">
        <f t="shared" si="19"/>
        <v>0</v>
      </c>
      <c r="AM120" s="115">
        <f t="shared" si="20"/>
        <v>0</v>
      </c>
      <c r="AN120" s="85">
        <f t="shared" si="21"/>
        <v>0</v>
      </c>
      <c r="AO120" s="113" t="str">
        <f t="shared" si="22"/>
        <v>no</v>
      </c>
      <c r="AP120" s="115">
        <f t="shared" si="23"/>
        <v>0</v>
      </c>
      <c r="AQ120" s="113">
        <f t="shared" si="37"/>
        <v>0</v>
      </c>
      <c r="AR120" s="116">
        <f t="shared" si="24"/>
        <v>0</v>
      </c>
      <c r="AS120" s="113">
        <f t="shared" si="25"/>
        <v>0</v>
      </c>
      <c r="AT120" s="116">
        <f t="shared" si="26"/>
        <v>0</v>
      </c>
      <c r="AU120" s="113">
        <f t="shared" si="27"/>
        <v>0</v>
      </c>
      <c r="AV120" s="113" t="str">
        <f t="shared" si="28"/>
        <v>no</v>
      </c>
      <c r="AW120" s="115">
        <f t="shared" si="29"/>
        <v>0</v>
      </c>
      <c r="AX120" s="85">
        <f t="shared" si="38"/>
        <v>0</v>
      </c>
      <c r="AY120" s="116">
        <f t="shared" si="30"/>
        <v>0</v>
      </c>
      <c r="AZ120" s="113">
        <f t="shared" si="31"/>
        <v>0</v>
      </c>
      <c r="BA120" s="116">
        <f t="shared" si="32"/>
        <v>0</v>
      </c>
      <c r="BB120" s="113">
        <f t="shared" si="33"/>
        <v>0</v>
      </c>
      <c r="BC120" s="112">
        <v>0.3282603032456458</v>
      </c>
      <c r="BD120" s="113" t="str">
        <f>ifs(BC120&lt;='Range Tables'!$G$81,'Range Tables'!$B$81,BC120&lt;='Range Tables'!$G$82,'Range Tables'!$B$82)</f>
        <v>Online*</v>
      </c>
      <c r="BE120" s="112">
        <v>0.36612470627355875</v>
      </c>
      <c r="BF120" s="112" t="str">
        <f>ifs(BE120&lt;='Range Tables'!$G$95,'Range Tables'!$B$95,BE120&lt;='Range Tables'!$G$96,'Range Tables'!$B$96,BE120&lt;='Range Tables'!$G$97,'Range Tables'!$B$97,BE120&lt;='Range Tables'!$G$98,'Range Tables'!$B$98,BE120&lt;='Range Tables'!$G$99,'Range Tables'!$B$99,BE120&lt;='Range Tables'!$G$100,'Range Tables'!$B$100,BE120&lt;='Range Tables'!$G$101,'Range Tables'!$B$101,BE120&lt;='Range Tables'!$G$102,'Range Tables'!$B$102,BE120&lt;='Range Tables'!$G$103,'Range Tables'!$B$103)</f>
        <v>Jammu</v>
      </c>
      <c r="BG120" s="112">
        <v>0.8035046398764794</v>
      </c>
      <c r="BH120" s="113" t="str">
        <f>ifs(BG120&lt;='Range Tables'!$G$112,'Range Tables'!$B$112,BG120&lt;='Range Tables'!$G$113,'Range Tables'!$B$113,BG120&lt;='Range Tables'!$G$114,'Range Tables'!$B$114)</f>
        <v>1-5</v>
      </c>
      <c r="BI120" s="117">
        <v>0.9262217624100356</v>
      </c>
      <c r="BJ120" s="113" t="str">
        <f>ifs(BI120&lt;='Range Tables'!$G$118,'Range Tables'!$B$118,BI120&lt;='Range Tables'!$G$119,'Range Tables'!$B$119)</f>
        <v>Expired</v>
      </c>
    </row>
    <row r="121">
      <c r="A121" s="85">
        <v>118.0</v>
      </c>
      <c r="B121" s="112">
        <v>0.4464365950913257</v>
      </c>
      <c r="C121" s="113" t="str">
        <f>ifs(B121&lt;='Range Tables'!$G$54,'Range Tables'!$B$54,B121&lt;='Range Tables'!$G$55,'Range Tables'!$B$55,B121&lt;='Range Tables'!$G$56,'Range Tables'!$B$56,B121&lt;='Range Tables'!$G$57,'Range Tables'!$B$57,B121&lt;='Range Tables'!$G$58,'Range Tables'!$B$58,B121&lt;='Range Tables'!$G$59,'Range Tables'!$B$59,B121&lt;='Range Tables'!$G$60,'Range Tables'!$B$60,B121&lt;='Range Tables'!$G$61,'Range Tables'!$B$61,B121&lt;='Range Tables'!$G$63,'Range Tables'!$B$63,B121&lt;='Range Tables'!$G$64,'Range Tables'!$B$64,B121&lt;='Range Tables'!$G$66,'Range Tables'!$B$66)</f>
        <v>30 - 60 </v>
      </c>
      <c r="D121" s="113">
        <f>IFERROR(__xludf.DUMMYFUNCTION("SPLIT(C121,""-"")"),30.0)</f>
        <v>30</v>
      </c>
      <c r="E121" s="113">
        <f>IFERROR(__xludf.DUMMYFUNCTION("""COMPUTED_VALUE"""),60.0)</f>
        <v>60</v>
      </c>
      <c r="F121" s="114">
        <f t="shared" si="40"/>
        <v>43.39309785</v>
      </c>
      <c r="G121" s="112">
        <v>0.9572192429847372</v>
      </c>
      <c r="H121" s="113" t="str">
        <f>ifs(G121&lt;='Range Tables'!$G$86,'Range Tables'!$B$86,G121&lt;='Range Tables'!$G$87,'Range Tables'!$B$87,G121&lt;='Range Tables'!$G$88,'Range Tables'!$B$88,G121&lt;='Range Tables'!$G$89,'Range Tables'!$B$89,G121&lt;='Range Tables'!$G$90,'Range Tables'!$B$90,G121&lt;='Range Tables'!$G$91,'Range Tables'!$B$91)</f>
        <v>Carriers*</v>
      </c>
      <c r="I121" s="112">
        <v>0.5103493789940085</v>
      </c>
      <c r="J121" s="113" t="str">
        <f>IFS(
  H121="Car", IF(I121&lt;='Range Tables'!$G$19, 'Range Tables'!$B$19, 'Range Tables'!$B$20), 
  H121="Bike", IF(I121&lt;='Range Tables'!$G$25, 'Range Tables'!$B$25, 'Range Tables'!$B$26), 
  H121="Scooter", IF(I121&lt;='Range Tables'!$G$31, 'Range Tables'!$B$31, 'Range Tables'!$B$32), 
  H121="Auto", IF(I121&lt;='Range Tables'!$G$37, 'Range Tables'!$B$37, 'Range Tables'!$B$38), 
  H121="Carriers*", IF(I121&lt;='Range Tables'!$G$43, 'Range Tables'!$B$43, 'Range Tables'!$B$44), 
  H121="Van*", IF(I121&lt;='Range Tables'!$G$50, 'Range Tables'!$B$50, 'Range Tables'!$B$49)
)</f>
        <v>Diesel</v>
      </c>
      <c r="K121" s="112">
        <v>0.9010598801467306</v>
      </c>
      <c r="L121" s="113">
        <f>if(J121="Petrol",ifs(K121&lt;='Range Tables'!$G$5,'Range Tables'!$B$5,K121&lt;='Range Tables'!$G$6,'Range Tables'!$B$6,K121&lt;='Range Tables'!$G$7,'Range Tables'!$B$7),ifs(K121&lt;='Range Tables'!$G$13,'Range Tables'!$B$13,K121&lt;='Range Tables'!$G$14,'Range Tables'!$B$14))</f>
        <v>5</v>
      </c>
      <c r="M121" s="112">
        <v>0.2505826908863966</v>
      </c>
      <c r="N121" s="113" t="str">
        <f>ifs(H121="Car",ifs(M121&lt;='Range Tables'!$G$125,'Range Tables'!$B$125,M121&lt;='Range Tables'!$G$126,'Range Tables'!$B$126,M121&lt;='Range Tables'!$G$127,'Range Tables'!$B$127,M121&lt;='Range Tables'!$G$128,'Range Tables'!$B$128,M121&lt;='Range Tables'!$G$129,'Range Tables'!$B$129,'Range Tables'!$G$131,'Range Tables'!$B$131),H121="Bike",ifs(M121&lt;='Range Tables'!$G$136,'Range Tables'!$B$136,M121&lt;='Range Tables'!$G$137,'Range Tables'!$B$137,M121&lt;='Range Tables'!$G$138,'Range Tables'!$B$138,M121&lt;='Range Tables'!$G$142,'Range Tables'!$B$142),H121="Scooter",ifs(M121&lt;='Range Tables'!$G$148,'Range Tables'!$B$148,M121&lt;='Range Tables'!$G$149,'Range Tables'!$B$149,M121&lt;='Range Tables'!$G$150,'Range Tables'!$B$150,M121&lt;='Range Tables'!$G$151,'Range Tables'!$B$151),H121="Auto",ifs(M121&lt;='Range Tables'!$G$161,'Range Tables'!$B$161,M121&lt;='Range Tables'!$G$162,'Range Tables'!$B$162,M121&lt;='Range Tables'!$G$163,'Range Tables'!$B$163,M121&lt;='Range Tables'!$G$164,'Range Tables'!$B$164),H121="Carriers*",ifs(M121&lt;='Range Tables'!$G$173,'Range Tables'!$B$173,M121&lt;='Range Tables'!$G$174,'Range Tables'!$B$174,M121&lt;='Range Tables'!$G$175,'Range Tables'!$B$175,M121&lt;='Range Tables'!$G$176,'Range Tables'!$B$176,M121&lt;='Range Tables'!$G$177,'Range Tables'!$B$177,M121&lt;='Range Tables'!$G$179,'Range Tables'!$B$179),H121="Van*",ifs(M121&lt;='Range Tables'!$G$186,'Range Tables'!$B$186))</f>
        <v>120 - 180</v>
      </c>
      <c r="O121" s="113">
        <f>IFERROR(__xludf.DUMMYFUNCTION("SPLIT(N121,""-"")"),120.0)</f>
        <v>120</v>
      </c>
      <c r="P121" s="113">
        <f>IFERROR(__xludf.DUMMYFUNCTION("""COMPUTED_VALUE"""),180.0)</f>
        <v>180</v>
      </c>
      <c r="Q121" s="114">
        <f t="shared" si="2"/>
        <v>135.0349615</v>
      </c>
      <c r="R121" s="115">
        <f t="shared" si="3"/>
        <v>0.1048415828</v>
      </c>
      <c r="S121" s="114">
        <f t="shared" si="39"/>
        <v>9058.312754</v>
      </c>
      <c r="T121" s="113" t="str">
        <f t="shared" si="4"/>
        <v>no</v>
      </c>
      <c r="U121" s="115">
        <f t="shared" si="5"/>
        <v>0</v>
      </c>
      <c r="V121" s="113">
        <f t="shared" si="34"/>
        <v>0</v>
      </c>
      <c r="W121" s="115">
        <f t="shared" si="6"/>
        <v>0</v>
      </c>
      <c r="X121" s="85">
        <f t="shared" si="7"/>
        <v>0</v>
      </c>
      <c r="Y121" s="116">
        <f t="shared" si="8"/>
        <v>0</v>
      </c>
      <c r="Z121" s="113">
        <f t="shared" si="9"/>
        <v>0</v>
      </c>
      <c r="AA121" s="113" t="str">
        <f t="shared" si="10"/>
        <v>no</v>
      </c>
      <c r="AB121" s="115">
        <f t="shared" si="11"/>
        <v>0</v>
      </c>
      <c r="AC121" s="113">
        <f t="shared" si="35"/>
        <v>0</v>
      </c>
      <c r="AD121" s="116">
        <f t="shared" si="12"/>
        <v>0</v>
      </c>
      <c r="AE121" s="113">
        <f t="shared" si="13"/>
        <v>0</v>
      </c>
      <c r="AF121" s="116">
        <f t="shared" si="14"/>
        <v>0</v>
      </c>
      <c r="AG121" s="113">
        <f t="shared" si="15"/>
        <v>0</v>
      </c>
      <c r="AH121" s="113" t="str">
        <f t="shared" si="16"/>
        <v>no</v>
      </c>
      <c r="AI121" s="115">
        <f t="shared" si="17"/>
        <v>0</v>
      </c>
      <c r="AJ121" s="113">
        <f t="shared" si="36"/>
        <v>0</v>
      </c>
      <c r="AK121" s="116">
        <f t="shared" si="18"/>
        <v>0</v>
      </c>
      <c r="AL121" s="113">
        <f t="shared" si="19"/>
        <v>0</v>
      </c>
      <c r="AM121" s="115">
        <f t="shared" si="20"/>
        <v>0</v>
      </c>
      <c r="AN121" s="85">
        <f t="shared" si="21"/>
        <v>0</v>
      </c>
      <c r="AO121" s="113" t="str">
        <f t="shared" si="22"/>
        <v>no</v>
      </c>
      <c r="AP121" s="115">
        <f t="shared" si="23"/>
        <v>0</v>
      </c>
      <c r="AQ121" s="113">
        <f t="shared" si="37"/>
        <v>0</v>
      </c>
      <c r="AR121" s="116">
        <f t="shared" si="24"/>
        <v>0</v>
      </c>
      <c r="AS121" s="113">
        <f t="shared" si="25"/>
        <v>0</v>
      </c>
      <c r="AT121" s="116">
        <f t="shared" si="26"/>
        <v>0</v>
      </c>
      <c r="AU121" s="113">
        <f t="shared" si="27"/>
        <v>0</v>
      </c>
      <c r="AV121" s="113" t="str">
        <f t="shared" si="28"/>
        <v>yes</v>
      </c>
      <c r="AW121" s="115">
        <f t="shared" si="29"/>
        <v>0</v>
      </c>
      <c r="AX121" s="85">
        <f t="shared" si="38"/>
        <v>0</v>
      </c>
      <c r="AY121" s="116">
        <f t="shared" si="30"/>
        <v>0.1048415828</v>
      </c>
      <c r="AZ121" s="114">
        <f t="shared" si="31"/>
        <v>9058.312754</v>
      </c>
      <c r="BA121" s="116">
        <f t="shared" si="32"/>
        <v>0.1064044875</v>
      </c>
      <c r="BB121" s="114">
        <f t="shared" si="33"/>
        <v>9193.347716</v>
      </c>
      <c r="BC121" s="112">
        <v>0.942001744565964</v>
      </c>
      <c r="BD121" s="113" t="str">
        <f>ifs(BC121&lt;='Range Tables'!$G$81,'Range Tables'!$B$81,BC121&lt;='Range Tables'!$G$82,'Range Tables'!$B$82)</f>
        <v>Offline*</v>
      </c>
      <c r="BE121" s="112">
        <v>0.19327954792709912</v>
      </c>
      <c r="BF121" s="112" t="str">
        <f>ifs(BE121&lt;='Range Tables'!$G$95,'Range Tables'!$B$95,BE121&lt;='Range Tables'!$G$96,'Range Tables'!$B$96,BE121&lt;='Range Tables'!$G$97,'Range Tables'!$B$97,BE121&lt;='Range Tables'!$G$98,'Range Tables'!$B$98,BE121&lt;='Range Tables'!$G$99,'Range Tables'!$B$99,BE121&lt;='Range Tables'!$G$100,'Range Tables'!$B$100,BE121&lt;='Range Tables'!$G$101,'Range Tables'!$B$101,BE121&lt;='Range Tables'!$G$102,'Range Tables'!$B$102,BE121&lt;='Range Tables'!$G$103,'Range Tables'!$B$103)</f>
        <v>Jammu</v>
      </c>
      <c r="BG121" s="112">
        <v>0.8899158092453774</v>
      </c>
      <c r="BH121" s="113" t="str">
        <f>ifs(BG121&lt;='Range Tables'!$G$112,'Range Tables'!$B$112,BG121&lt;='Range Tables'!$G$113,'Range Tables'!$B$113,BG121&lt;='Range Tables'!$G$114,'Range Tables'!$B$114)</f>
        <v>1-5</v>
      </c>
      <c r="BI121" s="117">
        <v>0.6038000235403839</v>
      </c>
      <c r="BJ121" s="113" t="str">
        <f>ifs(BI121&lt;='Range Tables'!$G$118,'Range Tables'!$B$118,BI121&lt;='Range Tables'!$G$119,'Range Tables'!$B$119)</f>
        <v>Expired</v>
      </c>
    </row>
    <row r="122">
      <c r="A122" s="85">
        <v>119.0</v>
      </c>
      <c r="B122" s="112">
        <v>0.25150500219212646</v>
      </c>
      <c r="C122" s="113" t="str">
        <f>ifs(B122&lt;='Range Tables'!$G$54,'Range Tables'!$B$54,B122&lt;='Range Tables'!$G$55,'Range Tables'!$B$55,B122&lt;='Range Tables'!$G$56,'Range Tables'!$B$56,B122&lt;='Range Tables'!$G$57,'Range Tables'!$B$57,B122&lt;='Range Tables'!$G$58,'Range Tables'!$B$58,B122&lt;='Range Tables'!$G$59,'Range Tables'!$B$59,B122&lt;='Range Tables'!$G$60,'Range Tables'!$B$60,B122&lt;='Range Tables'!$G$61,'Range Tables'!$B$61,B122&lt;='Range Tables'!$G$63,'Range Tables'!$B$63,B122&lt;='Range Tables'!$G$64,'Range Tables'!$B$64,B122&lt;='Range Tables'!$G$66,'Range Tables'!$B$66)</f>
        <v>0 - 30</v>
      </c>
      <c r="D122" s="113">
        <f>IFERROR(__xludf.DUMMYFUNCTION("SPLIT(C122,""-"")"),0.0)</f>
        <v>0</v>
      </c>
      <c r="E122" s="113">
        <f>IFERROR(__xludf.DUMMYFUNCTION("""COMPUTED_VALUE"""),30.0)</f>
        <v>30</v>
      </c>
      <c r="F122" s="114">
        <f t="shared" si="40"/>
        <v>7.545150066</v>
      </c>
      <c r="G122" s="112">
        <v>0.710257146104179</v>
      </c>
      <c r="H122" s="113" t="str">
        <f>ifs(G122&lt;='Range Tables'!$G$86,'Range Tables'!$B$86,G122&lt;='Range Tables'!$G$87,'Range Tables'!$B$87,G122&lt;='Range Tables'!$G$88,'Range Tables'!$B$88,G122&lt;='Range Tables'!$G$89,'Range Tables'!$B$89,G122&lt;='Range Tables'!$G$90,'Range Tables'!$B$90,G122&lt;='Range Tables'!$G$91,'Range Tables'!$B$91)</f>
        <v>Bike</v>
      </c>
      <c r="I122" s="112">
        <v>0.7124508488340494</v>
      </c>
      <c r="J122" s="113" t="str">
        <f>IFS(
  H122="Car", IF(I122&lt;='Range Tables'!$G$19, 'Range Tables'!$B$19, 'Range Tables'!$B$20), 
  H122="Bike", IF(I122&lt;='Range Tables'!$G$25, 'Range Tables'!$B$25, 'Range Tables'!$B$26), 
  H122="Scooter", IF(I122&lt;='Range Tables'!$G$31, 'Range Tables'!$B$31, 'Range Tables'!$B$32), 
  H122="Auto", IF(I122&lt;='Range Tables'!$G$37, 'Range Tables'!$B$37, 'Range Tables'!$B$38), 
  H122="Carriers*", IF(I122&lt;='Range Tables'!$G$43, 'Range Tables'!$B$43, 'Range Tables'!$B$44), 
  H122="Van*", IF(I122&lt;='Range Tables'!$G$50, 'Range Tables'!$B$50, 'Range Tables'!$B$49)
)</f>
        <v>Petrol</v>
      </c>
      <c r="K122" s="112">
        <v>0.952498960925669</v>
      </c>
      <c r="L122" s="113">
        <f>if(J122="Petrol",ifs(K122&lt;='Range Tables'!$G$5,'Range Tables'!$B$5,K122&lt;='Range Tables'!$G$6,'Range Tables'!$B$6,K122&lt;='Range Tables'!$G$7,'Range Tables'!$B$7),ifs(K122&lt;='Range Tables'!$G$13,'Range Tables'!$B$13,K122&lt;='Range Tables'!$G$14,'Range Tables'!$B$14))</f>
        <v>4</v>
      </c>
      <c r="M122" s="112">
        <v>0.02609039236434718</v>
      </c>
      <c r="N122" s="113" t="str">
        <f>ifs(H122="Car",ifs(M122&lt;='Range Tables'!$G$125,'Range Tables'!$B$125,M122&lt;='Range Tables'!$G$126,'Range Tables'!$B$126,M122&lt;='Range Tables'!$G$127,'Range Tables'!$B$127,M122&lt;='Range Tables'!$G$128,'Range Tables'!$B$128,M122&lt;='Range Tables'!$G$129,'Range Tables'!$B$129,'Range Tables'!$G$131,'Range Tables'!$B$131),H122="Bike",ifs(M122&lt;='Range Tables'!$G$136,'Range Tables'!$B$136,M122&lt;='Range Tables'!$G$137,'Range Tables'!$B$137,M122&lt;='Range Tables'!$G$138,'Range Tables'!$B$138,M122&lt;='Range Tables'!$G$142,'Range Tables'!$B$142),H122="Scooter",ifs(M122&lt;='Range Tables'!$G$148,'Range Tables'!$B$148,M122&lt;='Range Tables'!$G$149,'Range Tables'!$B$149,M122&lt;='Range Tables'!$G$150,'Range Tables'!$B$150,M122&lt;='Range Tables'!$G$151,'Range Tables'!$B$151),H122="Auto",ifs(M122&lt;='Range Tables'!$G$161,'Range Tables'!$B$161,M122&lt;='Range Tables'!$G$162,'Range Tables'!$B$162,M122&lt;='Range Tables'!$G$163,'Range Tables'!$B$163,M122&lt;='Range Tables'!$G$164,'Range Tables'!$B$164),H122="Carriers*",ifs(M122&lt;='Range Tables'!$G$173,'Range Tables'!$B$173,M122&lt;='Range Tables'!$G$174,'Range Tables'!$B$174,M122&lt;='Range Tables'!$G$175,'Range Tables'!$B$175,M122&lt;='Range Tables'!$G$176,'Range Tables'!$B$176,M122&lt;='Range Tables'!$G$177,'Range Tables'!$B$177,M122&lt;='Range Tables'!$G$179,'Range Tables'!$B$179),H122="Van*",ifs(M122&lt;='Range Tables'!$G$186,'Range Tables'!$B$186))</f>
        <v>30 - 60</v>
      </c>
      <c r="O122" s="113">
        <f>IFERROR(__xludf.DUMMYFUNCTION("SPLIT(N122,""-"")"),30.0)</f>
        <v>30</v>
      </c>
      <c r="P122" s="113">
        <f>IFERROR(__xludf.DUMMYFUNCTION("""COMPUTED_VALUE"""),60.0)</f>
        <v>60</v>
      </c>
      <c r="Q122" s="114">
        <f t="shared" si="2"/>
        <v>30.78271177</v>
      </c>
      <c r="R122" s="115">
        <f t="shared" si="3"/>
        <v>0.1053438177</v>
      </c>
      <c r="S122" s="114">
        <f t="shared" si="39"/>
        <v>9101.705852</v>
      </c>
      <c r="T122" s="113" t="str">
        <f t="shared" si="4"/>
        <v>no</v>
      </c>
      <c r="U122" s="115">
        <f t="shared" si="5"/>
        <v>0</v>
      </c>
      <c r="V122" s="113">
        <f t="shared" si="34"/>
        <v>0</v>
      </c>
      <c r="W122" s="115">
        <f t="shared" si="6"/>
        <v>0</v>
      </c>
      <c r="X122" s="85">
        <f t="shared" si="7"/>
        <v>0</v>
      </c>
      <c r="Y122" s="116">
        <f t="shared" si="8"/>
        <v>0</v>
      </c>
      <c r="Z122" s="113">
        <f t="shared" si="9"/>
        <v>0</v>
      </c>
      <c r="AA122" s="113" t="str">
        <f t="shared" si="10"/>
        <v>no</v>
      </c>
      <c r="AB122" s="115">
        <f t="shared" si="11"/>
        <v>0</v>
      </c>
      <c r="AC122" s="113">
        <f t="shared" si="35"/>
        <v>0</v>
      </c>
      <c r="AD122" s="116">
        <f t="shared" si="12"/>
        <v>0</v>
      </c>
      <c r="AE122" s="113">
        <f t="shared" si="13"/>
        <v>0</v>
      </c>
      <c r="AF122" s="116">
        <f t="shared" si="14"/>
        <v>0</v>
      </c>
      <c r="AG122" s="113">
        <f t="shared" si="15"/>
        <v>0</v>
      </c>
      <c r="AH122" s="113" t="str">
        <f t="shared" si="16"/>
        <v>no</v>
      </c>
      <c r="AI122" s="115">
        <f t="shared" si="17"/>
        <v>0</v>
      </c>
      <c r="AJ122" s="113">
        <f t="shared" si="36"/>
        <v>0</v>
      </c>
      <c r="AK122" s="116">
        <f t="shared" si="18"/>
        <v>0</v>
      </c>
      <c r="AL122" s="113">
        <f t="shared" si="19"/>
        <v>0</v>
      </c>
      <c r="AM122" s="115">
        <f t="shared" si="20"/>
        <v>0</v>
      </c>
      <c r="AN122" s="85">
        <f t="shared" si="21"/>
        <v>0</v>
      </c>
      <c r="AO122" s="113" t="str">
        <f t="shared" si="22"/>
        <v>yes</v>
      </c>
      <c r="AP122" s="115">
        <f t="shared" si="23"/>
        <v>0</v>
      </c>
      <c r="AQ122" s="113">
        <f t="shared" si="37"/>
        <v>0</v>
      </c>
      <c r="AR122" s="116">
        <f t="shared" si="24"/>
        <v>0.1053438177</v>
      </c>
      <c r="AS122" s="114">
        <f t="shared" si="25"/>
        <v>9101.705852</v>
      </c>
      <c r="AT122" s="116">
        <f t="shared" si="26"/>
        <v>0.1057000991</v>
      </c>
      <c r="AU122" s="114">
        <f t="shared" si="27"/>
        <v>9132.488564</v>
      </c>
      <c r="AV122" s="113" t="str">
        <f t="shared" si="28"/>
        <v>no</v>
      </c>
      <c r="AW122" s="115">
        <f t="shared" si="29"/>
        <v>0</v>
      </c>
      <c r="AX122" s="85">
        <f t="shared" si="38"/>
        <v>0</v>
      </c>
      <c r="AY122" s="116">
        <f t="shared" si="30"/>
        <v>0</v>
      </c>
      <c r="AZ122" s="113">
        <f t="shared" si="31"/>
        <v>0</v>
      </c>
      <c r="BA122" s="116">
        <f t="shared" si="32"/>
        <v>0</v>
      </c>
      <c r="BB122" s="113">
        <f t="shared" si="33"/>
        <v>0</v>
      </c>
      <c r="BC122" s="112">
        <v>0.22953551824449125</v>
      </c>
      <c r="BD122" s="113" t="str">
        <f>ifs(BC122&lt;='Range Tables'!$G$81,'Range Tables'!$B$81,BC122&lt;='Range Tables'!$G$82,'Range Tables'!$B$82)</f>
        <v>Online*</v>
      </c>
      <c r="BE122" s="112">
        <v>0.016387237143057898</v>
      </c>
      <c r="BF122" s="112" t="str">
        <f>ifs(BE122&lt;='Range Tables'!$G$95,'Range Tables'!$B$95,BE122&lt;='Range Tables'!$G$96,'Range Tables'!$B$96,BE122&lt;='Range Tables'!$G$97,'Range Tables'!$B$97,BE122&lt;='Range Tables'!$G$98,'Range Tables'!$B$98,BE122&lt;='Range Tables'!$G$99,'Range Tables'!$B$99,BE122&lt;='Range Tables'!$G$100,'Range Tables'!$B$100,BE122&lt;='Range Tables'!$G$101,'Range Tables'!$B$101,BE122&lt;='Range Tables'!$G$102,'Range Tables'!$B$102,BE122&lt;='Range Tables'!$G$103,'Range Tables'!$B$103)</f>
        <v>Jammu</v>
      </c>
      <c r="BG122" s="112">
        <v>0.4380522554437736</v>
      </c>
      <c r="BH122" s="113" t="str">
        <f>ifs(BG122&lt;='Range Tables'!$G$112,'Range Tables'!$B$112,BG122&lt;='Range Tables'!$G$113,'Range Tables'!$B$113,BG122&lt;='Range Tables'!$G$114,'Range Tables'!$B$114)</f>
        <v>0</v>
      </c>
      <c r="BI122" s="117">
        <v>0.3180847728785493</v>
      </c>
      <c r="BJ122" s="113" t="str">
        <f>ifs(BI122&lt;='Range Tables'!$G$118,'Range Tables'!$B$118,BI122&lt;='Range Tables'!$G$119,'Range Tables'!$B$119)</f>
        <v>Valid</v>
      </c>
    </row>
    <row r="123">
      <c r="A123" s="85">
        <v>120.0</v>
      </c>
      <c r="B123" s="112">
        <v>0.14707495372569768</v>
      </c>
      <c r="C123" s="113" t="str">
        <f>ifs(B123&lt;='Range Tables'!$G$54,'Range Tables'!$B$54,B123&lt;='Range Tables'!$G$55,'Range Tables'!$B$55,B123&lt;='Range Tables'!$G$56,'Range Tables'!$B$56,B123&lt;='Range Tables'!$G$57,'Range Tables'!$B$57,B123&lt;='Range Tables'!$G$58,'Range Tables'!$B$58,B123&lt;='Range Tables'!$G$59,'Range Tables'!$B$59,B123&lt;='Range Tables'!$G$60,'Range Tables'!$B$60,B123&lt;='Range Tables'!$G$61,'Range Tables'!$B$61,B123&lt;='Range Tables'!$G$63,'Range Tables'!$B$63,B123&lt;='Range Tables'!$G$64,'Range Tables'!$B$64,B123&lt;='Range Tables'!$G$66,'Range Tables'!$B$66)</f>
        <v>0 - 30</v>
      </c>
      <c r="D123" s="113">
        <f>IFERROR(__xludf.DUMMYFUNCTION("SPLIT(C123,""-"")"),0.0)</f>
        <v>0</v>
      </c>
      <c r="E123" s="113">
        <f>IFERROR(__xludf.DUMMYFUNCTION("""COMPUTED_VALUE"""),30.0)</f>
        <v>30</v>
      </c>
      <c r="F123" s="114">
        <f t="shared" si="40"/>
        <v>4.412248612</v>
      </c>
      <c r="G123" s="112">
        <v>0.3109505153906751</v>
      </c>
      <c r="H123" s="113" t="str">
        <f>ifs(G123&lt;='Range Tables'!$G$86,'Range Tables'!$B$86,G123&lt;='Range Tables'!$G$87,'Range Tables'!$B$87,G123&lt;='Range Tables'!$G$88,'Range Tables'!$B$88,G123&lt;='Range Tables'!$G$89,'Range Tables'!$B$89,G123&lt;='Range Tables'!$G$90,'Range Tables'!$B$90,G123&lt;='Range Tables'!$G$91,'Range Tables'!$B$91)</f>
        <v>Car</v>
      </c>
      <c r="I123" s="112">
        <v>0.2989245566981569</v>
      </c>
      <c r="J123" s="113" t="str">
        <f>IFS(
  H123="Car", IF(I123&lt;='Range Tables'!$G$19, 'Range Tables'!$B$19, 'Range Tables'!$B$20), 
  H123="Bike", IF(I123&lt;='Range Tables'!$G$25, 'Range Tables'!$B$25, 'Range Tables'!$B$26), 
  H123="Scooter", IF(I123&lt;='Range Tables'!$G$31, 'Range Tables'!$B$31, 'Range Tables'!$B$32), 
  H123="Auto", IF(I123&lt;='Range Tables'!$G$37, 'Range Tables'!$B$37, 'Range Tables'!$B$38), 
  H123="Carriers*", IF(I123&lt;='Range Tables'!$G$43, 'Range Tables'!$B$43, 'Range Tables'!$B$44), 
  H123="Van*", IF(I123&lt;='Range Tables'!$G$50, 'Range Tables'!$B$50, 'Range Tables'!$B$49)
)</f>
        <v>Petrol</v>
      </c>
      <c r="K123" s="112">
        <v>0.3411872104905893</v>
      </c>
      <c r="L123" s="113">
        <f>if(J123="Petrol",ifs(K123&lt;='Range Tables'!$G$5,'Range Tables'!$B$5,K123&lt;='Range Tables'!$G$6,'Range Tables'!$B$6,K123&lt;='Range Tables'!$G$7,'Range Tables'!$B$7),ifs(K123&lt;='Range Tables'!$G$13,'Range Tables'!$B$13,K123&lt;='Range Tables'!$G$14,'Range Tables'!$B$14))</f>
        <v>2</v>
      </c>
      <c r="M123" s="112">
        <v>0.46052494093930996</v>
      </c>
      <c r="N123" s="113" t="str">
        <f>ifs(H123="Car",ifs(M123&lt;='Range Tables'!$G$125,'Range Tables'!$B$125,M123&lt;='Range Tables'!$G$126,'Range Tables'!$B$126,M123&lt;='Range Tables'!$G$127,'Range Tables'!$B$127,M123&lt;='Range Tables'!$G$128,'Range Tables'!$B$128,M123&lt;='Range Tables'!$G$129,'Range Tables'!$B$129,'Range Tables'!$G$131,'Range Tables'!$B$131),H123="Bike",ifs(M123&lt;='Range Tables'!$G$136,'Range Tables'!$B$136,M123&lt;='Range Tables'!$G$137,'Range Tables'!$B$137,M123&lt;='Range Tables'!$G$138,'Range Tables'!$B$138,M123&lt;='Range Tables'!$G$142,'Range Tables'!$B$142),H123="Scooter",ifs(M123&lt;='Range Tables'!$G$148,'Range Tables'!$B$148,M123&lt;='Range Tables'!$G$149,'Range Tables'!$B$149,M123&lt;='Range Tables'!$G$150,'Range Tables'!$B$150,M123&lt;='Range Tables'!$G$151,'Range Tables'!$B$151),H123="Auto",ifs(M123&lt;='Range Tables'!$G$161,'Range Tables'!$B$161,M123&lt;='Range Tables'!$G$162,'Range Tables'!$B$162,M123&lt;='Range Tables'!$G$163,'Range Tables'!$B$163,M123&lt;='Range Tables'!$G$164,'Range Tables'!$B$164),H123="Carriers*",ifs(M123&lt;='Range Tables'!$G$173,'Range Tables'!$B$173,M123&lt;='Range Tables'!$G$174,'Range Tables'!$B$174,M123&lt;='Range Tables'!$G$175,'Range Tables'!$B$175,M123&lt;='Range Tables'!$G$176,'Range Tables'!$B$176,M123&lt;='Range Tables'!$G$177,'Range Tables'!$B$177,M123&lt;='Range Tables'!$G$179,'Range Tables'!$B$179),H123="Van*",ifs(M123&lt;='Range Tables'!$G$186,'Range Tables'!$B$186))</f>
        <v>120 - 180</v>
      </c>
      <c r="O123" s="113">
        <f>IFERROR(__xludf.DUMMYFUNCTION("SPLIT(N123,""-"")"),120.0)</f>
        <v>120</v>
      </c>
      <c r="P123" s="113">
        <f>IFERROR(__xludf.DUMMYFUNCTION("""COMPUTED_VALUE"""),180.0)</f>
        <v>180</v>
      </c>
      <c r="Q123" s="114">
        <f t="shared" si="2"/>
        <v>147.6314965</v>
      </c>
      <c r="R123" s="115">
        <f t="shared" si="3"/>
        <v>0.1054311459</v>
      </c>
      <c r="S123" s="114">
        <f t="shared" si="39"/>
        <v>9109.251002</v>
      </c>
      <c r="T123" s="113" t="str">
        <f t="shared" si="4"/>
        <v>no</v>
      </c>
      <c r="U123" s="115">
        <f t="shared" si="5"/>
        <v>0</v>
      </c>
      <c r="V123" s="113">
        <f t="shared" si="34"/>
        <v>0</v>
      </c>
      <c r="W123" s="115">
        <f t="shared" si="6"/>
        <v>0</v>
      </c>
      <c r="X123" s="85">
        <f t="shared" si="7"/>
        <v>0</v>
      </c>
      <c r="Y123" s="116">
        <f t="shared" si="8"/>
        <v>0</v>
      </c>
      <c r="Z123" s="113">
        <f t="shared" si="9"/>
        <v>0</v>
      </c>
      <c r="AA123" s="113" t="str">
        <f t="shared" si="10"/>
        <v>yes</v>
      </c>
      <c r="AB123" s="115">
        <f t="shared" si="11"/>
        <v>0</v>
      </c>
      <c r="AC123" s="113">
        <f t="shared" si="35"/>
        <v>0</v>
      </c>
      <c r="AD123" s="116">
        <f t="shared" si="12"/>
        <v>0.1054311459</v>
      </c>
      <c r="AE123" s="114">
        <f t="shared" si="13"/>
        <v>9109.251002</v>
      </c>
      <c r="AF123" s="116">
        <f t="shared" si="14"/>
        <v>0.1071398437</v>
      </c>
      <c r="AG123" s="114">
        <f t="shared" si="15"/>
        <v>9256.882499</v>
      </c>
      <c r="AH123" s="113" t="str">
        <f t="shared" si="16"/>
        <v>no</v>
      </c>
      <c r="AI123" s="115">
        <f t="shared" si="17"/>
        <v>0</v>
      </c>
      <c r="AJ123" s="113">
        <f t="shared" si="36"/>
        <v>0</v>
      </c>
      <c r="AK123" s="116">
        <f t="shared" si="18"/>
        <v>0</v>
      </c>
      <c r="AL123" s="113">
        <f t="shared" si="19"/>
        <v>0</v>
      </c>
      <c r="AM123" s="115">
        <f t="shared" si="20"/>
        <v>0</v>
      </c>
      <c r="AN123" s="85">
        <f t="shared" si="21"/>
        <v>0</v>
      </c>
      <c r="AO123" s="113" t="str">
        <f t="shared" si="22"/>
        <v>no</v>
      </c>
      <c r="AP123" s="115">
        <f t="shared" si="23"/>
        <v>0</v>
      </c>
      <c r="AQ123" s="113">
        <f t="shared" si="37"/>
        <v>0</v>
      </c>
      <c r="AR123" s="116">
        <f t="shared" si="24"/>
        <v>0</v>
      </c>
      <c r="AS123" s="113">
        <f t="shared" si="25"/>
        <v>0</v>
      </c>
      <c r="AT123" s="116">
        <f t="shared" si="26"/>
        <v>0</v>
      </c>
      <c r="AU123" s="113">
        <f t="shared" si="27"/>
        <v>0</v>
      </c>
      <c r="AV123" s="113" t="str">
        <f t="shared" si="28"/>
        <v>no</v>
      </c>
      <c r="AW123" s="115">
        <f t="shared" si="29"/>
        <v>0</v>
      </c>
      <c r="AX123" s="85">
        <f t="shared" si="38"/>
        <v>0</v>
      </c>
      <c r="AY123" s="116">
        <f t="shared" si="30"/>
        <v>0</v>
      </c>
      <c r="AZ123" s="113">
        <f t="shared" si="31"/>
        <v>0</v>
      </c>
      <c r="BA123" s="116">
        <f t="shared" si="32"/>
        <v>0</v>
      </c>
      <c r="BB123" s="113">
        <f t="shared" si="33"/>
        <v>0</v>
      </c>
      <c r="BC123" s="112">
        <v>0.9019437619549159</v>
      </c>
      <c r="BD123" s="113" t="str">
        <f>ifs(BC123&lt;='Range Tables'!$G$81,'Range Tables'!$B$81,BC123&lt;='Range Tables'!$G$82,'Range Tables'!$B$82)</f>
        <v>Offline*</v>
      </c>
      <c r="BE123" s="112">
        <v>0.5912737988954859</v>
      </c>
      <c r="BF123" s="112" t="str">
        <f>ifs(BE123&lt;='Range Tables'!$G$95,'Range Tables'!$B$95,BE123&lt;='Range Tables'!$G$96,'Range Tables'!$B$96,BE123&lt;='Range Tables'!$G$97,'Range Tables'!$B$97,BE123&lt;='Range Tables'!$G$98,'Range Tables'!$B$98,BE123&lt;='Range Tables'!$G$99,'Range Tables'!$B$99,BE123&lt;='Range Tables'!$G$100,'Range Tables'!$B$100,BE123&lt;='Range Tables'!$G$101,'Range Tables'!$B$101,BE123&lt;='Range Tables'!$G$102,'Range Tables'!$B$102,BE123&lt;='Range Tables'!$G$103,'Range Tables'!$B$103)</f>
        <v>Jammu</v>
      </c>
      <c r="BG123" s="112">
        <v>0.5948583936757071</v>
      </c>
      <c r="BH123" s="113" t="str">
        <f>ifs(BG123&lt;='Range Tables'!$G$112,'Range Tables'!$B$112,BG123&lt;='Range Tables'!$G$113,'Range Tables'!$B$113,BG123&lt;='Range Tables'!$G$114,'Range Tables'!$B$114)</f>
        <v>0</v>
      </c>
      <c r="BI123" s="117">
        <v>0.3154078414289687</v>
      </c>
      <c r="BJ123" s="113" t="str">
        <f>ifs(BI123&lt;='Range Tables'!$G$118,'Range Tables'!$B$118,BI123&lt;='Range Tables'!$G$119,'Range Tables'!$B$119)</f>
        <v>Valid</v>
      </c>
    </row>
    <row r="124">
      <c r="A124" s="85">
        <v>121.0</v>
      </c>
      <c r="B124" s="112">
        <v>0.5500687565979933</v>
      </c>
      <c r="C124" s="113" t="str">
        <f>ifs(B124&lt;='Range Tables'!$G$54,'Range Tables'!$B$54,B124&lt;='Range Tables'!$G$55,'Range Tables'!$B$55,B124&lt;='Range Tables'!$G$56,'Range Tables'!$B$56,B124&lt;='Range Tables'!$G$57,'Range Tables'!$B$57,B124&lt;='Range Tables'!$G$58,'Range Tables'!$B$58,B124&lt;='Range Tables'!$G$59,'Range Tables'!$B$59,B124&lt;='Range Tables'!$G$60,'Range Tables'!$B$60,B124&lt;='Range Tables'!$G$61,'Range Tables'!$B$61,B124&lt;='Range Tables'!$G$63,'Range Tables'!$B$63,B124&lt;='Range Tables'!$G$64,'Range Tables'!$B$64,B124&lt;='Range Tables'!$G$66,'Range Tables'!$B$66)</f>
        <v>30 - 60 </v>
      </c>
      <c r="D124" s="113">
        <f>IFERROR(__xludf.DUMMYFUNCTION("SPLIT(C124,""-"")"),30.0)</f>
        <v>30</v>
      </c>
      <c r="E124" s="113">
        <f>IFERROR(__xludf.DUMMYFUNCTION("""COMPUTED_VALUE"""),60.0)</f>
        <v>60</v>
      </c>
      <c r="F124" s="114">
        <f t="shared" si="40"/>
        <v>46.5020627</v>
      </c>
      <c r="G124" s="112">
        <v>0.9286282266756631</v>
      </c>
      <c r="H124" s="113" t="str">
        <f>ifs(G124&lt;='Range Tables'!$G$86,'Range Tables'!$B$86,G124&lt;='Range Tables'!$G$87,'Range Tables'!$B$87,G124&lt;='Range Tables'!$G$88,'Range Tables'!$B$88,G124&lt;='Range Tables'!$G$89,'Range Tables'!$B$89,G124&lt;='Range Tables'!$G$90,'Range Tables'!$B$90,G124&lt;='Range Tables'!$G$91,'Range Tables'!$B$91)</f>
        <v>Carriers*</v>
      </c>
      <c r="I124" s="112">
        <v>0.730193278515317</v>
      </c>
      <c r="J124" s="113" t="str">
        <f>IFS(
  H124="Car", IF(I124&lt;='Range Tables'!$G$19, 'Range Tables'!$B$19, 'Range Tables'!$B$20), 
  H124="Bike", IF(I124&lt;='Range Tables'!$G$25, 'Range Tables'!$B$25, 'Range Tables'!$B$26), 
  H124="Scooter", IF(I124&lt;='Range Tables'!$G$31, 'Range Tables'!$B$31, 'Range Tables'!$B$32), 
  H124="Auto", IF(I124&lt;='Range Tables'!$G$37, 'Range Tables'!$B$37, 'Range Tables'!$B$38), 
  H124="Carriers*", IF(I124&lt;='Range Tables'!$G$43, 'Range Tables'!$B$43, 'Range Tables'!$B$44), 
  H124="Van*", IF(I124&lt;='Range Tables'!$G$50, 'Range Tables'!$B$50, 'Range Tables'!$B$49)
)</f>
        <v>Diesel</v>
      </c>
      <c r="K124" s="112">
        <v>0.7557717596971609</v>
      </c>
      <c r="L124" s="113">
        <f>if(J124="Petrol",ifs(K124&lt;='Range Tables'!$G$5,'Range Tables'!$B$5,K124&lt;='Range Tables'!$G$6,'Range Tables'!$B$6,K124&lt;='Range Tables'!$G$7,'Range Tables'!$B$7),ifs(K124&lt;='Range Tables'!$G$13,'Range Tables'!$B$13,K124&lt;='Range Tables'!$G$14,'Range Tables'!$B$14))</f>
        <v>1</v>
      </c>
      <c r="M124" s="112">
        <v>0.6350261326089851</v>
      </c>
      <c r="N124" s="113" t="str">
        <f>ifs(H124="Car",ifs(M124&lt;='Range Tables'!$G$125,'Range Tables'!$B$125,M124&lt;='Range Tables'!$G$126,'Range Tables'!$B$126,M124&lt;='Range Tables'!$G$127,'Range Tables'!$B$127,M124&lt;='Range Tables'!$G$128,'Range Tables'!$B$128,M124&lt;='Range Tables'!$G$129,'Range Tables'!$B$129,'Range Tables'!$G$131,'Range Tables'!$B$131),H124="Bike",ifs(M124&lt;='Range Tables'!$G$136,'Range Tables'!$B$136,M124&lt;='Range Tables'!$G$137,'Range Tables'!$B$137,M124&lt;='Range Tables'!$G$138,'Range Tables'!$B$138,M124&lt;='Range Tables'!$G$142,'Range Tables'!$B$142),H124="Scooter",ifs(M124&lt;='Range Tables'!$G$148,'Range Tables'!$B$148,M124&lt;='Range Tables'!$G$149,'Range Tables'!$B$149,M124&lt;='Range Tables'!$G$150,'Range Tables'!$B$150,M124&lt;='Range Tables'!$G$151,'Range Tables'!$B$151),H124="Auto",ifs(M124&lt;='Range Tables'!$G$161,'Range Tables'!$B$161,M124&lt;='Range Tables'!$G$162,'Range Tables'!$B$162,M124&lt;='Range Tables'!$G$163,'Range Tables'!$B$163,M124&lt;='Range Tables'!$G$164,'Range Tables'!$B$164),H124="Carriers*",ifs(M124&lt;='Range Tables'!$G$173,'Range Tables'!$B$173,M124&lt;='Range Tables'!$G$174,'Range Tables'!$B$174,M124&lt;='Range Tables'!$G$175,'Range Tables'!$B$175,M124&lt;='Range Tables'!$G$176,'Range Tables'!$B$176,M124&lt;='Range Tables'!$G$177,'Range Tables'!$B$177,M124&lt;='Range Tables'!$G$179,'Range Tables'!$B$179),H124="Van*",ifs(M124&lt;='Range Tables'!$G$186,'Range Tables'!$B$186))</f>
        <v>300 - 360</v>
      </c>
      <c r="O124" s="113">
        <f>IFERROR(__xludf.DUMMYFUNCTION("SPLIT(N124,""-"")"),300.0)</f>
        <v>300</v>
      </c>
      <c r="P124" s="113">
        <f>IFERROR(__xludf.DUMMYFUNCTION("""COMPUTED_VALUE"""),360.0)</f>
        <v>360</v>
      </c>
      <c r="Q124" s="114">
        <f t="shared" si="2"/>
        <v>338.101568</v>
      </c>
      <c r="R124" s="115">
        <f t="shared" si="3"/>
        <v>0.1054822136</v>
      </c>
      <c r="S124" s="114">
        <f t="shared" si="39"/>
        <v>9113.663251</v>
      </c>
      <c r="T124" s="113" t="str">
        <f t="shared" si="4"/>
        <v>yes</v>
      </c>
      <c r="U124" s="115">
        <f t="shared" si="5"/>
        <v>0</v>
      </c>
      <c r="V124" s="113">
        <f t="shared" si="34"/>
        <v>0</v>
      </c>
      <c r="W124" s="115">
        <f t="shared" si="6"/>
        <v>0.1054822136</v>
      </c>
      <c r="X124" s="118">
        <f t="shared" si="7"/>
        <v>9113.663251</v>
      </c>
      <c r="Y124" s="116">
        <f t="shared" si="8"/>
        <v>0.1093954261</v>
      </c>
      <c r="Z124" s="114">
        <f t="shared" si="9"/>
        <v>9451.764819</v>
      </c>
      <c r="AA124" s="113" t="str">
        <f t="shared" si="10"/>
        <v>no</v>
      </c>
      <c r="AB124" s="115">
        <f t="shared" si="11"/>
        <v>0</v>
      </c>
      <c r="AC124" s="113">
        <f t="shared" si="35"/>
        <v>0</v>
      </c>
      <c r="AD124" s="116">
        <f t="shared" si="12"/>
        <v>0</v>
      </c>
      <c r="AE124" s="113">
        <f t="shared" si="13"/>
        <v>0</v>
      </c>
      <c r="AF124" s="116">
        <f t="shared" si="14"/>
        <v>0</v>
      </c>
      <c r="AG124" s="113">
        <f t="shared" si="15"/>
        <v>0</v>
      </c>
      <c r="AH124" s="113" t="str">
        <f t="shared" si="16"/>
        <v>no</v>
      </c>
      <c r="AI124" s="115">
        <f t="shared" si="17"/>
        <v>0</v>
      </c>
      <c r="AJ124" s="113">
        <f t="shared" si="36"/>
        <v>0</v>
      </c>
      <c r="AK124" s="116">
        <f t="shared" si="18"/>
        <v>0</v>
      </c>
      <c r="AL124" s="113">
        <f t="shared" si="19"/>
        <v>0</v>
      </c>
      <c r="AM124" s="115">
        <f t="shared" si="20"/>
        <v>0</v>
      </c>
      <c r="AN124" s="85">
        <f t="shared" si="21"/>
        <v>0</v>
      </c>
      <c r="AO124" s="113" t="str">
        <f t="shared" si="22"/>
        <v>no</v>
      </c>
      <c r="AP124" s="115">
        <f t="shared" si="23"/>
        <v>0</v>
      </c>
      <c r="AQ124" s="113">
        <f t="shared" si="37"/>
        <v>0</v>
      </c>
      <c r="AR124" s="116">
        <f t="shared" si="24"/>
        <v>0</v>
      </c>
      <c r="AS124" s="113">
        <f t="shared" si="25"/>
        <v>0</v>
      </c>
      <c r="AT124" s="116">
        <f t="shared" si="26"/>
        <v>0</v>
      </c>
      <c r="AU124" s="113">
        <f t="shared" si="27"/>
        <v>0</v>
      </c>
      <c r="AV124" s="113" t="str">
        <f t="shared" si="28"/>
        <v>no</v>
      </c>
      <c r="AW124" s="115">
        <f t="shared" si="29"/>
        <v>0</v>
      </c>
      <c r="AX124" s="85">
        <f t="shared" si="38"/>
        <v>0</v>
      </c>
      <c r="AY124" s="116">
        <f t="shared" si="30"/>
        <v>0</v>
      </c>
      <c r="AZ124" s="113">
        <f t="shared" si="31"/>
        <v>0</v>
      </c>
      <c r="BA124" s="116">
        <f t="shared" si="32"/>
        <v>0</v>
      </c>
      <c r="BB124" s="113">
        <f t="shared" si="33"/>
        <v>0</v>
      </c>
      <c r="BC124" s="112">
        <v>0.2436195299470474</v>
      </c>
      <c r="BD124" s="113" t="str">
        <f>ifs(BC124&lt;='Range Tables'!$G$81,'Range Tables'!$B$81,BC124&lt;='Range Tables'!$G$82,'Range Tables'!$B$82)</f>
        <v>Online*</v>
      </c>
      <c r="BE124" s="112">
        <v>0.009581105139204293</v>
      </c>
      <c r="BF124" s="112" t="str">
        <f>ifs(BE124&lt;='Range Tables'!$G$95,'Range Tables'!$B$95,BE124&lt;='Range Tables'!$G$96,'Range Tables'!$B$96,BE124&lt;='Range Tables'!$G$97,'Range Tables'!$B$97,BE124&lt;='Range Tables'!$G$98,'Range Tables'!$B$98,BE124&lt;='Range Tables'!$G$99,'Range Tables'!$B$99,BE124&lt;='Range Tables'!$G$100,'Range Tables'!$B$100,BE124&lt;='Range Tables'!$G$101,'Range Tables'!$B$101,BE124&lt;='Range Tables'!$G$102,'Range Tables'!$B$102,BE124&lt;='Range Tables'!$G$103,'Range Tables'!$B$103)</f>
        <v>Jammu</v>
      </c>
      <c r="BG124" s="112">
        <v>0.5272944475422429</v>
      </c>
      <c r="BH124" s="113" t="str">
        <f>ifs(BG124&lt;='Range Tables'!$G$112,'Range Tables'!$B$112,BG124&lt;='Range Tables'!$G$113,'Range Tables'!$B$113,BG124&lt;='Range Tables'!$G$114,'Range Tables'!$B$114)</f>
        <v>0</v>
      </c>
      <c r="BI124" s="117">
        <v>0.5538962465708126</v>
      </c>
      <c r="BJ124" s="113" t="str">
        <f>ifs(BI124&lt;='Range Tables'!$G$118,'Range Tables'!$B$118,BI124&lt;='Range Tables'!$G$119,'Range Tables'!$B$119)</f>
        <v>Valid</v>
      </c>
    </row>
    <row r="125">
      <c r="A125" s="85">
        <v>122.0</v>
      </c>
      <c r="B125" s="112">
        <v>0.2650455581874598</v>
      </c>
      <c r="C125" s="113" t="str">
        <f>ifs(B125&lt;='Range Tables'!$G$54,'Range Tables'!$B$54,B125&lt;='Range Tables'!$G$55,'Range Tables'!$B$55,B125&lt;='Range Tables'!$G$56,'Range Tables'!$B$56,B125&lt;='Range Tables'!$G$57,'Range Tables'!$B$57,B125&lt;='Range Tables'!$G$58,'Range Tables'!$B$58,B125&lt;='Range Tables'!$G$59,'Range Tables'!$B$59,B125&lt;='Range Tables'!$G$60,'Range Tables'!$B$60,B125&lt;='Range Tables'!$G$61,'Range Tables'!$B$61,B125&lt;='Range Tables'!$G$63,'Range Tables'!$B$63,B125&lt;='Range Tables'!$G$64,'Range Tables'!$B$64,B125&lt;='Range Tables'!$G$66,'Range Tables'!$B$66)</f>
        <v>0 - 30</v>
      </c>
      <c r="D125" s="113">
        <f>IFERROR(__xludf.DUMMYFUNCTION("SPLIT(C125,""-"")"),0.0)</f>
        <v>0</v>
      </c>
      <c r="E125" s="113">
        <f>IFERROR(__xludf.DUMMYFUNCTION("""COMPUTED_VALUE"""),30.0)</f>
        <v>30</v>
      </c>
      <c r="F125" s="114">
        <f t="shared" si="40"/>
        <v>7.951366746</v>
      </c>
      <c r="G125" s="112">
        <v>0.6210301259082657</v>
      </c>
      <c r="H125" s="113" t="str">
        <f>ifs(G125&lt;='Range Tables'!$G$86,'Range Tables'!$B$86,G125&lt;='Range Tables'!$G$87,'Range Tables'!$B$87,G125&lt;='Range Tables'!$G$88,'Range Tables'!$B$88,G125&lt;='Range Tables'!$G$89,'Range Tables'!$B$89,G125&lt;='Range Tables'!$G$90,'Range Tables'!$B$90,G125&lt;='Range Tables'!$G$91,'Range Tables'!$B$91)</f>
        <v>Bike</v>
      </c>
      <c r="I125" s="112">
        <v>0.10503521598828747</v>
      </c>
      <c r="J125" s="113" t="str">
        <f>IFS(
  H125="Car", IF(I125&lt;='Range Tables'!$G$19, 'Range Tables'!$B$19, 'Range Tables'!$B$20), 
  H125="Bike", IF(I125&lt;='Range Tables'!$G$25, 'Range Tables'!$B$25, 'Range Tables'!$B$26), 
  H125="Scooter", IF(I125&lt;='Range Tables'!$G$31, 'Range Tables'!$B$31, 'Range Tables'!$B$32), 
  H125="Auto", IF(I125&lt;='Range Tables'!$G$37, 'Range Tables'!$B$37, 'Range Tables'!$B$38), 
  H125="Carriers*", IF(I125&lt;='Range Tables'!$G$43, 'Range Tables'!$B$43, 'Range Tables'!$B$44), 
  H125="Van*", IF(I125&lt;='Range Tables'!$G$50, 'Range Tables'!$B$50, 'Range Tables'!$B$49)
)</f>
        <v>Petrol</v>
      </c>
      <c r="K125" s="112">
        <v>0.15307054907004736</v>
      </c>
      <c r="L125" s="113">
        <f>if(J125="Petrol",ifs(K125&lt;='Range Tables'!$G$5,'Range Tables'!$B$5,K125&lt;='Range Tables'!$G$6,'Range Tables'!$B$6,K125&lt;='Range Tables'!$G$7,'Range Tables'!$B$7),ifs(K125&lt;='Range Tables'!$G$13,'Range Tables'!$B$13,K125&lt;='Range Tables'!$G$14,'Range Tables'!$B$14))</f>
        <v>2</v>
      </c>
      <c r="M125" s="112">
        <v>0.7854445006205496</v>
      </c>
      <c r="N125" s="113" t="str">
        <f>ifs(H125="Car",ifs(M125&lt;='Range Tables'!$G$125,'Range Tables'!$B$125,M125&lt;='Range Tables'!$G$126,'Range Tables'!$B$126,M125&lt;='Range Tables'!$G$127,'Range Tables'!$B$127,M125&lt;='Range Tables'!$G$128,'Range Tables'!$B$128,M125&lt;='Range Tables'!$G$129,'Range Tables'!$B$129,'Range Tables'!$G$131,'Range Tables'!$B$131),H125="Bike",ifs(M125&lt;='Range Tables'!$G$136,'Range Tables'!$B$136,M125&lt;='Range Tables'!$G$137,'Range Tables'!$B$137,M125&lt;='Range Tables'!$G$138,'Range Tables'!$B$138,M125&lt;='Range Tables'!$G$142,'Range Tables'!$B$142),H125="Scooter",ifs(M125&lt;='Range Tables'!$G$148,'Range Tables'!$B$148,M125&lt;='Range Tables'!$G$149,'Range Tables'!$B$149,M125&lt;='Range Tables'!$G$150,'Range Tables'!$B$150,M125&lt;='Range Tables'!$G$151,'Range Tables'!$B$151),H125="Auto",ifs(M125&lt;='Range Tables'!$G$161,'Range Tables'!$B$161,M125&lt;='Range Tables'!$G$162,'Range Tables'!$B$162,M125&lt;='Range Tables'!$G$163,'Range Tables'!$B$163,M125&lt;='Range Tables'!$G$164,'Range Tables'!$B$164),H125="Carriers*",ifs(M125&lt;='Range Tables'!$G$173,'Range Tables'!$B$173,M125&lt;='Range Tables'!$G$174,'Range Tables'!$B$174,M125&lt;='Range Tables'!$G$175,'Range Tables'!$B$175,M125&lt;='Range Tables'!$G$176,'Range Tables'!$B$176,M125&lt;='Range Tables'!$G$177,'Range Tables'!$B$177,M125&lt;='Range Tables'!$G$179,'Range Tables'!$B$179),H125="Van*",ifs(M125&lt;='Range Tables'!$G$186,'Range Tables'!$B$186))</f>
        <v>120 - 180</v>
      </c>
      <c r="O125" s="113">
        <f>IFERROR(__xludf.DUMMYFUNCTION("SPLIT(N125,""-"")"),120.0)</f>
        <v>120</v>
      </c>
      <c r="P125" s="113">
        <f>IFERROR(__xludf.DUMMYFUNCTION("""COMPUTED_VALUE"""),180.0)</f>
        <v>180</v>
      </c>
      <c r="Q125" s="114">
        <f t="shared" si="2"/>
        <v>167.12667</v>
      </c>
      <c r="R125" s="115">
        <f t="shared" si="3"/>
        <v>0.1060204319</v>
      </c>
      <c r="S125" s="114">
        <f t="shared" si="39"/>
        <v>9160.165314</v>
      </c>
      <c r="T125" s="113" t="str">
        <f t="shared" si="4"/>
        <v>no</v>
      </c>
      <c r="U125" s="115">
        <f t="shared" si="5"/>
        <v>0</v>
      </c>
      <c r="V125" s="113">
        <f t="shared" si="34"/>
        <v>0</v>
      </c>
      <c r="W125" s="115">
        <f t="shared" si="6"/>
        <v>0</v>
      </c>
      <c r="X125" s="85">
        <f t="shared" si="7"/>
        <v>0</v>
      </c>
      <c r="Y125" s="116">
        <f t="shared" si="8"/>
        <v>0</v>
      </c>
      <c r="Z125" s="113">
        <f t="shared" si="9"/>
        <v>0</v>
      </c>
      <c r="AA125" s="113" t="str">
        <f t="shared" si="10"/>
        <v>yes</v>
      </c>
      <c r="AB125" s="115">
        <f t="shared" si="11"/>
        <v>0</v>
      </c>
      <c r="AC125" s="113">
        <f t="shared" si="35"/>
        <v>0</v>
      </c>
      <c r="AD125" s="116">
        <f t="shared" si="12"/>
        <v>0.1060204319</v>
      </c>
      <c r="AE125" s="114">
        <f t="shared" si="13"/>
        <v>9160.165314</v>
      </c>
      <c r="AF125" s="116">
        <f t="shared" si="14"/>
        <v>0.1079547683</v>
      </c>
      <c r="AG125" s="114">
        <f t="shared" si="15"/>
        <v>9327.291984</v>
      </c>
      <c r="AH125" s="113" t="str">
        <f t="shared" si="16"/>
        <v>no</v>
      </c>
      <c r="AI125" s="115">
        <f t="shared" si="17"/>
        <v>0</v>
      </c>
      <c r="AJ125" s="113">
        <f t="shared" si="36"/>
        <v>0</v>
      </c>
      <c r="AK125" s="116">
        <f t="shared" si="18"/>
        <v>0</v>
      </c>
      <c r="AL125" s="113">
        <f t="shared" si="19"/>
        <v>0</v>
      </c>
      <c r="AM125" s="115">
        <f t="shared" si="20"/>
        <v>0</v>
      </c>
      <c r="AN125" s="85">
        <f t="shared" si="21"/>
        <v>0</v>
      </c>
      <c r="AO125" s="113" t="str">
        <f t="shared" si="22"/>
        <v>no</v>
      </c>
      <c r="AP125" s="115">
        <f t="shared" si="23"/>
        <v>0</v>
      </c>
      <c r="AQ125" s="113">
        <f t="shared" si="37"/>
        <v>0</v>
      </c>
      <c r="AR125" s="116">
        <f t="shared" si="24"/>
        <v>0</v>
      </c>
      <c r="AS125" s="113">
        <f t="shared" si="25"/>
        <v>0</v>
      </c>
      <c r="AT125" s="116">
        <f t="shared" si="26"/>
        <v>0</v>
      </c>
      <c r="AU125" s="113">
        <f t="shared" si="27"/>
        <v>0</v>
      </c>
      <c r="AV125" s="113" t="str">
        <f t="shared" si="28"/>
        <v>no</v>
      </c>
      <c r="AW125" s="115">
        <f t="shared" si="29"/>
        <v>0</v>
      </c>
      <c r="AX125" s="85">
        <f t="shared" si="38"/>
        <v>0</v>
      </c>
      <c r="AY125" s="116">
        <f t="shared" si="30"/>
        <v>0</v>
      </c>
      <c r="AZ125" s="113">
        <f t="shared" si="31"/>
        <v>0</v>
      </c>
      <c r="BA125" s="116">
        <f t="shared" si="32"/>
        <v>0</v>
      </c>
      <c r="BB125" s="113">
        <f t="shared" si="33"/>
        <v>0</v>
      </c>
      <c r="BC125" s="112">
        <v>0.9852465270129331</v>
      </c>
      <c r="BD125" s="113" t="str">
        <f>ifs(BC125&lt;='Range Tables'!$G$81,'Range Tables'!$B$81,BC125&lt;='Range Tables'!$G$82,'Range Tables'!$B$82)</f>
        <v>Offline*</v>
      </c>
      <c r="BE125" s="112">
        <v>0.3806636427766499</v>
      </c>
      <c r="BF125" s="112" t="str">
        <f>ifs(BE125&lt;='Range Tables'!$G$95,'Range Tables'!$B$95,BE125&lt;='Range Tables'!$G$96,'Range Tables'!$B$96,BE125&lt;='Range Tables'!$G$97,'Range Tables'!$B$97,BE125&lt;='Range Tables'!$G$98,'Range Tables'!$B$98,BE125&lt;='Range Tables'!$G$99,'Range Tables'!$B$99,BE125&lt;='Range Tables'!$G$100,'Range Tables'!$B$100,BE125&lt;='Range Tables'!$G$101,'Range Tables'!$B$101,BE125&lt;='Range Tables'!$G$102,'Range Tables'!$B$102,BE125&lt;='Range Tables'!$G$103,'Range Tables'!$B$103)</f>
        <v>Jammu</v>
      </c>
      <c r="BG125" s="112">
        <v>0.7277858004161897</v>
      </c>
      <c r="BH125" s="113" t="str">
        <f>ifs(BG125&lt;='Range Tables'!$G$112,'Range Tables'!$B$112,BG125&lt;='Range Tables'!$G$113,'Range Tables'!$B$113,BG125&lt;='Range Tables'!$G$114,'Range Tables'!$B$114)</f>
        <v>0</v>
      </c>
      <c r="BI125" s="117">
        <v>0.5502881077750327</v>
      </c>
      <c r="BJ125" s="113" t="str">
        <f>ifs(BI125&lt;='Range Tables'!$G$118,'Range Tables'!$B$118,BI125&lt;='Range Tables'!$G$119,'Range Tables'!$B$119)</f>
        <v>Valid</v>
      </c>
    </row>
    <row r="126">
      <c r="A126" s="85">
        <v>123.0</v>
      </c>
      <c r="B126" s="112">
        <v>0.8442955181823307</v>
      </c>
      <c r="C126" s="113" t="str">
        <f>ifs(B126&lt;='Range Tables'!$G$54,'Range Tables'!$B$54,B126&lt;='Range Tables'!$G$55,'Range Tables'!$B$55,B126&lt;='Range Tables'!$G$56,'Range Tables'!$B$56,B126&lt;='Range Tables'!$G$57,'Range Tables'!$B$57,B126&lt;='Range Tables'!$G$58,'Range Tables'!$B$58,B126&lt;='Range Tables'!$G$59,'Range Tables'!$B$59,B126&lt;='Range Tables'!$G$60,'Range Tables'!$B$60,B126&lt;='Range Tables'!$G$61,'Range Tables'!$B$61,B126&lt;='Range Tables'!$G$63,'Range Tables'!$B$63,B126&lt;='Range Tables'!$G$64,'Range Tables'!$B$64,B126&lt;='Range Tables'!$G$66,'Range Tables'!$B$66)</f>
        <v>180 - 210</v>
      </c>
      <c r="D126" s="113">
        <f>IFERROR(__xludf.DUMMYFUNCTION("SPLIT(C126,""-"")"),180.0)</f>
        <v>180</v>
      </c>
      <c r="E126" s="113">
        <f>IFERROR(__xludf.DUMMYFUNCTION("""COMPUTED_VALUE"""),210.0)</f>
        <v>210</v>
      </c>
      <c r="F126" s="114">
        <f t="shared" si="40"/>
        <v>205.3288655</v>
      </c>
      <c r="G126" s="112">
        <v>0.14488486399626532</v>
      </c>
      <c r="H126" s="113" t="str">
        <f>ifs(G126&lt;='Range Tables'!$G$86,'Range Tables'!$B$86,G126&lt;='Range Tables'!$G$87,'Range Tables'!$B$87,G126&lt;='Range Tables'!$G$88,'Range Tables'!$B$88,G126&lt;='Range Tables'!$G$89,'Range Tables'!$B$89,G126&lt;='Range Tables'!$G$90,'Range Tables'!$B$90,G126&lt;='Range Tables'!$G$91,'Range Tables'!$B$91)</f>
        <v>Car</v>
      </c>
      <c r="I126" s="112">
        <v>0.6833895097306182</v>
      </c>
      <c r="J126" s="113" t="str">
        <f>IFS(
  H126="Car", IF(I126&lt;='Range Tables'!$G$19, 'Range Tables'!$B$19, 'Range Tables'!$B$20), 
  H126="Bike", IF(I126&lt;='Range Tables'!$G$25, 'Range Tables'!$B$25, 'Range Tables'!$B$26), 
  H126="Scooter", IF(I126&lt;='Range Tables'!$G$31, 'Range Tables'!$B$31, 'Range Tables'!$B$32), 
  H126="Auto", IF(I126&lt;='Range Tables'!$G$37, 'Range Tables'!$B$37, 'Range Tables'!$B$38), 
  H126="Carriers*", IF(I126&lt;='Range Tables'!$G$43, 'Range Tables'!$B$43, 'Range Tables'!$B$44), 
  H126="Van*", IF(I126&lt;='Range Tables'!$G$50, 'Range Tables'!$B$50, 'Range Tables'!$B$49)
)</f>
        <v>Petrol</v>
      </c>
      <c r="K126" s="112">
        <v>0.3011361082627515</v>
      </c>
      <c r="L126" s="113">
        <f>if(J126="Petrol",ifs(K126&lt;='Range Tables'!$G$5,'Range Tables'!$B$5,K126&lt;='Range Tables'!$G$6,'Range Tables'!$B$6,K126&lt;='Range Tables'!$G$7,'Range Tables'!$B$7),ifs(K126&lt;='Range Tables'!$G$13,'Range Tables'!$B$13,K126&lt;='Range Tables'!$G$14,'Range Tables'!$B$14))</f>
        <v>2</v>
      </c>
      <c r="M126" s="112">
        <v>0.08968655595642872</v>
      </c>
      <c r="N126" s="113" t="str">
        <f>ifs(H126="Car",ifs(M126&lt;='Range Tables'!$G$125,'Range Tables'!$B$125,M126&lt;='Range Tables'!$G$126,'Range Tables'!$B$126,M126&lt;='Range Tables'!$G$127,'Range Tables'!$B$127,M126&lt;='Range Tables'!$G$128,'Range Tables'!$B$128,M126&lt;='Range Tables'!$G$129,'Range Tables'!$B$129,'Range Tables'!$G$131,'Range Tables'!$B$131),H126="Bike",ifs(M126&lt;='Range Tables'!$G$136,'Range Tables'!$B$136,M126&lt;='Range Tables'!$G$137,'Range Tables'!$B$137,M126&lt;='Range Tables'!$G$138,'Range Tables'!$B$138,M126&lt;='Range Tables'!$G$142,'Range Tables'!$B$142),H126="Scooter",ifs(M126&lt;='Range Tables'!$G$148,'Range Tables'!$B$148,M126&lt;='Range Tables'!$G$149,'Range Tables'!$B$149,M126&lt;='Range Tables'!$G$150,'Range Tables'!$B$150,M126&lt;='Range Tables'!$G$151,'Range Tables'!$B$151),H126="Auto",ifs(M126&lt;='Range Tables'!$G$161,'Range Tables'!$B$161,M126&lt;='Range Tables'!$G$162,'Range Tables'!$B$162,M126&lt;='Range Tables'!$G$163,'Range Tables'!$B$163,M126&lt;='Range Tables'!$G$164,'Range Tables'!$B$164),H126="Carriers*",ifs(M126&lt;='Range Tables'!$G$173,'Range Tables'!$B$173,M126&lt;='Range Tables'!$G$174,'Range Tables'!$B$174,M126&lt;='Range Tables'!$G$175,'Range Tables'!$B$175,M126&lt;='Range Tables'!$G$176,'Range Tables'!$B$176,M126&lt;='Range Tables'!$G$177,'Range Tables'!$B$177,M126&lt;='Range Tables'!$G$179,'Range Tables'!$B$179),H126="Van*",ifs(M126&lt;='Range Tables'!$G$186,'Range Tables'!$B$186))</f>
        <v>60 - 120</v>
      </c>
      <c r="O126" s="113">
        <f>IFERROR(__xludf.DUMMYFUNCTION("SPLIT(N126,""-"")"),60.0)</f>
        <v>60</v>
      </c>
      <c r="P126" s="113">
        <f>IFERROR(__xludf.DUMMYFUNCTION("""COMPUTED_VALUE"""),120.0)</f>
        <v>120</v>
      </c>
      <c r="Q126" s="114">
        <f t="shared" si="2"/>
        <v>65.38119336</v>
      </c>
      <c r="R126" s="115">
        <f t="shared" si="3"/>
        <v>0.1061124616</v>
      </c>
      <c r="S126" s="114">
        <f t="shared" si="39"/>
        <v>9168.11668</v>
      </c>
      <c r="T126" s="113" t="str">
        <f t="shared" si="4"/>
        <v>no</v>
      </c>
      <c r="U126" s="115">
        <f t="shared" si="5"/>
        <v>0</v>
      </c>
      <c r="V126" s="113">
        <f t="shared" si="34"/>
        <v>0</v>
      </c>
      <c r="W126" s="115">
        <f t="shared" si="6"/>
        <v>0</v>
      </c>
      <c r="X126" s="85">
        <f t="shared" si="7"/>
        <v>0</v>
      </c>
      <c r="Y126" s="116">
        <f t="shared" si="8"/>
        <v>0</v>
      </c>
      <c r="Z126" s="113">
        <f t="shared" si="9"/>
        <v>0</v>
      </c>
      <c r="AA126" s="113" t="str">
        <f t="shared" si="10"/>
        <v>yes</v>
      </c>
      <c r="AB126" s="115">
        <f t="shared" si="11"/>
        <v>0.001842306751</v>
      </c>
      <c r="AC126" s="114">
        <f t="shared" si="35"/>
        <v>159.1753033</v>
      </c>
      <c r="AD126" s="116">
        <f t="shared" si="12"/>
        <v>0.1079547683</v>
      </c>
      <c r="AE126" s="114">
        <f t="shared" si="13"/>
        <v>9327.291984</v>
      </c>
      <c r="AF126" s="116">
        <f t="shared" si="14"/>
        <v>0.1087114951</v>
      </c>
      <c r="AG126" s="114">
        <f t="shared" si="15"/>
        <v>9392.673177</v>
      </c>
      <c r="AH126" s="113" t="str">
        <f t="shared" si="16"/>
        <v>no</v>
      </c>
      <c r="AI126" s="115">
        <f t="shared" si="17"/>
        <v>0</v>
      </c>
      <c r="AJ126" s="113">
        <f t="shared" si="36"/>
        <v>0</v>
      </c>
      <c r="AK126" s="116">
        <f t="shared" si="18"/>
        <v>0</v>
      </c>
      <c r="AL126" s="113">
        <f t="shared" si="19"/>
        <v>0</v>
      </c>
      <c r="AM126" s="115">
        <f t="shared" si="20"/>
        <v>0</v>
      </c>
      <c r="AN126" s="85">
        <f t="shared" si="21"/>
        <v>0</v>
      </c>
      <c r="AO126" s="113" t="str">
        <f t="shared" si="22"/>
        <v>no</v>
      </c>
      <c r="AP126" s="115">
        <f t="shared" si="23"/>
        <v>0</v>
      </c>
      <c r="AQ126" s="113">
        <f t="shared" si="37"/>
        <v>0</v>
      </c>
      <c r="AR126" s="116">
        <f t="shared" si="24"/>
        <v>0</v>
      </c>
      <c r="AS126" s="113">
        <f t="shared" si="25"/>
        <v>0</v>
      </c>
      <c r="AT126" s="116">
        <f t="shared" si="26"/>
        <v>0</v>
      </c>
      <c r="AU126" s="113">
        <f t="shared" si="27"/>
        <v>0</v>
      </c>
      <c r="AV126" s="113" t="str">
        <f t="shared" si="28"/>
        <v>no</v>
      </c>
      <c r="AW126" s="115">
        <f t="shared" si="29"/>
        <v>0</v>
      </c>
      <c r="AX126" s="85">
        <f t="shared" si="38"/>
        <v>0</v>
      </c>
      <c r="AY126" s="116">
        <f t="shared" si="30"/>
        <v>0</v>
      </c>
      <c r="AZ126" s="113">
        <f t="shared" si="31"/>
        <v>0</v>
      </c>
      <c r="BA126" s="116">
        <f t="shared" si="32"/>
        <v>0</v>
      </c>
      <c r="BB126" s="113">
        <f t="shared" si="33"/>
        <v>0</v>
      </c>
      <c r="BC126" s="112">
        <v>0.2656967152481431</v>
      </c>
      <c r="BD126" s="113" t="str">
        <f>ifs(BC126&lt;='Range Tables'!$G$81,'Range Tables'!$B$81,BC126&lt;='Range Tables'!$G$82,'Range Tables'!$B$82)</f>
        <v>Online*</v>
      </c>
      <c r="BE126" s="112">
        <v>0.33796878496230887</v>
      </c>
      <c r="BF126" s="112" t="str">
        <f>ifs(BE126&lt;='Range Tables'!$G$95,'Range Tables'!$B$95,BE126&lt;='Range Tables'!$G$96,'Range Tables'!$B$96,BE126&lt;='Range Tables'!$G$97,'Range Tables'!$B$97,BE126&lt;='Range Tables'!$G$98,'Range Tables'!$B$98,BE126&lt;='Range Tables'!$G$99,'Range Tables'!$B$99,BE126&lt;='Range Tables'!$G$100,'Range Tables'!$B$100,BE126&lt;='Range Tables'!$G$101,'Range Tables'!$B$101,BE126&lt;='Range Tables'!$G$102,'Range Tables'!$B$102,BE126&lt;='Range Tables'!$G$103,'Range Tables'!$B$103)</f>
        <v>Jammu</v>
      </c>
      <c r="BG126" s="112">
        <v>0.7899809915041176</v>
      </c>
      <c r="BH126" s="113" t="str">
        <f>ifs(BG126&lt;='Range Tables'!$G$112,'Range Tables'!$B$112,BG126&lt;='Range Tables'!$G$113,'Range Tables'!$B$113,BG126&lt;='Range Tables'!$G$114,'Range Tables'!$B$114)</f>
        <v>1-5</v>
      </c>
      <c r="BI126" s="117">
        <v>0.9046388641223211</v>
      </c>
      <c r="BJ126" s="113" t="str">
        <f>ifs(BI126&lt;='Range Tables'!$G$118,'Range Tables'!$B$118,BI126&lt;='Range Tables'!$G$119,'Range Tables'!$B$119)</f>
        <v>Expired</v>
      </c>
    </row>
    <row r="127">
      <c r="A127" s="85">
        <v>124.0</v>
      </c>
      <c r="B127" s="112">
        <v>0.7746766878452511</v>
      </c>
      <c r="C127" s="113" t="str">
        <f>ifs(B127&lt;='Range Tables'!$G$54,'Range Tables'!$B$54,B127&lt;='Range Tables'!$G$55,'Range Tables'!$B$55,B127&lt;='Range Tables'!$G$56,'Range Tables'!$B$56,B127&lt;='Range Tables'!$G$57,'Range Tables'!$B$57,B127&lt;='Range Tables'!$G$58,'Range Tables'!$B$58,B127&lt;='Range Tables'!$G$59,'Range Tables'!$B$59,B127&lt;='Range Tables'!$G$60,'Range Tables'!$B$60,B127&lt;='Range Tables'!$G$61,'Range Tables'!$B$61,B127&lt;='Range Tables'!$G$63,'Range Tables'!$B$63,B127&lt;='Range Tables'!$G$64,'Range Tables'!$B$64,B127&lt;='Range Tables'!$G$66,'Range Tables'!$B$66)</f>
        <v>90 - 120</v>
      </c>
      <c r="D127" s="113">
        <f>IFERROR(__xludf.DUMMYFUNCTION("SPLIT(C127,""-"")"),90.0)</f>
        <v>90</v>
      </c>
      <c r="E127" s="113">
        <f>IFERROR(__xludf.DUMMYFUNCTION("""COMPUTED_VALUE"""),120.0)</f>
        <v>120</v>
      </c>
      <c r="F127" s="114">
        <f t="shared" si="40"/>
        <v>113.2403006</v>
      </c>
      <c r="G127" s="112">
        <v>0.6161847668537196</v>
      </c>
      <c r="H127" s="113" t="str">
        <f>ifs(G127&lt;='Range Tables'!$G$86,'Range Tables'!$B$86,G127&lt;='Range Tables'!$G$87,'Range Tables'!$B$87,G127&lt;='Range Tables'!$G$88,'Range Tables'!$B$88,G127&lt;='Range Tables'!$G$89,'Range Tables'!$B$89,G127&lt;='Range Tables'!$G$90,'Range Tables'!$B$90,G127&lt;='Range Tables'!$G$91,'Range Tables'!$B$91)</f>
        <v>Bike</v>
      </c>
      <c r="I127" s="112">
        <v>0.959423151708919</v>
      </c>
      <c r="J127" s="113" t="str">
        <f>IFS(
  H127="Car", IF(I127&lt;='Range Tables'!$G$19, 'Range Tables'!$B$19, 'Range Tables'!$B$20), 
  H127="Bike", IF(I127&lt;='Range Tables'!$G$25, 'Range Tables'!$B$25, 'Range Tables'!$B$26), 
  H127="Scooter", IF(I127&lt;='Range Tables'!$G$31, 'Range Tables'!$B$31, 'Range Tables'!$B$32), 
  H127="Auto", IF(I127&lt;='Range Tables'!$G$37, 'Range Tables'!$B$37, 'Range Tables'!$B$38), 
  H127="Carriers*", IF(I127&lt;='Range Tables'!$G$43, 'Range Tables'!$B$43, 'Range Tables'!$B$44), 
  H127="Van*", IF(I127&lt;='Range Tables'!$G$50, 'Range Tables'!$B$50, 'Range Tables'!$B$49)
)</f>
        <v>Petrol</v>
      </c>
      <c r="K127" s="112">
        <v>0.6167234883261922</v>
      </c>
      <c r="L127" s="113">
        <f>if(J127="Petrol",ifs(K127&lt;='Range Tables'!$G$5,'Range Tables'!$B$5,K127&lt;='Range Tables'!$G$6,'Range Tables'!$B$6,K127&lt;='Range Tables'!$G$7,'Range Tables'!$B$7),ifs(K127&lt;='Range Tables'!$G$13,'Range Tables'!$B$13,K127&lt;='Range Tables'!$G$14,'Range Tables'!$B$14))</f>
        <v>3</v>
      </c>
      <c r="M127" s="112">
        <v>0.06766182170168811</v>
      </c>
      <c r="N127" s="113" t="str">
        <f>ifs(H127="Car",ifs(M127&lt;='Range Tables'!$G$125,'Range Tables'!$B$125,M127&lt;='Range Tables'!$G$126,'Range Tables'!$B$126,M127&lt;='Range Tables'!$G$127,'Range Tables'!$B$127,M127&lt;='Range Tables'!$G$128,'Range Tables'!$B$128,M127&lt;='Range Tables'!$G$129,'Range Tables'!$B$129,'Range Tables'!$G$131,'Range Tables'!$B$131),H127="Bike",ifs(M127&lt;='Range Tables'!$G$136,'Range Tables'!$B$136,M127&lt;='Range Tables'!$G$137,'Range Tables'!$B$137,M127&lt;='Range Tables'!$G$138,'Range Tables'!$B$138,M127&lt;='Range Tables'!$G$142,'Range Tables'!$B$142),H127="Scooter",ifs(M127&lt;='Range Tables'!$G$148,'Range Tables'!$B$148,M127&lt;='Range Tables'!$G$149,'Range Tables'!$B$149,M127&lt;='Range Tables'!$G$150,'Range Tables'!$B$150,M127&lt;='Range Tables'!$G$151,'Range Tables'!$B$151),H127="Auto",ifs(M127&lt;='Range Tables'!$G$161,'Range Tables'!$B$161,M127&lt;='Range Tables'!$G$162,'Range Tables'!$B$162,M127&lt;='Range Tables'!$G$163,'Range Tables'!$B$163,M127&lt;='Range Tables'!$G$164,'Range Tables'!$B$164),H127="Carriers*",ifs(M127&lt;='Range Tables'!$G$173,'Range Tables'!$B$173,M127&lt;='Range Tables'!$G$174,'Range Tables'!$B$174,M127&lt;='Range Tables'!$G$175,'Range Tables'!$B$175,M127&lt;='Range Tables'!$G$176,'Range Tables'!$B$176,M127&lt;='Range Tables'!$G$177,'Range Tables'!$B$177,M127&lt;='Range Tables'!$G$179,'Range Tables'!$B$179),H127="Van*",ifs(M127&lt;='Range Tables'!$G$186,'Range Tables'!$B$186))</f>
        <v>30 - 60</v>
      </c>
      <c r="O127" s="113">
        <f>IFERROR(__xludf.DUMMYFUNCTION("SPLIT(N127,""-"")"),30.0)</f>
        <v>30</v>
      </c>
      <c r="P127" s="113">
        <f>IFERROR(__xludf.DUMMYFUNCTION("""COMPUTED_VALUE"""),60.0)</f>
        <v>60</v>
      </c>
      <c r="Q127" s="114">
        <f t="shared" si="2"/>
        <v>32.02985465</v>
      </c>
      <c r="R127" s="115">
        <f t="shared" si="3"/>
        <v>0.1084889531</v>
      </c>
      <c r="S127" s="114">
        <f t="shared" si="39"/>
        <v>9373.445546</v>
      </c>
      <c r="T127" s="113" t="str">
        <f t="shared" si="4"/>
        <v>no</v>
      </c>
      <c r="U127" s="115">
        <f t="shared" si="5"/>
        <v>0</v>
      </c>
      <c r="V127" s="113">
        <f t="shared" si="34"/>
        <v>0</v>
      </c>
      <c r="W127" s="115">
        <f t="shared" si="6"/>
        <v>0</v>
      </c>
      <c r="X127" s="85">
        <f t="shared" si="7"/>
        <v>0</v>
      </c>
      <c r="Y127" s="116">
        <f t="shared" si="8"/>
        <v>0</v>
      </c>
      <c r="Z127" s="113">
        <f t="shared" si="9"/>
        <v>0</v>
      </c>
      <c r="AA127" s="113" t="str">
        <f t="shared" si="10"/>
        <v>no</v>
      </c>
      <c r="AB127" s="115">
        <f t="shared" si="11"/>
        <v>0</v>
      </c>
      <c r="AC127" s="113">
        <f t="shared" si="35"/>
        <v>0</v>
      </c>
      <c r="AD127" s="116">
        <f t="shared" si="12"/>
        <v>0</v>
      </c>
      <c r="AE127" s="113">
        <f t="shared" si="13"/>
        <v>0</v>
      </c>
      <c r="AF127" s="116">
        <f t="shared" si="14"/>
        <v>0</v>
      </c>
      <c r="AG127" s="113">
        <f t="shared" si="15"/>
        <v>0</v>
      </c>
      <c r="AH127" s="113" t="str">
        <f t="shared" si="16"/>
        <v>yes</v>
      </c>
      <c r="AI127" s="115">
        <f t="shared" si="17"/>
        <v>0</v>
      </c>
      <c r="AJ127" s="113">
        <f t="shared" si="36"/>
        <v>0</v>
      </c>
      <c r="AK127" s="116">
        <f t="shared" si="18"/>
        <v>0.1084889531</v>
      </c>
      <c r="AL127" s="114">
        <f t="shared" si="19"/>
        <v>9373.445546</v>
      </c>
      <c r="AM127" s="115">
        <f t="shared" si="20"/>
        <v>0.108859669</v>
      </c>
      <c r="AN127" s="118">
        <f t="shared" si="21"/>
        <v>9405.4754</v>
      </c>
      <c r="AO127" s="113" t="str">
        <f t="shared" si="22"/>
        <v>no</v>
      </c>
      <c r="AP127" s="115">
        <f t="shared" si="23"/>
        <v>0</v>
      </c>
      <c r="AQ127" s="113">
        <f t="shared" si="37"/>
        <v>0</v>
      </c>
      <c r="AR127" s="116">
        <f t="shared" si="24"/>
        <v>0</v>
      </c>
      <c r="AS127" s="113">
        <f t="shared" si="25"/>
        <v>0</v>
      </c>
      <c r="AT127" s="116">
        <f t="shared" si="26"/>
        <v>0</v>
      </c>
      <c r="AU127" s="113">
        <f t="shared" si="27"/>
        <v>0</v>
      </c>
      <c r="AV127" s="113" t="str">
        <f t="shared" si="28"/>
        <v>no</v>
      </c>
      <c r="AW127" s="115">
        <f t="shared" si="29"/>
        <v>0</v>
      </c>
      <c r="AX127" s="85">
        <f t="shared" si="38"/>
        <v>0</v>
      </c>
      <c r="AY127" s="116">
        <f t="shared" si="30"/>
        <v>0</v>
      </c>
      <c r="AZ127" s="113">
        <f t="shared" si="31"/>
        <v>0</v>
      </c>
      <c r="BA127" s="116">
        <f t="shared" si="32"/>
        <v>0</v>
      </c>
      <c r="BB127" s="113">
        <f t="shared" si="33"/>
        <v>0</v>
      </c>
      <c r="BC127" s="112">
        <v>7.293403182742075E-4</v>
      </c>
      <c r="BD127" s="113" t="str">
        <f>ifs(BC127&lt;='Range Tables'!$G$81,'Range Tables'!$B$81,BC127&lt;='Range Tables'!$G$82,'Range Tables'!$B$82)</f>
        <v>Online*</v>
      </c>
      <c r="BE127" s="112">
        <v>0.18448877853591417</v>
      </c>
      <c r="BF127" s="112" t="str">
        <f>ifs(BE127&lt;='Range Tables'!$G$95,'Range Tables'!$B$95,BE127&lt;='Range Tables'!$G$96,'Range Tables'!$B$96,BE127&lt;='Range Tables'!$G$97,'Range Tables'!$B$97,BE127&lt;='Range Tables'!$G$98,'Range Tables'!$B$98,BE127&lt;='Range Tables'!$G$99,'Range Tables'!$B$99,BE127&lt;='Range Tables'!$G$100,'Range Tables'!$B$100,BE127&lt;='Range Tables'!$G$101,'Range Tables'!$B$101,BE127&lt;='Range Tables'!$G$102,'Range Tables'!$B$102,BE127&lt;='Range Tables'!$G$103,'Range Tables'!$B$103)</f>
        <v>Jammu</v>
      </c>
      <c r="BG127" s="112">
        <v>0.8492135319232602</v>
      </c>
      <c r="BH127" s="113" t="str">
        <f>ifs(BG127&lt;='Range Tables'!$G$112,'Range Tables'!$B$112,BG127&lt;='Range Tables'!$G$113,'Range Tables'!$B$113,BG127&lt;='Range Tables'!$G$114,'Range Tables'!$B$114)</f>
        <v>1-5</v>
      </c>
      <c r="BI127" s="117">
        <v>0.5564137783532459</v>
      </c>
      <c r="BJ127" s="113" t="str">
        <f>ifs(BI127&lt;='Range Tables'!$G$118,'Range Tables'!$B$118,BI127&lt;='Range Tables'!$G$119,'Range Tables'!$B$119)</f>
        <v>Valid</v>
      </c>
    </row>
    <row r="128">
      <c r="A128" s="85">
        <v>125.0</v>
      </c>
      <c r="B128" s="112">
        <v>0.029204391353145898</v>
      </c>
      <c r="C128" s="113" t="str">
        <f>ifs(B128&lt;='Range Tables'!$G$54,'Range Tables'!$B$54,B128&lt;='Range Tables'!$G$55,'Range Tables'!$B$55,B128&lt;='Range Tables'!$G$56,'Range Tables'!$B$56,B128&lt;='Range Tables'!$G$57,'Range Tables'!$B$57,B128&lt;='Range Tables'!$G$58,'Range Tables'!$B$58,B128&lt;='Range Tables'!$G$59,'Range Tables'!$B$59,B128&lt;='Range Tables'!$G$60,'Range Tables'!$B$60,B128&lt;='Range Tables'!$G$61,'Range Tables'!$B$61,B128&lt;='Range Tables'!$G$63,'Range Tables'!$B$63,B128&lt;='Range Tables'!$G$64,'Range Tables'!$B$64,B128&lt;='Range Tables'!$G$66,'Range Tables'!$B$66)</f>
        <v>0 - 30</v>
      </c>
      <c r="D128" s="113">
        <f>IFERROR(__xludf.DUMMYFUNCTION("SPLIT(C128,""-"")"),0.0)</f>
        <v>0</v>
      </c>
      <c r="E128" s="113">
        <f>IFERROR(__xludf.DUMMYFUNCTION("""COMPUTED_VALUE"""),30.0)</f>
        <v>30</v>
      </c>
      <c r="F128" s="114">
        <f t="shared" si="40"/>
        <v>0.8761317406</v>
      </c>
      <c r="G128" s="112">
        <v>0.1025519867503758</v>
      </c>
      <c r="H128" s="113" t="str">
        <f>ifs(G128&lt;='Range Tables'!$G$86,'Range Tables'!$B$86,G128&lt;='Range Tables'!$G$87,'Range Tables'!$B$87,G128&lt;='Range Tables'!$G$88,'Range Tables'!$B$88,G128&lt;='Range Tables'!$G$89,'Range Tables'!$B$89,G128&lt;='Range Tables'!$G$90,'Range Tables'!$B$90,G128&lt;='Range Tables'!$G$91,'Range Tables'!$B$91)</f>
        <v>Car</v>
      </c>
      <c r="I128" s="112">
        <v>0.5928275333484345</v>
      </c>
      <c r="J128" s="113" t="str">
        <f>IFS(
  H128="Car", IF(I128&lt;='Range Tables'!$G$19, 'Range Tables'!$B$19, 'Range Tables'!$B$20), 
  H128="Bike", IF(I128&lt;='Range Tables'!$G$25, 'Range Tables'!$B$25, 'Range Tables'!$B$26), 
  H128="Scooter", IF(I128&lt;='Range Tables'!$G$31, 'Range Tables'!$B$31, 'Range Tables'!$B$32), 
  H128="Auto", IF(I128&lt;='Range Tables'!$G$37, 'Range Tables'!$B$37, 'Range Tables'!$B$38), 
  H128="Carriers*", IF(I128&lt;='Range Tables'!$G$43, 'Range Tables'!$B$43, 'Range Tables'!$B$44), 
  H128="Van*", IF(I128&lt;='Range Tables'!$G$50, 'Range Tables'!$B$50, 'Range Tables'!$B$49)
)</f>
        <v>Petrol</v>
      </c>
      <c r="K128" s="112">
        <v>0.5932812413226708</v>
      </c>
      <c r="L128" s="113">
        <f>if(J128="Petrol",ifs(K128&lt;='Range Tables'!$G$5,'Range Tables'!$B$5,K128&lt;='Range Tables'!$G$6,'Range Tables'!$B$6,K128&lt;='Range Tables'!$G$7,'Range Tables'!$B$7),ifs(K128&lt;='Range Tables'!$G$13,'Range Tables'!$B$13,K128&lt;='Range Tables'!$G$14,'Range Tables'!$B$14))</f>
        <v>3</v>
      </c>
      <c r="M128" s="112">
        <v>0.053488066477860086</v>
      </c>
      <c r="N128" s="113" t="str">
        <f>ifs(H128="Car",ifs(M128&lt;='Range Tables'!$G$125,'Range Tables'!$B$125,M128&lt;='Range Tables'!$G$126,'Range Tables'!$B$126,M128&lt;='Range Tables'!$G$127,'Range Tables'!$B$127,M128&lt;='Range Tables'!$G$128,'Range Tables'!$B$128,M128&lt;='Range Tables'!$G$129,'Range Tables'!$B$129,'Range Tables'!$G$131,'Range Tables'!$B$131),H128="Bike",ifs(M128&lt;='Range Tables'!$G$136,'Range Tables'!$B$136,M128&lt;='Range Tables'!$G$137,'Range Tables'!$B$137,M128&lt;='Range Tables'!$G$138,'Range Tables'!$B$138,M128&lt;='Range Tables'!$G$142,'Range Tables'!$B$142),H128="Scooter",ifs(M128&lt;='Range Tables'!$G$148,'Range Tables'!$B$148,M128&lt;='Range Tables'!$G$149,'Range Tables'!$B$149,M128&lt;='Range Tables'!$G$150,'Range Tables'!$B$150,M128&lt;='Range Tables'!$G$151,'Range Tables'!$B$151),H128="Auto",ifs(M128&lt;='Range Tables'!$G$161,'Range Tables'!$B$161,M128&lt;='Range Tables'!$G$162,'Range Tables'!$B$162,M128&lt;='Range Tables'!$G$163,'Range Tables'!$B$163,M128&lt;='Range Tables'!$G$164,'Range Tables'!$B$164),H128="Carriers*",ifs(M128&lt;='Range Tables'!$G$173,'Range Tables'!$B$173,M128&lt;='Range Tables'!$G$174,'Range Tables'!$B$174,M128&lt;='Range Tables'!$G$175,'Range Tables'!$B$175,M128&lt;='Range Tables'!$G$176,'Range Tables'!$B$176,M128&lt;='Range Tables'!$G$177,'Range Tables'!$B$177,M128&lt;='Range Tables'!$G$179,'Range Tables'!$B$179),H128="Van*",ifs(M128&lt;='Range Tables'!$G$186,'Range Tables'!$B$186))</f>
        <v>60 - 120</v>
      </c>
      <c r="O128" s="113">
        <f>IFERROR(__xludf.DUMMYFUNCTION("SPLIT(N128,""-"")"),60.0)</f>
        <v>60</v>
      </c>
      <c r="P128" s="113">
        <f>IFERROR(__xludf.DUMMYFUNCTION("""COMPUTED_VALUE"""),120.0)</f>
        <v>120</v>
      </c>
      <c r="Q128" s="114">
        <f t="shared" si="2"/>
        <v>63.20928399</v>
      </c>
      <c r="R128" s="115">
        <f t="shared" si="3"/>
        <v>0.1097996047</v>
      </c>
      <c r="S128" s="114">
        <f t="shared" si="39"/>
        <v>9486.685846</v>
      </c>
      <c r="T128" s="113" t="str">
        <f t="shared" si="4"/>
        <v>no</v>
      </c>
      <c r="U128" s="115">
        <f t="shared" si="5"/>
        <v>0</v>
      </c>
      <c r="V128" s="113">
        <f t="shared" si="34"/>
        <v>0</v>
      </c>
      <c r="W128" s="115">
        <f t="shared" si="6"/>
        <v>0</v>
      </c>
      <c r="X128" s="85">
        <f t="shared" si="7"/>
        <v>0</v>
      </c>
      <c r="Y128" s="116">
        <f t="shared" si="8"/>
        <v>0</v>
      </c>
      <c r="Z128" s="113">
        <f t="shared" si="9"/>
        <v>0</v>
      </c>
      <c r="AA128" s="113" t="str">
        <f t="shared" si="10"/>
        <v>no</v>
      </c>
      <c r="AB128" s="115">
        <f t="shared" si="11"/>
        <v>0</v>
      </c>
      <c r="AC128" s="113">
        <f t="shared" si="35"/>
        <v>0</v>
      </c>
      <c r="AD128" s="116">
        <f t="shared" si="12"/>
        <v>0</v>
      </c>
      <c r="AE128" s="113">
        <f t="shared" si="13"/>
        <v>0</v>
      </c>
      <c r="AF128" s="116">
        <f t="shared" si="14"/>
        <v>0</v>
      </c>
      <c r="AG128" s="113">
        <f t="shared" si="15"/>
        <v>0</v>
      </c>
      <c r="AH128" s="113" t="str">
        <f t="shared" si="16"/>
        <v>yes</v>
      </c>
      <c r="AI128" s="115">
        <f t="shared" si="17"/>
        <v>0</v>
      </c>
      <c r="AJ128" s="113">
        <f t="shared" si="36"/>
        <v>0</v>
      </c>
      <c r="AK128" s="116">
        <f t="shared" si="18"/>
        <v>0.1097996047</v>
      </c>
      <c r="AL128" s="114">
        <f t="shared" si="19"/>
        <v>9486.685846</v>
      </c>
      <c r="AM128" s="115">
        <f t="shared" si="20"/>
        <v>0.1105311936</v>
      </c>
      <c r="AN128" s="118">
        <f t="shared" si="21"/>
        <v>9549.89513</v>
      </c>
      <c r="AO128" s="113" t="str">
        <f t="shared" si="22"/>
        <v>no</v>
      </c>
      <c r="AP128" s="115">
        <f t="shared" si="23"/>
        <v>0</v>
      </c>
      <c r="AQ128" s="113">
        <f t="shared" si="37"/>
        <v>0</v>
      </c>
      <c r="AR128" s="116">
        <f t="shared" si="24"/>
        <v>0</v>
      </c>
      <c r="AS128" s="113">
        <f t="shared" si="25"/>
        <v>0</v>
      </c>
      <c r="AT128" s="116">
        <f t="shared" si="26"/>
        <v>0</v>
      </c>
      <c r="AU128" s="113">
        <f t="shared" si="27"/>
        <v>0</v>
      </c>
      <c r="AV128" s="113" t="str">
        <f t="shared" si="28"/>
        <v>no</v>
      </c>
      <c r="AW128" s="115">
        <f t="shared" si="29"/>
        <v>0</v>
      </c>
      <c r="AX128" s="85">
        <f t="shared" si="38"/>
        <v>0</v>
      </c>
      <c r="AY128" s="116">
        <f t="shared" si="30"/>
        <v>0</v>
      </c>
      <c r="AZ128" s="113">
        <f t="shared" si="31"/>
        <v>0</v>
      </c>
      <c r="BA128" s="116">
        <f t="shared" si="32"/>
        <v>0</v>
      </c>
      <c r="BB128" s="113">
        <f t="shared" si="33"/>
        <v>0</v>
      </c>
      <c r="BC128" s="112">
        <v>0.42430420878721387</v>
      </c>
      <c r="BD128" s="113" t="str">
        <f>ifs(BC128&lt;='Range Tables'!$G$81,'Range Tables'!$B$81,BC128&lt;='Range Tables'!$G$82,'Range Tables'!$B$82)</f>
        <v>Offline*</v>
      </c>
      <c r="BE128" s="112">
        <v>0.8781581340958841</v>
      </c>
      <c r="BF128" s="112" t="str">
        <f>ifs(BE128&lt;='Range Tables'!$G$95,'Range Tables'!$B$95,BE128&lt;='Range Tables'!$G$96,'Range Tables'!$B$96,BE128&lt;='Range Tables'!$G$97,'Range Tables'!$B$97,BE128&lt;='Range Tables'!$G$98,'Range Tables'!$B$98,BE128&lt;='Range Tables'!$G$99,'Range Tables'!$B$99,BE128&lt;='Range Tables'!$G$100,'Range Tables'!$B$100,BE128&lt;='Range Tables'!$G$101,'Range Tables'!$B$101,BE128&lt;='Range Tables'!$G$102,'Range Tables'!$B$102,BE128&lt;='Range Tables'!$G$103,'Range Tables'!$B$103)</f>
        <v>Udhampur</v>
      </c>
      <c r="BG128" s="112">
        <v>0.9195629107372849</v>
      </c>
      <c r="BH128" s="113" t="str">
        <f>ifs(BG128&lt;='Range Tables'!$G$112,'Range Tables'!$B$112,BG128&lt;='Range Tables'!$G$113,'Range Tables'!$B$113,BG128&lt;='Range Tables'!$G$114,'Range Tables'!$B$114)</f>
        <v>1-5</v>
      </c>
      <c r="BI128" s="117">
        <v>0.08485417337196033</v>
      </c>
      <c r="BJ128" s="113" t="str">
        <f>ifs(BI128&lt;='Range Tables'!$G$118,'Range Tables'!$B$118,BI128&lt;='Range Tables'!$G$119,'Range Tables'!$B$119)</f>
        <v>Valid</v>
      </c>
    </row>
    <row r="129">
      <c r="A129" s="85">
        <v>126.0</v>
      </c>
      <c r="B129" s="112">
        <v>0.431660351405895</v>
      </c>
      <c r="C129" s="113" t="str">
        <f>ifs(B129&lt;='Range Tables'!$G$54,'Range Tables'!$B$54,B129&lt;='Range Tables'!$G$55,'Range Tables'!$B$55,B129&lt;='Range Tables'!$G$56,'Range Tables'!$B$56,B129&lt;='Range Tables'!$G$57,'Range Tables'!$B$57,B129&lt;='Range Tables'!$G$58,'Range Tables'!$B$58,B129&lt;='Range Tables'!$G$59,'Range Tables'!$B$59,B129&lt;='Range Tables'!$G$60,'Range Tables'!$B$60,B129&lt;='Range Tables'!$G$61,'Range Tables'!$B$61,B129&lt;='Range Tables'!$G$63,'Range Tables'!$B$63,B129&lt;='Range Tables'!$G$64,'Range Tables'!$B$64,B129&lt;='Range Tables'!$G$66,'Range Tables'!$B$66)</f>
        <v>30 - 60 </v>
      </c>
      <c r="D129" s="113">
        <f>IFERROR(__xludf.DUMMYFUNCTION("SPLIT(C129,""-"")"),30.0)</f>
        <v>30</v>
      </c>
      <c r="E129" s="113">
        <f>IFERROR(__xludf.DUMMYFUNCTION("""COMPUTED_VALUE"""),60.0)</f>
        <v>60</v>
      </c>
      <c r="F129" s="114">
        <f t="shared" si="40"/>
        <v>42.94981054</v>
      </c>
      <c r="G129" s="112">
        <v>0.4122879512937595</v>
      </c>
      <c r="H129" s="113" t="str">
        <f>ifs(G129&lt;='Range Tables'!$G$86,'Range Tables'!$B$86,G129&lt;='Range Tables'!$G$87,'Range Tables'!$B$87,G129&lt;='Range Tables'!$G$88,'Range Tables'!$B$88,G129&lt;='Range Tables'!$G$89,'Range Tables'!$B$89,G129&lt;='Range Tables'!$G$90,'Range Tables'!$B$90,G129&lt;='Range Tables'!$G$91,'Range Tables'!$B$91)</f>
        <v>Car</v>
      </c>
      <c r="I129" s="112">
        <v>0.4922141683764515</v>
      </c>
      <c r="J129" s="113" t="str">
        <f>IFS(
  H129="Car", IF(I129&lt;='Range Tables'!$G$19, 'Range Tables'!$B$19, 'Range Tables'!$B$20), 
  H129="Bike", IF(I129&lt;='Range Tables'!$G$25, 'Range Tables'!$B$25, 'Range Tables'!$B$26), 
  H129="Scooter", IF(I129&lt;='Range Tables'!$G$31, 'Range Tables'!$B$31, 'Range Tables'!$B$32), 
  H129="Auto", IF(I129&lt;='Range Tables'!$G$37, 'Range Tables'!$B$37, 'Range Tables'!$B$38), 
  H129="Carriers*", IF(I129&lt;='Range Tables'!$G$43, 'Range Tables'!$B$43, 'Range Tables'!$B$44), 
  H129="Van*", IF(I129&lt;='Range Tables'!$G$50, 'Range Tables'!$B$50, 'Range Tables'!$B$49)
)</f>
        <v>Petrol</v>
      </c>
      <c r="K129" s="112">
        <v>0.08156976835295848</v>
      </c>
      <c r="L129" s="113">
        <f>if(J129="Petrol",ifs(K129&lt;='Range Tables'!$G$5,'Range Tables'!$B$5,K129&lt;='Range Tables'!$G$6,'Range Tables'!$B$6,K129&lt;='Range Tables'!$G$7,'Range Tables'!$B$7),ifs(K129&lt;='Range Tables'!$G$13,'Range Tables'!$B$13,K129&lt;='Range Tables'!$G$14,'Range Tables'!$B$14))</f>
        <v>2</v>
      </c>
      <c r="M129" s="112">
        <v>0.20339050807175585</v>
      </c>
      <c r="N129" s="113" t="str">
        <f>ifs(H129="Car",ifs(M129&lt;='Range Tables'!$G$125,'Range Tables'!$B$125,M129&lt;='Range Tables'!$G$126,'Range Tables'!$B$126,M129&lt;='Range Tables'!$G$127,'Range Tables'!$B$127,M129&lt;='Range Tables'!$G$128,'Range Tables'!$B$128,M129&lt;='Range Tables'!$G$129,'Range Tables'!$B$129,'Range Tables'!$G$131,'Range Tables'!$B$131),H129="Bike",ifs(M129&lt;='Range Tables'!$G$136,'Range Tables'!$B$136,M129&lt;='Range Tables'!$G$137,'Range Tables'!$B$137,M129&lt;='Range Tables'!$G$138,'Range Tables'!$B$138,M129&lt;='Range Tables'!$G$142,'Range Tables'!$B$142),H129="Scooter",ifs(M129&lt;='Range Tables'!$G$148,'Range Tables'!$B$148,M129&lt;='Range Tables'!$G$149,'Range Tables'!$B$149,M129&lt;='Range Tables'!$G$150,'Range Tables'!$B$150,M129&lt;='Range Tables'!$G$151,'Range Tables'!$B$151),H129="Auto",ifs(M129&lt;='Range Tables'!$G$161,'Range Tables'!$B$161,M129&lt;='Range Tables'!$G$162,'Range Tables'!$B$162,M129&lt;='Range Tables'!$G$163,'Range Tables'!$B$163,M129&lt;='Range Tables'!$G$164,'Range Tables'!$B$164),H129="Carriers*",ifs(M129&lt;='Range Tables'!$G$173,'Range Tables'!$B$173,M129&lt;='Range Tables'!$G$174,'Range Tables'!$B$174,M129&lt;='Range Tables'!$G$175,'Range Tables'!$B$175,M129&lt;='Range Tables'!$G$176,'Range Tables'!$B$176,M129&lt;='Range Tables'!$G$177,'Range Tables'!$B$177,M129&lt;='Range Tables'!$G$179,'Range Tables'!$B$179),H129="Van*",ifs(M129&lt;='Range Tables'!$G$186,'Range Tables'!$B$186))</f>
        <v>60 - 120</v>
      </c>
      <c r="O129" s="113">
        <f>IFERROR(__xludf.DUMMYFUNCTION("SPLIT(N129,""-"")"),60.0)</f>
        <v>60</v>
      </c>
      <c r="P129" s="113">
        <f>IFERROR(__xludf.DUMMYFUNCTION("""COMPUTED_VALUE"""),120.0)</f>
        <v>120</v>
      </c>
      <c r="Q129" s="114">
        <f t="shared" si="2"/>
        <v>72.20343048</v>
      </c>
      <c r="R129" s="115">
        <f t="shared" si="3"/>
        <v>0.1098097451</v>
      </c>
      <c r="S129" s="114">
        <f t="shared" si="39"/>
        <v>9487.561978</v>
      </c>
      <c r="T129" s="113" t="str">
        <f t="shared" si="4"/>
        <v>no</v>
      </c>
      <c r="U129" s="115">
        <f t="shared" si="5"/>
        <v>0</v>
      </c>
      <c r="V129" s="113">
        <f t="shared" si="34"/>
        <v>0</v>
      </c>
      <c r="W129" s="115">
        <f t="shared" si="6"/>
        <v>0</v>
      </c>
      <c r="X129" s="85">
        <f t="shared" si="7"/>
        <v>0</v>
      </c>
      <c r="Y129" s="116">
        <f t="shared" si="8"/>
        <v>0</v>
      </c>
      <c r="Z129" s="113">
        <f t="shared" si="9"/>
        <v>0</v>
      </c>
      <c r="AA129" s="113" t="str">
        <f t="shared" si="10"/>
        <v>yes</v>
      </c>
      <c r="AB129" s="115">
        <f t="shared" si="11"/>
        <v>0</v>
      </c>
      <c r="AC129" s="113">
        <f t="shared" si="35"/>
        <v>0</v>
      </c>
      <c r="AD129" s="116">
        <f t="shared" si="12"/>
        <v>0.1098097451</v>
      </c>
      <c r="AE129" s="114">
        <f t="shared" si="13"/>
        <v>9487.561978</v>
      </c>
      <c r="AF129" s="116">
        <f t="shared" si="14"/>
        <v>0.110645433</v>
      </c>
      <c r="AG129" s="114">
        <f t="shared" si="15"/>
        <v>9559.765409</v>
      </c>
      <c r="AH129" s="113" t="str">
        <f t="shared" si="16"/>
        <v>no</v>
      </c>
      <c r="AI129" s="115">
        <f t="shared" si="17"/>
        <v>0</v>
      </c>
      <c r="AJ129" s="113">
        <f t="shared" si="36"/>
        <v>0</v>
      </c>
      <c r="AK129" s="116">
        <f t="shared" si="18"/>
        <v>0</v>
      </c>
      <c r="AL129" s="113">
        <f t="shared" si="19"/>
        <v>0</v>
      </c>
      <c r="AM129" s="115">
        <f t="shared" si="20"/>
        <v>0</v>
      </c>
      <c r="AN129" s="85">
        <f t="shared" si="21"/>
        <v>0</v>
      </c>
      <c r="AO129" s="113" t="str">
        <f t="shared" si="22"/>
        <v>no</v>
      </c>
      <c r="AP129" s="115">
        <f t="shared" si="23"/>
        <v>0</v>
      </c>
      <c r="AQ129" s="113">
        <f t="shared" si="37"/>
        <v>0</v>
      </c>
      <c r="AR129" s="116">
        <f t="shared" si="24"/>
        <v>0</v>
      </c>
      <c r="AS129" s="113">
        <f t="shared" si="25"/>
        <v>0</v>
      </c>
      <c r="AT129" s="116">
        <f t="shared" si="26"/>
        <v>0</v>
      </c>
      <c r="AU129" s="113">
        <f t="shared" si="27"/>
        <v>0</v>
      </c>
      <c r="AV129" s="113" t="str">
        <f t="shared" si="28"/>
        <v>no</v>
      </c>
      <c r="AW129" s="115">
        <f t="shared" si="29"/>
        <v>0</v>
      </c>
      <c r="AX129" s="85">
        <f t="shared" si="38"/>
        <v>0</v>
      </c>
      <c r="AY129" s="116">
        <f t="shared" si="30"/>
        <v>0</v>
      </c>
      <c r="AZ129" s="113">
        <f t="shared" si="31"/>
        <v>0</v>
      </c>
      <c r="BA129" s="116">
        <f t="shared" si="32"/>
        <v>0</v>
      </c>
      <c r="BB129" s="113">
        <f t="shared" si="33"/>
        <v>0</v>
      </c>
      <c r="BC129" s="112">
        <v>0.26716792895535</v>
      </c>
      <c r="BD129" s="113" t="str">
        <f>ifs(BC129&lt;='Range Tables'!$G$81,'Range Tables'!$B$81,BC129&lt;='Range Tables'!$G$82,'Range Tables'!$B$82)</f>
        <v>Online*</v>
      </c>
      <c r="BE129" s="112">
        <v>0.22958112943256037</v>
      </c>
      <c r="BF129" s="112" t="str">
        <f>ifs(BE129&lt;='Range Tables'!$G$95,'Range Tables'!$B$95,BE129&lt;='Range Tables'!$G$96,'Range Tables'!$B$96,BE129&lt;='Range Tables'!$G$97,'Range Tables'!$B$97,BE129&lt;='Range Tables'!$G$98,'Range Tables'!$B$98,BE129&lt;='Range Tables'!$G$99,'Range Tables'!$B$99,BE129&lt;='Range Tables'!$G$100,'Range Tables'!$B$100,BE129&lt;='Range Tables'!$G$101,'Range Tables'!$B$101,BE129&lt;='Range Tables'!$G$102,'Range Tables'!$B$102,BE129&lt;='Range Tables'!$G$103,'Range Tables'!$B$103)</f>
        <v>Jammu</v>
      </c>
      <c r="BG129" s="112">
        <v>0.7643329783377056</v>
      </c>
      <c r="BH129" s="113" t="str">
        <f>ifs(BG129&lt;='Range Tables'!$G$112,'Range Tables'!$B$112,BG129&lt;='Range Tables'!$G$113,'Range Tables'!$B$113,BG129&lt;='Range Tables'!$G$114,'Range Tables'!$B$114)</f>
        <v>0</v>
      </c>
      <c r="BI129" s="117">
        <v>0.2387656156033955</v>
      </c>
      <c r="BJ129" s="113" t="str">
        <f>ifs(BI129&lt;='Range Tables'!$G$118,'Range Tables'!$B$118,BI129&lt;='Range Tables'!$G$119,'Range Tables'!$B$119)</f>
        <v>Valid</v>
      </c>
    </row>
    <row r="130">
      <c r="A130" s="85">
        <v>127.0</v>
      </c>
      <c r="B130" s="112">
        <v>0.9624058897983613</v>
      </c>
      <c r="C130" s="113" t="str">
        <f>ifs(B130&lt;='Range Tables'!$G$54,'Range Tables'!$B$54,B130&lt;='Range Tables'!$G$55,'Range Tables'!$B$55,B130&lt;='Range Tables'!$G$56,'Range Tables'!$B$56,B130&lt;='Range Tables'!$G$57,'Range Tables'!$B$57,B130&lt;='Range Tables'!$G$58,'Range Tables'!$B$58,B130&lt;='Range Tables'!$G$59,'Range Tables'!$B$59,B130&lt;='Range Tables'!$G$60,'Range Tables'!$B$60,B130&lt;='Range Tables'!$G$61,'Range Tables'!$B$61,B130&lt;='Range Tables'!$G$63,'Range Tables'!$B$63,B130&lt;='Range Tables'!$G$64,'Range Tables'!$B$64,B130&lt;='Range Tables'!$G$66,'Range Tables'!$B$66)</f>
        <v>300 - 330</v>
      </c>
      <c r="D130" s="113">
        <f>IFERROR(__xludf.DUMMYFUNCTION("SPLIT(C130,""-"")"),300.0)</f>
        <v>300</v>
      </c>
      <c r="E130" s="113">
        <f>IFERROR(__xludf.DUMMYFUNCTION("""COMPUTED_VALUE"""),330.0)</f>
        <v>330</v>
      </c>
      <c r="F130" s="114">
        <f t="shared" si="40"/>
        <v>328.8721767</v>
      </c>
      <c r="G130" s="112">
        <v>0.9950138906766582</v>
      </c>
      <c r="H130" s="113" t="str">
        <f>ifs(G130&lt;='Range Tables'!$G$86,'Range Tables'!$B$86,G130&lt;='Range Tables'!$G$87,'Range Tables'!$B$87,G130&lt;='Range Tables'!$G$88,'Range Tables'!$B$88,G130&lt;='Range Tables'!$G$89,'Range Tables'!$B$89,G130&lt;='Range Tables'!$G$90,'Range Tables'!$B$90,G130&lt;='Range Tables'!$G$91,'Range Tables'!$B$91)</f>
        <v>Van*</v>
      </c>
      <c r="I130" s="112">
        <v>0.8653818169022871</v>
      </c>
      <c r="J130" s="113" t="str">
        <f>IFS(
  H130="Car", IF(I130&lt;='Range Tables'!$G$19, 'Range Tables'!$B$19, 'Range Tables'!$B$20), 
  H130="Bike", IF(I130&lt;='Range Tables'!$G$25, 'Range Tables'!$B$25, 'Range Tables'!$B$26), 
  H130="Scooter", IF(I130&lt;='Range Tables'!$G$31, 'Range Tables'!$B$31, 'Range Tables'!$B$32), 
  H130="Auto", IF(I130&lt;='Range Tables'!$G$37, 'Range Tables'!$B$37, 'Range Tables'!$B$38), 
  H130="Carriers*", IF(I130&lt;='Range Tables'!$G$43, 'Range Tables'!$B$43, 'Range Tables'!$B$44), 
  H130="Van*", IF(I130&lt;='Range Tables'!$G$50, 'Range Tables'!$B$50, 'Range Tables'!$B$49)
)</f>
        <v>Diesel</v>
      </c>
      <c r="K130" s="112">
        <v>0.005414973455288186</v>
      </c>
      <c r="L130" s="113">
        <f>if(J130="Petrol",ifs(K130&lt;='Range Tables'!$G$5,'Range Tables'!$B$5,K130&lt;='Range Tables'!$G$6,'Range Tables'!$B$6,K130&lt;='Range Tables'!$G$7,'Range Tables'!$B$7),ifs(K130&lt;='Range Tables'!$G$13,'Range Tables'!$B$13,K130&lt;='Range Tables'!$G$14,'Range Tables'!$B$14))</f>
        <v>1</v>
      </c>
      <c r="M130" s="112">
        <v>0.5457168682728574</v>
      </c>
      <c r="N130" s="113" t="str">
        <f>ifs(H130="Car",ifs(M130&lt;='Range Tables'!$G$125,'Range Tables'!$B$125,M130&lt;='Range Tables'!$G$126,'Range Tables'!$B$126,M130&lt;='Range Tables'!$G$127,'Range Tables'!$B$127,M130&lt;='Range Tables'!$G$128,'Range Tables'!$B$128,M130&lt;='Range Tables'!$G$129,'Range Tables'!$B$129,'Range Tables'!$G$131,'Range Tables'!$B$131),H130="Bike",ifs(M130&lt;='Range Tables'!$G$136,'Range Tables'!$B$136,M130&lt;='Range Tables'!$G$137,'Range Tables'!$B$137,M130&lt;='Range Tables'!$G$138,'Range Tables'!$B$138,M130&lt;='Range Tables'!$G$142,'Range Tables'!$B$142),H130="Scooter",ifs(M130&lt;='Range Tables'!$G$148,'Range Tables'!$B$148,M130&lt;='Range Tables'!$G$149,'Range Tables'!$B$149,M130&lt;='Range Tables'!$G$150,'Range Tables'!$B$150,M130&lt;='Range Tables'!$G$151,'Range Tables'!$B$151),H130="Auto",ifs(M130&lt;='Range Tables'!$G$161,'Range Tables'!$B$161,M130&lt;='Range Tables'!$G$162,'Range Tables'!$B$162,M130&lt;='Range Tables'!$G$163,'Range Tables'!$B$163,M130&lt;='Range Tables'!$G$164,'Range Tables'!$B$164),H130="Carriers*",ifs(M130&lt;='Range Tables'!$G$173,'Range Tables'!$B$173,M130&lt;='Range Tables'!$G$174,'Range Tables'!$B$174,M130&lt;='Range Tables'!$G$175,'Range Tables'!$B$175,M130&lt;='Range Tables'!$G$176,'Range Tables'!$B$176,M130&lt;='Range Tables'!$G$177,'Range Tables'!$B$177,M130&lt;='Range Tables'!$G$179,'Range Tables'!$B$179),H130="Van*",ifs(M130&lt;='Range Tables'!$G$186,'Range Tables'!$B$186))</f>
        <v>120 - 180</v>
      </c>
      <c r="O130" s="113">
        <f>IFERROR(__xludf.DUMMYFUNCTION("SPLIT(N130,""-"")"),120.0)</f>
        <v>120</v>
      </c>
      <c r="P130" s="113">
        <f>IFERROR(__xludf.DUMMYFUNCTION("""COMPUTED_VALUE"""),180.0)</f>
        <v>180</v>
      </c>
      <c r="Q130" s="114">
        <f t="shared" si="2"/>
        <v>152.7430121</v>
      </c>
      <c r="R130" s="115">
        <f t="shared" si="3"/>
        <v>0.1103068494</v>
      </c>
      <c r="S130" s="114">
        <f t="shared" si="39"/>
        <v>9530.511789</v>
      </c>
      <c r="T130" s="113" t="str">
        <f t="shared" si="4"/>
        <v>yes</v>
      </c>
      <c r="U130" s="115">
        <f t="shared" si="5"/>
        <v>0</v>
      </c>
      <c r="V130" s="113">
        <f t="shared" si="34"/>
        <v>0</v>
      </c>
      <c r="W130" s="115">
        <f t="shared" si="6"/>
        <v>0.1103068494</v>
      </c>
      <c r="X130" s="118">
        <f t="shared" si="7"/>
        <v>9530.511789</v>
      </c>
      <c r="Y130" s="116">
        <f t="shared" si="8"/>
        <v>0.1120747083</v>
      </c>
      <c r="Z130" s="114">
        <f t="shared" si="9"/>
        <v>9683.254801</v>
      </c>
      <c r="AA130" s="113" t="str">
        <f t="shared" si="10"/>
        <v>no</v>
      </c>
      <c r="AB130" s="115">
        <f t="shared" si="11"/>
        <v>0</v>
      </c>
      <c r="AC130" s="113">
        <f t="shared" si="35"/>
        <v>0</v>
      </c>
      <c r="AD130" s="116">
        <f t="shared" si="12"/>
        <v>0</v>
      </c>
      <c r="AE130" s="113">
        <f t="shared" si="13"/>
        <v>0</v>
      </c>
      <c r="AF130" s="116">
        <f t="shared" si="14"/>
        <v>0</v>
      </c>
      <c r="AG130" s="113">
        <f t="shared" si="15"/>
        <v>0</v>
      </c>
      <c r="AH130" s="113" t="str">
        <f t="shared" si="16"/>
        <v>no</v>
      </c>
      <c r="AI130" s="115">
        <f t="shared" si="17"/>
        <v>0</v>
      </c>
      <c r="AJ130" s="113">
        <f t="shared" si="36"/>
        <v>0</v>
      </c>
      <c r="AK130" s="116">
        <f t="shared" si="18"/>
        <v>0</v>
      </c>
      <c r="AL130" s="113">
        <f t="shared" si="19"/>
        <v>0</v>
      </c>
      <c r="AM130" s="115">
        <f t="shared" si="20"/>
        <v>0</v>
      </c>
      <c r="AN130" s="85">
        <f t="shared" si="21"/>
        <v>0</v>
      </c>
      <c r="AO130" s="113" t="str">
        <f t="shared" si="22"/>
        <v>no</v>
      </c>
      <c r="AP130" s="115">
        <f t="shared" si="23"/>
        <v>0</v>
      </c>
      <c r="AQ130" s="113">
        <f t="shared" si="37"/>
        <v>0</v>
      </c>
      <c r="AR130" s="116">
        <f t="shared" si="24"/>
        <v>0</v>
      </c>
      <c r="AS130" s="113">
        <f t="shared" si="25"/>
        <v>0</v>
      </c>
      <c r="AT130" s="116">
        <f t="shared" si="26"/>
        <v>0</v>
      </c>
      <c r="AU130" s="113">
        <f t="shared" si="27"/>
        <v>0</v>
      </c>
      <c r="AV130" s="113" t="str">
        <f t="shared" si="28"/>
        <v>no</v>
      </c>
      <c r="AW130" s="115">
        <f t="shared" si="29"/>
        <v>0</v>
      </c>
      <c r="AX130" s="85">
        <f t="shared" si="38"/>
        <v>0</v>
      </c>
      <c r="AY130" s="116">
        <f t="shared" si="30"/>
        <v>0</v>
      </c>
      <c r="AZ130" s="113">
        <f t="shared" si="31"/>
        <v>0</v>
      </c>
      <c r="BA130" s="116">
        <f t="shared" si="32"/>
        <v>0</v>
      </c>
      <c r="BB130" s="113">
        <f t="shared" si="33"/>
        <v>0</v>
      </c>
      <c r="BC130" s="112">
        <v>0.18149934501493725</v>
      </c>
      <c r="BD130" s="113" t="str">
        <f>ifs(BC130&lt;='Range Tables'!$G$81,'Range Tables'!$B$81,BC130&lt;='Range Tables'!$G$82,'Range Tables'!$B$82)</f>
        <v>Online*</v>
      </c>
      <c r="BE130" s="112">
        <v>0.22815721861118687</v>
      </c>
      <c r="BF130" s="112" t="str">
        <f>ifs(BE130&lt;='Range Tables'!$G$95,'Range Tables'!$B$95,BE130&lt;='Range Tables'!$G$96,'Range Tables'!$B$96,BE130&lt;='Range Tables'!$G$97,'Range Tables'!$B$97,BE130&lt;='Range Tables'!$G$98,'Range Tables'!$B$98,BE130&lt;='Range Tables'!$G$99,'Range Tables'!$B$99,BE130&lt;='Range Tables'!$G$100,'Range Tables'!$B$100,BE130&lt;='Range Tables'!$G$101,'Range Tables'!$B$101,BE130&lt;='Range Tables'!$G$102,'Range Tables'!$B$102,BE130&lt;='Range Tables'!$G$103,'Range Tables'!$B$103)</f>
        <v>Jammu</v>
      </c>
      <c r="BG130" s="112">
        <v>0.2769978308534533</v>
      </c>
      <c r="BH130" s="113" t="str">
        <f>ifs(BG130&lt;='Range Tables'!$G$112,'Range Tables'!$B$112,BG130&lt;='Range Tables'!$G$113,'Range Tables'!$B$113,BG130&lt;='Range Tables'!$G$114,'Range Tables'!$B$114)</f>
        <v>0</v>
      </c>
      <c r="BI130" s="117">
        <v>0.7987681537273779</v>
      </c>
      <c r="BJ130" s="113" t="str">
        <f>ifs(BI130&lt;='Range Tables'!$G$118,'Range Tables'!$B$118,BI130&lt;='Range Tables'!$G$119,'Range Tables'!$B$119)</f>
        <v>Expired</v>
      </c>
    </row>
    <row r="131">
      <c r="A131" s="85">
        <v>128.0</v>
      </c>
      <c r="B131" s="112">
        <v>0.706436805529928</v>
      </c>
      <c r="C131" s="113" t="str">
        <f>ifs(B131&lt;='Range Tables'!$G$54,'Range Tables'!$B$54,B131&lt;='Range Tables'!$G$55,'Range Tables'!$B$55,B131&lt;='Range Tables'!$G$56,'Range Tables'!$B$56,B131&lt;='Range Tables'!$G$57,'Range Tables'!$B$57,B131&lt;='Range Tables'!$G$58,'Range Tables'!$B$58,B131&lt;='Range Tables'!$G$59,'Range Tables'!$B$59,B131&lt;='Range Tables'!$G$60,'Range Tables'!$B$60,B131&lt;='Range Tables'!$G$61,'Range Tables'!$B$61,B131&lt;='Range Tables'!$G$63,'Range Tables'!$B$63,B131&lt;='Range Tables'!$G$64,'Range Tables'!$B$64,B131&lt;='Range Tables'!$G$66,'Range Tables'!$B$66)</f>
        <v>60 - 90</v>
      </c>
      <c r="D131" s="113">
        <f>IFERROR(__xludf.DUMMYFUNCTION("SPLIT(C131,""-"")"),60.0)</f>
        <v>60</v>
      </c>
      <c r="E131" s="113">
        <f>IFERROR(__xludf.DUMMYFUNCTION("""COMPUTED_VALUE"""),90.0)</f>
        <v>90</v>
      </c>
      <c r="F131" s="114">
        <f t="shared" si="40"/>
        <v>81.19310417</v>
      </c>
      <c r="G131" s="112">
        <v>0.8044222799729973</v>
      </c>
      <c r="H131" s="113" t="str">
        <f>ifs(G131&lt;='Range Tables'!$G$86,'Range Tables'!$B$86,G131&lt;='Range Tables'!$G$87,'Range Tables'!$B$87,G131&lt;='Range Tables'!$G$88,'Range Tables'!$B$88,G131&lt;='Range Tables'!$G$89,'Range Tables'!$B$89,G131&lt;='Range Tables'!$G$90,'Range Tables'!$B$90,G131&lt;='Range Tables'!$G$91,'Range Tables'!$B$91)</f>
        <v>Scooter</v>
      </c>
      <c r="I131" s="112">
        <v>0.10085385866622398</v>
      </c>
      <c r="J131" s="113" t="str">
        <f>IFS(
  H131="Car", IF(I131&lt;='Range Tables'!$G$19, 'Range Tables'!$B$19, 'Range Tables'!$B$20), 
  H131="Bike", IF(I131&lt;='Range Tables'!$G$25, 'Range Tables'!$B$25, 'Range Tables'!$B$26), 
  H131="Scooter", IF(I131&lt;='Range Tables'!$G$31, 'Range Tables'!$B$31, 'Range Tables'!$B$32), 
  H131="Auto", IF(I131&lt;='Range Tables'!$G$37, 'Range Tables'!$B$37, 'Range Tables'!$B$38), 
  H131="Carriers*", IF(I131&lt;='Range Tables'!$G$43, 'Range Tables'!$B$43, 'Range Tables'!$B$44), 
  H131="Van*", IF(I131&lt;='Range Tables'!$G$50, 'Range Tables'!$B$50, 'Range Tables'!$B$49)
)</f>
        <v>Petrol</v>
      </c>
      <c r="K131" s="112">
        <v>0.6892659779340031</v>
      </c>
      <c r="L131" s="113">
        <f>if(J131="Petrol",ifs(K131&lt;='Range Tables'!$G$5,'Range Tables'!$B$5,K131&lt;='Range Tables'!$G$6,'Range Tables'!$B$6,K131&lt;='Range Tables'!$G$7,'Range Tables'!$B$7),ifs(K131&lt;='Range Tables'!$G$13,'Range Tables'!$B$13,K131&lt;='Range Tables'!$G$14,'Range Tables'!$B$14))</f>
        <v>3</v>
      </c>
      <c r="M131" s="112">
        <v>0.8555880403891879</v>
      </c>
      <c r="N131" s="113" t="str">
        <f>ifs(H131="Car",ifs(M131&lt;='Range Tables'!$G$125,'Range Tables'!$B$125,M131&lt;='Range Tables'!$G$126,'Range Tables'!$B$126,M131&lt;='Range Tables'!$G$127,'Range Tables'!$B$127,M131&lt;='Range Tables'!$G$128,'Range Tables'!$B$128,M131&lt;='Range Tables'!$G$129,'Range Tables'!$B$129,'Range Tables'!$G$131,'Range Tables'!$B$131),H131="Bike",ifs(M131&lt;='Range Tables'!$G$136,'Range Tables'!$B$136,M131&lt;='Range Tables'!$G$137,'Range Tables'!$B$137,M131&lt;='Range Tables'!$G$138,'Range Tables'!$B$138,M131&lt;='Range Tables'!$G$142,'Range Tables'!$B$142),H131="Scooter",ifs(M131&lt;='Range Tables'!$G$148,'Range Tables'!$B$148,M131&lt;='Range Tables'!$G$149,'Range Tables'!$B$149,M131&lt;='Range Tables'!$G$150,'Range Tables'!$B$150,M131&lt;='Range Tables'!$G$151,'Range Tables'!$B$151),H131="Auto",ifs(M131&lt;='Range Tables'!$G$161,'Range Tables'!$B$161,M131&lt;='Range Tables'!$G$162,'Range Tables'!$B$162,M131&lt;='Range Tables'!$G$163,'Range Tables'!$B$163,M131&lt;='Range Tables'!$G$164,'Range Tables'!$B$164),H131="Carriers*",ifs(M131&lt;='Range Tables'!$G$173,'Range Tables'!$B$173,M131&lt;='Range Tables'!$G$174,'Range Tables'!$B$174,M131&lt;='Range Tables'!$G$175,'Range Tables'!$B$175,M131&lt;='Range Tables'!$G$176,'Range Tables'!$B$176,M131&lt;='Range Tables'!$G$177,'Range Tables'!$B$177,M131&lt;='Range Tables'!$G$179,'Range Tables'!$B$179),H131="Van*",ifs(M131&lt;='Range Tables'!$G$186,'Range Tables'!$B$186))</f>
        <v>180 - 240</v>
      </c>
      <c r="O131" s="113">
        <f>IFERROR(__xludf.DUMMYFUNCTION("SPLIT(N131,""-"")"),180.0)</f>
        <v>180</v>
      </c>
      <c r="P131" s="113">
        <f>IFERROR(__xludf.DUMMYFUNCTION("""COMPUTED_VALUE"""),240.0)</f>
        <v>240</v>
      </c>
      <c r="Q131" s="114">
        <f t="shared" si="2"/>
        <v>231.3352824</v>
      </c>
      <c r="R131" s="115">
        <f t="shared" si="3"/>
        <v>0.1141132403</v>
      </c>
      <c r="S131" s="114">
        <f t="shared" si="39"/>
        <v>9859.383965</v>
      </c>
      <c r="T131" s="113" t="str">
        <f t="shared" si="4"/>
        <v>no</v>
      </c>
      <c r="U131" s="115">
        <f t="shared" si="5"/>
        <v>0</v>
      </c>
      <c r="V131" s="113">
        <f t="shared" si="34"/>
        <v>0</v>
      </c>
      <c r="W131" s="115">
        <f t="shared" si="6"/>
        <v>0</v>
      </c>
      <c r="X131" s="85">
        <f t="shared" si="7"/>
        <v>0</v>
      </c>
      <c r="Y131" s="116">
        <f t="shared" si="8"/>
        <v>0</v>
      </c>
      <c r="Z131" s="113">
        <f t="shared" si="9"/>
        <v>0</v>
      </c>
      <c r="AA131" s="113" t="str">
        <f t="shared" si="10"/>
        <v>no</v>
      </c>
      <c r="AB131" s="115">
        <f t="shared" si="11"/>
        <v>0</v>
      </c>
      <c r="AC131" s="113">
        <f t="shared" si="35"/>
        <v>0</v>
      </c>
      <c r="AD131" s="116">
        <f t="shared" si="12"/>
        <v>0</v>
      </c>
      <c r="AE131" s="113">
        <f t="shared" si="13"/>
        <v>0</v>
      </c>
      <c r="AF131" s="116">
        <f t="shared" si="14"/>
        <v>0</v>
      </c>
      <c r="AG131" s="113">
        <f t="shared" si="15"/>
        <v>0</v>
      </c>
      <c r="AH131" s="113" t="str">
        <f t="shared" si="16"/>
        <v>yes</v>
      </c>
      <c r="AI131" s="115">
        <f t="shared" si="17"/>
        <v>0</v>
      </c>
      <c r="AJ131" s="113">
        <f t="shared" si="36"/>
        <v>0</v>
      </c>
      <c r="AK131" s="116">
        <f t="shared" si="18"/>
        <v>0.1141132403</v>
      </c>
      <c r="AL131" s="114">
        <f t="shared" si="19"/>
        <v>9859.383965</v>
      </c>
      <c r="AM131" s="115">
        <f t="shared" si="20"/>
        <v>0.116790732</v>
      </c>
      <c r="AN131" s="118">
        <f t="shared" si="21"/>
        <v>10090.71925</v>
      </c>
      <c r="AO131" s="113" t="str">
        <f t="shared" si="22"/>
        <v>no</v>
      </c>
      <c r="AP131" s="115">
        <f t="shared" si="23"/>
        <v>0</v>
      </c>
      <c r="AQ131" s="113">
        <f t="shared" si="37"/>
        <v>0</v>
      </c>
      <c r="AR131" s="116">
        <f t="shared" si="24"/>
        <v>0</v>
      </c>
      <c r="AS131" s="113">
        <f t="shared" si="25"/>
        <v>0</v>
      </c>
      <c r="AT131" s="116">
        <f t="shared" si="26"/>
        <v>0</v>
      </c>
      <c r="AU131" s="113">
        <f t="shared" si="27"/>
        <v>0</v>
      </c>
      <c r="AV131" s="113" t="str">
        <f t="shared" si="28"/>
        <v>no</v>
      </c>
      <c r="AW131" s="115">
        <f t="shared" si="29"/>
        <v>0</v>
      </c>
      <c r="AX131" s="85">
        <f t="shared" si="38"/>
        <v>0</v>
      </c>
      <c r="AY131" s="116">
        <f t="shared" si="30"/>
        <v>0</v>
      </c>
      <c r="AZ131" s="113">
        <f t="shared" si="31"/>
        <v>0</v>
      </c>
      <c r="BA131" s="116">
        <f t="shared" si="32"/>
        <v>0</v>
      </c>
      <c r="BB131" s="113">
        <f t="shared" si="33"/>
        <v>0</v>
      </c>
      <c r="BC131" s="112">
        <v>0.5887873280886401</v>
      </c>
      <c r="BD131" s="113" t="str">
        <f>ifs(BC131&lt;='Range Tables'!$G$81,'Range Tables'!$B$81,BC131&lt;='Range Tables'!$G$82,'Range Tables'!$B$82)</f>
        <v>Offline*</v>
      </c>
      <c r="BE131" s="112">
        <v>0.5485435656912288</v>
      </c>
      <c r="BF131" s="112" t="str">
        <f>ifs(BE131&lt;='Range Tables'!$G$95,'Range Tables'!$B$95,BE131&lt;='Range Tables'!$G$96,'Range Tables'!$B$96,BE131&lt;='Range Tables'!$G$97,'Range Tables'!$B$97,BE131&lt;='Range Tables'!$G$98,'Range Tables'!$B$98,BE131&lt;='Range Tables'!$G$99,'Range Tables'!$B$99,BE131&lt;='Range Tables'!$G$100,'Range Tables'!$B$100,BE131&lt;='Range Tables'!$G$101,'Range Tables'!$B$101,BE131&lt;='Range Tables'!$G$102,'Range Tables'!$B$102,BE131&lt;='Range Tables'!$G$103,'Range Tables'!$B$103)</f>
        <v>Jammu</v>
      </c>
      <c r="BG131" s="112">
        <v>0.03470880667645515</v>
      </c>
      <c r="BH131" s="113" t="str">
        <f>ifs(BG131&lt;='Range Tables'!$G$112,'Range Tables'!$B$112,BG131&lt;='Range Tables'!$G$113,'Range Tables'!$B$113,BG131&lt;='Range Tables'!$G$114,'Range Tables'!$B$114)</f>
        <v>0</v>
      </c>
      <c r="BI131" s="117">
        <v>0.15223469142467771</v>
      </c>
      <c r="BJ131" s="113" t="str">
        <f>ifs(BI131&lt;='Range Tables'!$G$118,'Range Tables'!$B$118,BI131&lt;='Range Tables'!$G$119,'Range Tables'!$B$119)</f>
        <v>Valid</v>
      </c>
    </row>
    <row r="132">
      <c r="A132" s="85">
        <v>129.0</v>
      </c>
      <c r="B132" s="112">
        <v>0.142941354484994</v>
      </c>
      <c r="C132" s="113" t="str">
        <f>ifs(B132&lt;='Range Tables'!$G$54,'Range Tables'!$B$54,B132&lt;='Range Tables'!$G$55,'Range Tables'!$B$55,B132&lt;='Range Tables'!$G$56,'Range Tables'!$B$56,B132&lt;='Range Tables'!$G$57,'Range Tables'!$B$57,B132&lt;='Range Tables'!$G$58,'Range Tables'!$B$58,B132&lt;='Range Tables'!$G$59,'Range Tables'!$B$59,B132&lt;='Range Tables'!$G$60,'Range Tables'!$B$60,B132&lt;='Range Tables'!$G$61,'Range Tables'!$B$61,B132&lt;='Range Tables'!$G$63,'Range Tables'!$B$63,B132&lt;='Range Tables'!$G$64,'Range Tables'!$B$64,B132&lt;='Range Tables'!$G$66,'Range Tables'!$B$66)</f>
        <v>0 - 30</v>
      </c>
      <c r="D132" s="113">
        <f>IFERROR(__xludf.DUMMYFUNCTION("SPLIT(C132,""-"")"),0.0)</f>
        <v>0</v>
      </c>
      <c r="E132" s="113">
        <f>IFERROR(__xludf.DUMMYFUNCTION("""COMPUTED_VALUE"""),30.0)</f>
        <v>30</v>
      </c>
      <c r="F132" s="114">
        <f t="shared" si="40"/>
        <v>4.288240635</v>
      </c>
      <c r="G132" s="112">
        <v>0.9733310516798505</v>
      </c>
      <c r="H132" s="113" t="str">
        <f>ifs(G132&lt;='Range Tables'!$G$86,'Range Tables'!$B$86,G132&lt;='Range Tables'!$G$87,'Range Tables'!$B$87,G132&lt;='Range Tables'!$G$88,'Range Tables'!$B$88,G132&lt;='Range Tables'!$G$89,'Range Tables'!$B$89,G132&lt;='Range Tables'!$G$90,'Range Tables'!$B$90,G132&lt;='Range Tables'!$G$91,'Range Tables'!$B$91)</f>
        <v>Carriers*</v>
      </c>
      <c r="I132" s="112">
        <v>0.19246200779351852</v>
      </c>
      <c r="J132" s="113" t="str">
        <f>IFS(
  H132="Car", IF(I132&lt;='Range Tables'!$G$19, 'Range Tables'!$B$19, 'Range Tables'!$B$20), 
  H132="Bike", IF(I132&lt;='Range Tables'!$G$25, 'Range Tables'!$B$25, 'Range Tables'!$B$26), 
  H132="Scooter", IF(I132&lt;='Range Tables'!$G$31, 'Range Tables'!$B$31, 'Range Tables'!$B$32), 
  H132="Auto", IF(I132&lt;='Range Tables'!$G$37, 'Range Tables'!$B$37, 'Range Tables'!$B$38), 
  H132="Carriers*", IF(I132&lt;='Range Tables'!$G$43, 'Range Tables'!$B$43, 'Range Tables'!$B$44), 
  H132="Van*", IF(I132&lt;='Range Tables'!$G$50, 'Range Tables'!$B$50, 'Range Tables'!$B$49)
)</f>
        <v>Petrol</v>
      </c>
      <c r="K132" s="112">
        <v>0.8810576668028643</v>
      </c>
      <c r="L132" s="113">
        <f>if(J132="Petrol",ifs(K132&lt;='Range Tables'!$G$5,'Range Tables'!$B$5,K132&lt;='Range Tables'!$G$6,'Range Tables'!$B$6,K132&lt;='Range Tables'!$G$7,'Range Tables'!$B$7),ifs(K132&lt;='Range Tables'!$G$13,'Range Tables'!$B$13,K132&lt;='Range Tables'!$G$14,'Range Tables'!$B$14))</f>
        <v>4</v>
      </c>
      <c r="M132" s="112">
        <v>0.40495015366049447</v>
      </c>
      <c r="N132" s="113" t="str">
        <f>ifs(H132="Car",ifs(M132&lt;='Range Tables'!$G$125,'Range Tables'!$B$125,M132&lt;='Range Tables'!$G$126,'Range Tables'!$B$126,M132&lt;='Range Tables'!$G$127,'Range Tables'!$B$127,M132&lt;='Range Tables'!$G$128,'Range Tables'!$B$128,M132&lt;='Range Tables'!$G$129,'Range Tables'!$B$129,'Range Tables'!$G$131,'Range Tables'!$B$131),H132="Bike",ifs(M132&lt;='Range Tables'!$G$136,'Range Tables'!$B$136,M132&lt;='Range Tables'!$G$137,'Range Tables'!$B$137,M132&lt;='Range Tables'!$G$138,'Range Tables'!$B$138,M132&lt;='Range Tables'!$G$142,'Range Tables'!$B$142),H132="Scooter",ifs(M132&lt;='Range Tables'!$G$148,'Range Tables'!$B$148,M132&lt;='Range Tables'!$G$149,'Range Tables'!$B$149,M132&lt;='Range Tables'!$G$150,'Range Tables'!$B$150,M132&lt;='Range Tables'!$G$151,'Range Tables'!$B$151),H132="Auto",ifs(M132&lt;='Range Tables'!$G$161,'Range Tables'!$B$161,M132&lt;='Range Tables'!$G$162,'Range Tables'!$B$162,M132&lt;='Range Tables'!$G$163,'Range Tables'!$B$163,M132&lt;='Range Tables'!$G$164,'Range Tables'!$B$164),H132="Carriers*",ifs(M132&lt;='Range Tables'!$G$173,'Range Tables'!$B$173,M132&lt;='Range Tables'!$G$174,'Range Tables'!$B$174,M132&lt;='Range Tables'!$G$175,'Range Tables'!$B$175,M132&lt;='Range Tables'!$G$176,'Range Tables'!$B$176,M132&lt;='Range Tables'!$G$177,'Range Tables'!$B$177,M132&lt;='Range Tables'!$G$179,'Range Tables'!$B$179),H132="Van*",ifs(M132&lt;='Range Tables'!$G$186,'Range Tables'!$B$186))</f>
        <v>180 - 240</v>
      </c>
      <c r="O132" s="113">
        <f>IFERROR(__xludf.DUMMYFUNCTION("SPLIT(N132,""-"")"),180.0)</f>
        <v>180</v>
      </c>
      <c r="P132" s="113">
        <f>IFERROR(__xludf.DUMMYFUNCTION("""COMPUTED_VALUE"""),240.0)</f>
        <v>240</v>
      </c>
      <c r="Q132" s="114">
        <f t="shared" si="2"/>
        <v>204.2970092</v>
      </c>
      <c r="R132" s="115">
        <f t="shared" si="3"/>
        <v>0.1150529753</v>
      </c>
      <c r="S132" s="114">
        <f t="shared" si="39"/>
        <v>9940.57707</v>
      </c>
      <c r="T132" s="113" t="str">
        <f t="shared" si="4"/>
        <v>no</v>
      </c>
      <c r="U132" s="115">
        <f t="shared" si="5"/>
        <v>0</v>
      </c>
      <c r="V132" s="113">
        <f t="shared" si="34"/>
        <v>0</v>
      </c>
      <c r="W132" s="115">
        <f t="shared" si="6"/>
        <v>0</v>
      </c>
      <c r="X132" s="85">
        <f t="shared" si="7"/>
        <v>0</v>
      </c>
      <c r="Y132" s="116">
        <f t="shared" si="8"/>
        <v>0</v>
      </c>
      <c r="Z132" s="113">
        <f t="shared" si="9"/>
        <v>0</v>
      </c>
      <c r="AA132" s="113" t="str">
        <f t="shared" si="10"/>
        <v>no</v>
      </c>
      <c r="AB132" s="115">
        <f t="shared" si="11"/>
        <v>0</v>
      </c>
      <c r="AC132" s="113">
        <f t="shared" si="35"/>
        <v>0</v>
      </c>
      <c r="AD132" s="116">
        <f t="shared" si="12"/>
        <v>0</v>
      </c>
      <c r="AE132" s="113">
        <f t="shared" si="13"/>
        <v>0</v>
      </c>
      <c r="AF132" s="116">
        <f t="shared" si="14"/>
        <v>0</v>
      </c>
      <c r="AG132" s="113">
        <f t="shared" si="15"/>
        <v>0</v>
      </c>
      <c r="AH132" s="113" t="str">
        <f t="shared" si="16"/>
        <v>no</v>
      </c>
      <c r="AI132" s="115">
        <f t="shared" si="17"/>
        <v>0</v>
      </c>
      <c r="AJ132" s="113">
        <f t="shared" si="36"/>
        <v>0</v>
      </c>
      <c r="AK132" s="116">
        <f t="shared" si="18"/>
        <v>0</v>
      </c>
      <c r="AL132" s="113">
        <f t="shared" si="19"/>
        <v>0</v>
      </c>
      <c r="AM132" s="115">
        <f t="shared" si="20"/>
        <v>0</v>
      </c>
      <c r="AN132" s="85">
        <f t="shared" si="21"/>
        <v>0</v>
      </c>
      <c r="AO132" s="113" t="str">
        <f t="shared" si="22"/>
        <v>yes</v>
      </c>
      <c r="AP132" s="115">
        <f t="shared" si="23"/>
        <v>0</v>
      </c>
      <c r="AQ132" s="113">
        <f t="shared" si="37"/>
        <v>0</v>
      </c>
      <c r="AR132" s="116">
        <f t="shared" si="24"/>
        <v>0.1150529753</v>
      </c>
      <c r="AS132" s="114">
        <f t="shared" si="25"/>
        <v>9940.57707</v>
      </c>
      <c r="AT132" s="116">
        <f t="shared" si="26"/>
        <v>0.1174175241</v>
      </c>
      <c r="AU132" s="114">
        <f t="shared" si="27"/>
        <v>10144.87408</v>
      </c>
      <c r="AV132" s="113" t="str">
        <f t="shared" si="28"/>
        <v>no</v>
      </c>
      <c r="AW132" s="115">
        <f t="shared" si="29"/>
        <v>0</v>
      </c>
      <c r="AX132" s="85">
        <f t="shared" si="38"/>
        <v>0</v>
      </c>
      <c r="AY132" s="116">
        <f t="shared" si="30"/>
        <v>0</v>
      </c>
      <c r="AZ132" s="113">
        <f t="shared" si="31"/>
        <v>0</v>
      </c>
      <c r="BA132" s="116">
        <f t="shared" si="32"/>
        <v>0</v>
      </c>
      <c r="BB132" s="113">
        <f t="shared" si="33"/>
        <v>0</v>
      </c>
      <c r="BC132" s="112">
        <v>0.09754851952264854</v>
      </c>
      <c r="BD132" s="113" t="str">
        <f>ifs(BC132&lt;='Range Tables'!$G$81,'Range Tables'!$B$81,BC132&lt;='Range Tables'!$G$82,'Range Tables'!$B$82)</f>
        <v>Online*</v>
      </c>
      <c r="BE132" s="112">
        <v>0.3537441629239193</v>
      </c>
      <c r="BF132" s="112" t="str">
        <f>ifs(BE132&lt;='Range Tables'!$G$95,'Range Tables'!$B$95,BE132&lt;='Range Tables'!$G$96,'Range Tables'!$B$96,BE132&lt;='Range Tables'!$G$97,'Range Tables'!$B$97,BE132&lt;='Range Tables'!$G$98,'Range Tables'!$B$98,BE132&lt;='Range Tables'!$G$99,'Range Tables'!$B$99,BE132&lt;='Range Tables'!$G$100,'Range Tables'!$B$100,BE132&lt;='Range Tables'!$G$101,'Range Tables'!$B$101,BE132&lt;='Range Tables'!$G$102,'Range Tables'!$B$102,BE132&lt;='Range Tables'!$G$103,'Range Tables'!$B$103)</f>
        <v>Jammu</v>
      </c>
      <c r="BG132" s="112">
        <v>0.04684542813026704</v>
      </c>
      <c r="BH132" s="113" t="str">
        <f>ifs(BG132&lt;='Range Tables'!$G$112,'Range Tables'!$B$112,BG132&lt;='Range Tables'!$G$113,'Range Tables'!$B$113,BG132&lt;='Range Tables'!$G$114,'Range Tables'!$B$114)</f>
        <v>0</v>
      </c>
      <c r="BI132" s="117">
        <v>0.5031770586197575</v>
      </c>
      <c r="BJ132" s="113" t="str">
        <f>ifs(BI132&lt;='Range Tables'!$G$118,'Range Tables'!$B$118,BI132&lt;='Range Tables'!$G$119,'Range Tables'!$B$119)</f>
        <v>Valid</v>
      </c>
    </row>
    <row r="133">
      <c r="A133" s="85">
        <v>130.0</v>
      </c>
      <c r="B133" s="112">
        <v>0.8345188376030375</v>
      </c>
      <c r="C133" s="113" t="str">
        <f>ifs(B133&lt;='Range Tables'!$G$54,'Range Tables'!$B$54,B133&lt;='Range Tables'!$G$55,'Range Tables'!$B$55,B133&lt;='Range Tables'!$G$56,'Range Tables'!$B$56,B133&lt;='Range Tables'!$G$57,'Range Tables'!$B$57,B133&lt;='Range Tables'!$G$58,'Range Tables'!$B$58,B133&lt;='Range Tables'!$G$59,'Range Tables'!$B$59,B133&lt;='Range Tables'!$G$60,'Range Tables'!$B$60,B133&lt;='Range Tables'!$G$61,'Range Tables'!$B$61,B133&lt;='Range Tables'!$G$63,'Range Tables'!$B$63,B133&lt;='Range Tables'!$G$64,'Range Tables'!$B$64,B133&lt;='Range Tables'!$G$66,'Range Tables'!$B$66)</f>
        <v>150 - 180</v>
      </c>
      <c r="D133" s="113">
        <f>IFERROR(__xludf.DUMMYFUNCTION("SPLIT(C133,""-"")"),150.0)</f>
        <v>150</v>
      </c>
      <c r="E133" s="113">
        <f>IFERROR(__xludf.DUMMYFUNCTION("""COMPUTED_VALUE"""),180.0)</f>
        <v>180</v>
      </c>
      <c r="F133" s="114">
        <f t="shared" si="40"/>
        <v>175.0355651</v>
      </c>
      <c r="G133" s="112">
        <v>0.6204134744682359</v>
      </c>
      <c r="H133" s="113" t="str">
        <f>ifs(G133&lt;='Range Tables'!$G$86,'Range Tables'!$B$86,G133&lt;='Range Tables'!$G$87,'Range Tables'!$B$87,G133&lt;='Range Tables'!$G$88,'Range Tables'!$B$88,G133&lt;='Range Tables'!$G$89,'Range Tables'!$B$89,G133&lt;='Range Tables'!$G$90,'Range Tables'!$B$90,G133&lt;='Range Tables'!$G$91,'Range Tables'!$B$91)</f>
        <v>Bike</v>
      </c>
      <c r="I133" s="112">
        <v>0.025272300789985547</v>
      </c>
      <c r="J133" s="113" t="str">
        <f>IFS(
  H133="Car", IF(I133&lt;='Range Tables'!$G$19, 'Range Tables'!$B$19, 'Range Tables'!$B$20), 
  H133="Bike", IF(I133&lt;='Range Tables'!$G$25, 'Range Tables'!$B$25, 'Range Tables'!$B$26), 
  H133="Scooter", IF(I133&lt;='Range Tables'!$G$31, 'Range Tables'!$B$31, 'Range Tables'!$B$32), 
  H133="Auto", IF(I133&lt;='Range Tables'!$G$37, 'Range Tables'!$B$37, 'Range Tables'!$B$38), 
  H133="Carriers*", IF(I133&lt;='Range Tables'!$G$43, 'Range Tables'!$B$43, 'Range Tables'!$B$44), 
  H133="Van*", IF(I133&lt;='Range Tables'!$G$50, 'Range Tables'!$B$50, 'Range Tables'!$B$49)
)</f>
        <v>Petrol</v>
      </c>
      <c r="K133" s="112">
        <v>0.4810069349412297</v>
      </c>
      <c r="L133" s="113">
        <f>if(J133="Petrol",ifs(K133&lt;='Range Tables'!$G$5,'Range Tables'!$B$5,K133&lt;='Range Tables'!$G$6,'Range Tables'!$B$6,K133&lt;='Range Tables'!$G$7,'Range Tables'!$B$7),ifs(K133&lt;='Range Tables'!$G$13,'Range Tables'!$B$13,K133&lt;='Range Tables'!$G$14,'Range Tables'!$B$14))</f>
        <v>2</v>
      </c>
      <c r="M133" s="112">
        <v>0.7353846895300261</v>
      </c>
      <c r="N133" s="113" t="str">
        <f>ifs(H133="Car",ifs(M133&lt;='Range Tables'!$G$125,'Range Tables'!$B$125,M133&lt;='Range Tables'!$G$126,'Range Tables'!$B$126,M133&lt;='Range Tables'!$G$127,'Range Tables'!$B$127,M133&lt;='Range Tables'!$G$128,'Range Tables'!$B$128,M133&lt;='Range Tables'!$G$129,'Range Tables'!$B$129,'Range Tables'!$G$131,'Range Tables'!$B$131),H133="Bike",ifs(M133&lt;='Range Tables'!$G$136,'Range Tables'!$B$136,M133&lt;='Range Tables'!$G$137,'Range Tables'!$B$137,M133&lt;='Range Tables'!$G$138,'Range Tables'!$B$138,M133&lt;='Range Tables'!$G$142,'Range Tables'!$B$142),H133="Scooter",ifs(M133&lt;='Range Tables'!$G$148,'Range Tables'!$B$148,M133&lt;='Range Tables'!$G$149,'Range Tables'!$B$149,M133&lt;='Range Tables'!$G$150,'Range Tables'!$B$150,M133&lt;='Range Tables'!$G$151,'Range Tables'!$B$151),H133="Auto",ifs(M133&lt;='Range Tables'!$G$161,'Range Tables'!$B$161,M133&lt;='Range Tables'!$G$162,'Range Tables'!$B$162,M133&lt;='Range Tables'!$G$163,'Range Tables'!$B$163,M133&lt;='Range Tables'!$G$164,'Range Tables'!$B$164),H133="Carriers*",ifs(M133&lt;='Range Tables'!$G$173,'Range Tables'!$B$173,M133&lt;='Range Tables'!$G$174,'Range Tables'!$B$174,M133&lt;='Range Tables'!$G$175,'Range Tables'!$B$175,M133&lt;='Range Tables'!$G$176,'Range Tables'!$B$176,M133&lt;='Range Tables'!$G$177,'Range Tables'!$B$177,M133&lt;='Range Tables'!$G$179,'Range Tables'!$B$179),H133="Van*",ifs(M133&lt;='Range Tables'!$G$186,'Range Tables'!$B$186))</f>
        <v>120 - 180</v>
      </c>
      <c r="O133" s="113">
        <f>IFERROR(__xludf.DUMMYFUNCTION("SPLIT(N133,""-"")"),120.0)</f>
        <v>120</v>
      </c>
      <c r="P133" s="113">
        <f>IFERROR(__xludf.DUMMYFUNCTION("""COMPUTED_VALUE"""),180.0)</f>
        <v>180</v>
      </c>
      <c r="Q133" s="114">
        <f t="shared" si="2"/>
        <v>164.1230814</v>
      </c>
      <c r="R133" s="115">
        <f t="shared" si="3"/>
        <v>0.1151026078</v>
      </c>
      <c r="S133" s="114">
        <f t="shared" si="39"/>
        <v>9944.86531</v>
      </c>
      <c r="T133" s="113" t="str">
        <f t="shared" si="4"/>
        <v>no</v>
      </c>
      <c r="U133" s="115">
        <f t="shared" si="5"/>
        <v>0</v>
      </c>
      <c r="V133" s="113">
        <f t="shared" si="34"/>
        <v>0</v>
      </c>
      <c r="W133" s="115">
        <f t="shared" si="6"/>
        <v>0</v>
      </c>
      <c r="X133" s="85">
        <f t="shared" si="7"/>
        <v>0</v>
      </c>
      <c r="Y133" s="116">
        <f t="shared" si="8"/>
        <v>0</v>
      </c>
      <c r="Z133" s="113">
        <f t="shared" si="9"/>
        <v>0</v>
      </c>
      <c r="AA133" s="113" t="str">
        <f t="shared" si="10"/>
        <v>yes</v>
      </c>
      <c r="AB133" s="115">
        <f t="shared" si="11"/>
        <v>0</v>
      </c>
      <c r="AC133" s="113">
        <f t="shared" si="35"/>
        <v>0</v>
      </c>
      <c r="AD133" s="116">
        <f t="shared" si="12"/>
        <v>0.1151026078</v>
      </c>
      <c r="AE133" s="114">
        <f t="shared" si="13"/>
        <v>9944.86531</v>
      </c>
      <c r="AF133" s="116">
        <f t="shared" si="14"/>
        <v>0.1170021805</v>
      </c>
      <c r="AG133" s="114">
        <f t="shared" si="15"/>
        <v>10108.98839</v>
      </c>
      <c r="AH133" s="113" t="str">
        <f t="shared" si="16"/>
        <v>no</v>
      </c>
      <c r="AI133" s="115">
        <f t="shared" si="17"/>
        <v>0</v>
      </c>
      <c r="AJ133" s="113">
        <f t="shared" si="36"/>
        <v>0</v>
      </c>
      <c r="AK133" s="116">
        <f t="shared" si="18"/>
        <v>0</v>
      </c>
      <c r="AL133" s="113">
        <f t="shared" si="19"/>
        <v>0</v>
      </c>
      <c r="AM133" s="115">
        <f t="shared" si="20"/>
        <v>0</v>
      </c>
      <c r="AN133" s="85">
        <f t="shared" si="21"/>
        <v>0</v>
      </c>
      <c r="AO133" s="113" t="str">
        <f t="shared" si="22"/>
        <v>no</v>
      </c>
      <c r="AP133" s="115">
        <f t="shared" si="23"/>
        <v>0</v>
      </c>
      <c r="AQ133" s="113">
        <f t="shared" si="37"/>
        <v>0</v>
      </c>
      <c r="AR133" s="116">
        <f t="shared" si="24"/>
        <v>0</v>
      </c>
      <c r="AS133" s="113">
        <f t="shared" si="25"/>
        <v>0</v>
      </c>
      <c r="AT133" s="116">
        <f t="shared" si="26"/>
        <v>0</v>
      </c>
      <c r="AU133" s="113">
        <f t="shared" si="27"/>
        <v>0</v>
      </c>
      <c r="AV133" s="113" t="str">
        <f t="shared" si="28"/>
        <v>no</v>
      </c>
      <c r="AW133" s="115">
        <f t="shared" si="29"/>
        <v>0</v>
      </c>
      <c r="AX133" s="85">
        <f t="shared" si="38"/>
        <v>0</v>
      </c>
      <c r="AY133" s="116">
        <f t="shared" si="30"/>
        <v>0</v>
      </c>
      <c r="AZ133" s="113">
        <f t="shared" si="31"/>
        <v>0</v>
      </c>
      <c r="BA133" s="116">
        <f t="shared" si="32"/>
        <v>0</v>
      </c>
      <c r="BB133" s="113">
        <f t="shared" si="33"/>
        <v>0</v>
      </c>
      <c r="BC133" s="112">
        <v>0.1493828798413196</v>
      </c>
      <c r="BD133" s="113" t="str">
        <f>ifs(BC133&lt;='Range Tables'!$G$81,'Range Tables'!$B$81,BC133&lt;='Range Tables'!$G$82,'Range Tables'!$B$82)</f>
        <v>Online*</v>
      </c>
      <c r="BE133" s="112">
        <v>0.7253798461346632</v>
      </c>
      <c r="BF133" s="112" t="str">
        <f>ifs(BE133&lt;='Range Tables'!$G$95,'Range Tables'!$B$95,BE133&lt;='Range Tables'!$G$96,'Range Tables'!$B$96,BE133&lt;='Range Tables'!$G$97,'Range Tables'!$B$97,BE133&lt;='Range Tables'!$G$98,'Range Tables'!$B$98,BE133&lt;='Range Tables'!$G$99,'Range Tables'!$B$99,BE133&lt;='Range Tables'!$G$100,'Range Tables'!$B$100,BE133&lt;='Range Tables'!$G$101,'Range Tables'!$B$101,BE133&lt;='Range Tables'!$G$102,'Range Tables'!$B$102,BE133&lt;='Range Tables'!$G$103,'Range Tables'!$B$103)</f>
        <v>Jammu</v>
      </c>
      <c r="BG133" s="112">
        <v>0.6273467588412092</v>
      </c>
      <c r="BH133" s="113" t="str">
        <f>ifs(BG133&lt;='Range Tables'!$G$112,'Range Tables'!$B$112,BG133&lt;='Range Tables'!$G$113,'Range Tables'!$B$113,BG133&lt;='Range Tables'!$G$114,'Range Tables'!$B$114)</f>
        <v>0</v>
      </c>
      <c r="BI133" s="117">
        <v>0.7547725043175595</v>
      </c>
      <c r="BJ133" s="113" t="str">
        <f>ifs(BI133&lt;='Range Tables'!$G$118,'Range Tables'!$B$118,BI133&lt;='Range Tables'!$G$119,'Range Tables'!$B$119)</f>
        <v>Expired</v>
      </c>
    </row>
    <row r="134">
      <c r="A134" s="85">
        <v>131.0</v>
      </c>
      <c r="B134" s="112">
        <v>0.8781163208525179</v>
      </c>
      <c r="C134" s="113" t="str">
        <f>ifs(B134&lt;='Range Tables'!$G$54,'Range Tables'!$B$54,B134&lt;='Range Tables'!$G$55,'Range Tables'!$B$55,B134&lt;='Range Tables'!$G$56,'Range Tables'!$B$56,B134&lt;='Range Tables'!$G$57,'Range Tables'!$B$57,B134&lt;='Range Tables'!$G$58,'Range Tables'!$B$58,B134&lt;='Range Tables'!$G$59,'Range Tables'!$B$59,B134&lt;='Range Tables'!$G$60,'Range Tables'!$B$60,B134&lt;='Range Tables'!$G$61,'Range Tables'!$B$61,B134&lt;='Range Tables'!$G$63,'Range Tables'!$B$63,B134&lt;='Range Tables'!$G$64,'Range Tables'!$B$64,B134&lt;='Range Tables'!$G$66,'Range Tables'!$B$66)</f>
        <v>180 - 210</v>
      </c>
      <c r="D134" s="113">
        <f>IFERROR(__xludf.DUMMYFUNCTION("SPLIT(C134,""-"")"),180.0)</f>
        <v>180</v>
      </c>
      <c r="E134" s="113">
        <f>IFERROR(__xludf.DUMMYFUNCTION("""COMPUTED_VALUE"""),210.0)</f>
        <v>210</v>
      </c>
      <c r="F134" s="114">
        <f t="shared" si="40"/>
        <v>206.3434896</v>
      </c>
      <c r="G134" s="112">
        <v>0.5705645563707574</v>
      </c>
      <c r="H134" s="113" t="str">
        <f>ifs(G134&lt;='Range Tables'!$G$86,'Range Tables'!$B$86,G134&lt;='Range Tables'!$G$87,'Range Tables'!$B$87,G134&lt;='Range Tables'!$G$88,'Range Tables'!$B$88,G134&lt;='Range Tables'!$G$89,'Range Tables'!$B$89,G134&lt;='Range Tables'!$G$90,'Range Tables'!$B$90,G134&lt;='Range Tables'!$G$91,'Range Tables'!$B$91)</f>
        <v>Bike</v>
      </c>
      <c r="I134" s="112">
        <v>0.307394521292784</v>
      </c>
      <c r="J134" s="113" t="str">
        <f>IFS(
  H134="Car", IF(I134&lt;='Range Tables'!$G$19, 'Range Tables'!$B$19, 'Range Tables'!$B$20), 
  H134="Bike", IF(I134&lt;='Range Tables'!$G$25, 'Range Tables'!$B$25, 'Range Tables'!$B$26), 
  H134="Scooter", IF(I134&lt;='Range Tables'!$G$31, 'Range Tables'!$B$31, 'Range Tables'!$B$32), 
  H134="Auto", IF(I134&lt;='Range Tables'!$G$37, 'Range Tables'!$B$37, 'Range Tables'!$B$38), 
  H134="Carriers*", IF(I134&lt;='Range Tables'!$G$43, 'Range Tables'!$B$43, 'Range Tables'!$B$44), 
  H134="Van*", IF(I134&lt;='Range Tables'!$G$50, 'Range Tables'!$B$50, 'Range Tables'!$B$49)
)</f>
        <v>Petrol</v>
      </c>
      <c r="K134" s="112">
        <v>0.7509729149030775</v>
      </c>
      <c r="L134" s="113">
        <f>if(J134="Petrol",ifs(K134&lt;='Range Tables'!$G$5,'Range Tables'!$B$5,K134&lt;='Range Tables'!$G$6,'Range Tables'!$B$6,K134&lt;='Range Tables'!$G$7,'Range Tables'!$B$7),ifs(K134&lt;='Range Tables'!$G$13,'Range Tables'!$B$13,K134&lt;='Range Tables'!$G$14,'Range Tables'!$B$14))</f>
        <v>3</v>
      </c>
      <c r="M134" s="112">
        <v>0.9830796422451578</v>
      </c>
      <c r="N134" s="113" t="str">
        <f>ifs(H134="Car",ifs(M134&lt;='Range Tables'!$G$125,'Range Tables'!$B$125,M134&lt;='Range Tables'!$G$126,'Range Tables'!$B$126,M134&lt;='Range Tables'!$G$127,'Range Tables'!$B$127,M134&lt;='Range Tables'!$G$128,'Range Tables'!$B$128,M134&lt;='Range Tables'!$G$129,'Range Tables'!$B$129,'Range Tables'!$G$131,'Range Tables'!$B$131),H134="Bike",ifs(M134&lt;='Range Tables'!$G$136,'Range Tables'!$B$136,M134&lt;='Range Tables'!$G$137,'Range Tables'!$B$137,M134&lt;='Range Tables'!$G$138,'Range Tables'!$B$138,M134&lt;='Range Tables'!$G$142,'Range Tables'!$B$142),H134="Scooter",ifs(M134&lt;='Range Tables'!$G$148,'Range Tables'!$B$148,M134&lt;='Range Tables'!$G$149,'Range Tables'!$B$149,M134&lt;='Range Tables'!$G$150,'Range Tables'!$B$150,M134&lt;='Range Tables'!$G$151,'Range Tables'!$B$151),H134="Auto",ifs(M134&lt;='Range Tables'!$G$161,'Range Tables'!$B$161,M134&lt;='Range Tables'!$G$162,'Range Tables'!$B$162,M134&lt;='Range Tables'!$G$163,'Range Tables'!$B$163,M134&lt;='Range Tables'!$G$164,'Range Tables'!$B$164),H134="Carriers*",ifs(M134&lt;='Range Tables'!$G$173,'Range Tables'!$B$173,M134&lt;='Range Tables'!$G$174,'Range Tables'!$B$174,M134&lt;='Range Tables'!$G$175,'Range Tables'!$B$175,M134&lt;='Range Tables'!$G$176,'Range Tables'!$B$176,M134&lt;='Range Tables'!$G$177,'Range Tables'!$B$177,M134&lt;='Range Tables'!$G$179,'Range Tables'!$B$179),H134="Van*",ifs(M134&lt;='Range Tables'!$G$186,'Range Tables'!$B$186))</f>
        <v>360 - 420</v>
      </c>
      <c r="O134" s="113">
        <f>IFERROR(__xludf.DUMMYFUNCTION("SPLIT(N134,""-"")"),360.0)</f>
        <v>360</v>
      </c>
      <c r="P134" s="113">
        <f>IFERROR(__xludf.DUMMYFUNCTION("""COMPUTED_VALUE"""),420.0)</f>
        <v>420</v>
      </c>
      <c r="Q134" s="114">
        <f t="shared" si="2"/>
        <v>418.9847785</v>
      </c>
      <c r="R134" s="115">
        <f t="shared" si="3"/>
        <v>0.1171284824</v>
      </c>
      <c r="S134" s="114">
        <f t="shared" si="39"/>
        <v>10119.90088</v>
      </c>
      <c r="T134" s="113" t="str">
        <f t="shared" si="4"/>
        <v>no</v>
      </c>
      <c r="U134" s="115">
        <f t="shared" si="5"/>
        <v>0</v>
      </c>
      <c r="V134" s="113">
        <f t="shared" si="34"/>
        <v>0</v>
      </c>
      <c r="W134" s="115">
        <f t="shared" si="6"/>
        <v>0</v>
      </c>
      <c r="X134" s="85">
        <f t="shared" si="7"/>
        <v>0</v>
      </c>
      <c r="Y134" s="116">
        <f t="shared" si="8"/>
        <v>0</v>
      </c>
      <c r="Z134" s="113">
        <f t="shared" si="9"/>
        <v>0</v>
      </c>
      <c r="AA134" s="113" t="str">
        <f t="shared" si="10"/>
        <v>no</v>
      </c>
      <c r="AB134" s="115">
        <f t="shared" si="11"/>
        <v>0</v>
      </c>
      <c r="AC134" s="113">
        <f t="shared" si="35"/>
        <v>0</v>
      </c>
      <c r="AD134" s="116">
        <f t="shared" si="12"/>
        <v>0</v>
      </c>
      <c r="AE134" s="113">
        <f t="shared" si="13"/>
        <v>0</v>
      </c>
      <c r="AF134" s="116">
        <f t="shared" si="14"/>
        <v>0</v>
      </c>
      <c r="AG134" s="113">
        <f t="shared" si="15"/>
        <v>0</v>
      </c>
      <c r="AH134" s="113" t="str">
        <f t="shared" si="16"/>
        <v>yes</v>
      </c>
      <c r="AI134" s="115">
        <f t="shared" si="17"/>
        <v>0</v>
      </c>
      <c r="AJ134" s="113">
        <f t="shared" si="36"/>
        <v>0</v>
      </c>
      <c r="AK134" s="116">
        <f t="shared" si="18"/>
        <v>0.1171284824</v>
      </c>
      <c r="AL134" s="114">
        <f t="shared" si="19"/>
        <v>10119.90088</v>
      </c>
      <c r="AM134" s="115">
        <f t="shared" si="20"/>
        <v>0.1219778432</v>
      </c>
      <c r="AN134" s="118">
        <f t="shared" si="21"/>
        <v>10538.88565</v>
      </c>
      <c r="AO134" s="113" t="str">
        <f t="shared" si="22"/>
        <v>no</v>
      </c>
      <c r="AP134" s="115">
        <f t="shared" si="23"/>
        <v>0</v>
      </c>
      <c r="AQ134" s="113">
        <f t="shared" si="37"/>
        <v>0</v>
      </c>
      <c r="AR134" s="116">
        <f t="shared" si="24"/>
        <v>0</v>
      </c>
      <c r="AS134" s="113">
        <f t="shared" si="25"/>
        <v>0</v>
      </c>
      <c r="AT134" s="116">
        <f t="shared" si="26"/>
        <v>0</v>
      </c>
      <c r="AU134" s="113">
        <f t="shared" si="27"/>
        <v>0</v>
      </c>
      <c r="AV134" s="113" t="str">
        <f t="shared" si="28"/>
        <v>no</v>
      </c>
      <c r="AW134" s="115">
        <f t="shared" si="29"/>
        <v>0</v>
      </c>
      <c r="AX134" s="85">
        <f t="shared" si="38"/>
        <v>0</v>
      </c>
      <c r="AY134" s="116">
        <f t="shared" si="30"/>
        <v>0</v>
      </c>
      <c r="AZ134" s="113">
        <f t="shared" si="31"/>
        <v>0</v>
      </c>
      <c r="BA134" s="116">
        <f t="shared" si="32"/>
        <v>0</v>
      </c>
      <c r="BB134" s="113">
        <f t="shared" si="33"/>
        <v>0</v>
      </c>
      <c r="BC134" s="112">
        <v>0.45844226014062583</v>
      </c>
      <c r="BD134" s="113" t="str">
        <f>ifs(BC134&lt;='Range Tables'!$G$81,'Range Tables'!$B$81,BC134&lt;='Range Tables'!$G$82,'Range Tables'!$B$82)</f>
        <v>Offline*</v>
      </c>
      <c r="BE134" s="112">
        <v>0.533977618720444</v>
      </c>
      <c r="BF134" s="112" t="str">
        <f>ifs(BE134&lt;='Range Tables'!$G$95,'Range Tables'!$B$95,BE134&lt;='Range Tables'!$G$96,'Range Tables'!$B$96,BE134&lt;='Range Tables'!$G$97,'Range Tables'!$B$97,BE134&lt;='Range Tables'!$G$98,'Range Tables'!$B$98,BE134&lt;='Range Tables'!$G$99,'Range Tables'!$B$99,BE134&lt;='Range Tables'!$G$100,'Range Tables'!$B$100,BE134&lt;='Range Tables'!$G$101,'Range Tables'!$B$101,BE134&lt;='Range Tables'!$G$102,'Range Tables'!$B$102,BE134&lt;='Range Tables'!$G$103,'Range Tables'!$B$103)</f>
        <v>Jammu</v>
      </c>
      <c r="BG134" s="112">
        <v>0.7039714260232731</v>
      </c>
      <c r="BH134" s="113" t="str">
        <f>ifs(BG134&lt;='Range Tables'!$G$112,'Range Tables'!$B$112,BG134&lt;='Range Tables'!$G$113,'Range Tables'!$B$113,BG134&lt;='Range Tables'!$G$114,'Range Tables'!$B$114)</f>
        <v>0</v>
      </c>
      <c r="BI134" s="117">
        <v>0.0739456243918537</v>
      </c>
      <c r="BJ134" s="113" t="str">
        <f>ifs(BI134&lt;='Range Tables'!$G$118,'Range Tables'!$B$118,BI134&lt;='Range Tables'!$G$119,'Range Tables'!$B$119)</f>
        <v>Valid</v>
      </c>
    </row>
    <row r="135">
      <c r="A135" s="85">
        <v>132.0</v>
      </c>
      <c r="B135" s="112">
        <v>0.964497405338224</v>
      </c>
      <c r="C135" s="113" t="str">
        <f>ifs(B135&lt;='Range Tables'!$G$54,'Range Tables'!$B$54,B135&lt;='Range Tables'!$G$55,'Range Tables'!$B$55,B135&lt;='Range Tables'!$G$56,'Range Tables'!$B$56,B135&lt;='Range Tables'!$G$57,'Range Tables'!$B$57,B135&lt;='Range Tables'!$G$58,'Range Tables'!$B$58,B135&lt;='Range Tables'!$G$59,'Range Tables'!$B$59,B135&lt;='Range Tables'!$G$60,'Range Tables'!$B$60,B135&lt;='Range Tables'!$G$61,'Range Tables'!$B$61,B135&lt;='Range Tables'!$G$63,'Range Tables'!$B$63,B135&lt;='Range Tables'!$G$64,'Range Tables'!$B$64,B135&lt;='Range Tables'!$G$66,'Range Tables'!$B$66)</f>
        <v>300 - 330</v>
      </c>
      <c r="D135" s="113">
        <f>IFERROR(__xludf.DUMMYFUNCTION("SPLIT(C135,""-"")"),300.0)</f>
        <v>300</v>
      </c>
      <c r="E135" s="113">
        <f>IFERROR(__xludf.DUMMYFUNCTION("""COMPUTED_VALUE"""),330.0)</f>
        <v>330</v>
      </c>
      <c r="F135" s="114">
        <f t="shared" si="40"/>
        <v>328.9349222</v>
      </c>
      <c r="G135" s="112">
        <v>0.4102775184447912</v>
      </c>
      <c r="H135" s="113" t="str">
        <f>ifs(G135&lt;='Range Tables'!$G$86,'Range Tables'!$B$86,G135&lt;='Range Tables'!$G$87,'Range Tables'!$B$87,G135&lt;='Range Tables'!$G$88,'Range Tables'!$B$88,G135&lt;='Range Tables'!$G$89,'Range Tables'!$B$89,G135&lt;='Range Tables'!$G$90,'Range Tables'!$B$90,G135&lt;='Range Tables'!$G$91,'Range Tables'!$B$91)</f>
        <v>Car</v>
      </c>
      <c r="I135" s="112">
        <v>0.3222557609018023</v>
      </c>
      <c r="J135" s="113" t="str">
        <f>IFS(
  H135="Car", IF(I135&lt;='Range Tables'!$G$19, 'Range Tables'!$B$19, 'Range Tables'!$B$20), 
  H135="Bike", IF(I135&lt;='Range Tables'!$G$25, 'Range Tables'!$B$25, 'Range Tables'!$B$26), 
  H135="Scooter", IF(I135&lt;='Range Tables'!$G$31, 'Range Tables'!$B$31, 'Range Tables'!$B$32), 
  H135="Auto", IF(I135&lt;='Range Tables'!$G$37, 'Range Tables'!$B$37, 'Range Tables'!$B$38), 
  H135="Carriers*", IF(I135&lt;='Range Tables'!$G$43, 'Range Tables'!$B$43, 'Range Tables'!$B$44), 
  H135="Van*", IF(I135&lt;='Range Tables'!$G$50, 'Range Tables'!$B$50, 'Range Tables'!$B$49)
)</f>
        <v>Petrol</v>
      </c>
      <c r="K135" s="112">
        <v>0.5625632552992779</v>
      </c>
      <c r="L135" s="113">
        <f>if(J135="Petrol",ifs(K135&lt;='Range Tables'!$G$5,'Range Tables'!$B$5,K135&lt;='Range Tables'!$G$6,'Range Tables'!$B$6,K135&lt;='Range Tables'!$G$7,'Range Tables'!$B$7),ifs(K135&lt;='Range Tables'!$G$13,'Range Tables'!$B$13,K135&lt;='Range Tables'!$G$14,'Range Tables'!$B$14))</f>
        <v>3</v>
      </c>
      <c r="M135" s="112">
        <v>0.15717818835801167</v>
      </c>
      <c r="N135" s="113" t="str">
        <f>ifs(H135="Car",ifs(M135&lt;='Range Tables'!$G$125,'Range Tables'!$B$125,M135&lt;='Range Tables'!$G$126,'Range Tables'!$B$126,M135&lt;='Range Tables'!$G$127,'Range Tables'!$B$127,M135&lt;='Range Tables'!$G$128,'Range Tables'!$B$128,M135&lt;='Range Tables'!$G$129,'Range Tables'!$B$129,'Range Tables'!$G$131,'Range Tables'!$B$131),H135="Bike",ifs(M135&lt;='Range Tables'!$G$136,'Range Tables'!$B$136,M135&lt;='Range Tables'!$G$137,'Range Tables'!$B$137,M135&lt;='Range Tables'!$G$138,'Range Tables'!$B$138,M135&lt;='Range Tables'!$G$142,'Range Tables'!$B$142),H135="Scooter",ifs(M135&lt;='Range Tables'!$G$148,'Range Tables'!$B$148,M135&lt;='Range Tables'!$G$149,'Range Tables'!$B$149,M135&lt;='Range Tables'!$G$150,'Range Tables'!$B$150,M135&lt;='Range Tables'!$G$151,'Range Tables'!$B$151),H135="Auto",ifs(M135&lt;='Range Tables'!$G$161,'Range Tables'!$B$161,M135&lt;='Range Tables'!$G$162,'Range Tables'!$B$162,M135&lt;='Range Tables'!$G$163,'Range Tables'!$B$163,M135&lt;='Range Tables'!$G$164,'Range Tables'!$B$164),H135="Carriers*",ifs(M135&lt;='Range Tables'!$G$173,'Range Tables'!$B$173,M135&lt;='Range Tables'!$G$174,'Range Tables'!$B$174,M135&lt;='Range Tables'!$G$175,'Range Tables'!$B$175,M135&lt;='Range Tables'!$G$176,'Range Tables'!$B$176,M135&lt;='Range Tables'!$G$177,'Range Tables'!$B$177,M135&lt;='Range Tables'!$G$179,'Range Tables'!$B$179),H135="Van*",ifs(M135&lt;='Range Tables'!$G$186,'Range Tables'!$B$186))</f>
        <v>60 - 120</v>
      </c>
      <c r="O135" s="113">
        <f>IFERROR(__xludf.DUMMYFUNCTION("SPLIT(N135,""-"")"),60.0)</f>
        <v>60</v>
      </c>
      <c r="P135" s="113">
        <f>IFERROR(__xludf.DUMMYFUNCTION("""COMPUTED_VALUE"""),120.0)</f>
        <v>120</v>
      </c>
      <c r="Q135" s="114">
        <f t="shared" si="2"/>
        <v>69.4306913</v>
      </c>
      <c r="R135" s="115">
        <f t="shared" si="3"/>
        <v>0.1195167172</v>
      </c>
      <c r="S135" s="114">
        <f t="shared" si="39"/>
        <v>10326.24436</v>
      </c>
      <c r="T135" s="113" t="str">
        <f t="shared" si="4"/>
        <v>no</v>
      </c>
      <c r="U135" s="115">
        <f t="shared" si="5"/>
        <v>0</v>
      </c>
      <c r="V135" s="113">
        <f t="shared" si="34"/>
        <v>0</v>
      </c>
      <c r="W135" s="115">
        <f t="shared" si="6"/>
        <v>0</v>
      </c>
      <c r="X135" s="85">
        <f t="shared" si="7"/>
        <v>0</v>
      </c>
      <c r="Y135" s="116">
        <f t="shared" si="8"/>
        <v>0</v>
      </c>
      <c r="Z135" s="113">
        <f t="shared" si="9"/>
        <v>0</v>
      </c>
      <c r="AA135" s="113" t="str">
        <f t="shared" si="10"/>
        <v>no</v>
      </c>
      <c r="AB135" s="115">
        <f t="shared" si="11"/>
        <v>0</v>
      </c>
      <c r="AC135" s="113">
        <f t="shared" si="35"/>
        <v>0</v>
      </c>
      <c r="AD135" s="116">
        <f t="shared" si="12"/>
        <v>0</v>
      </c>
      <c r="AE135" s="113">
        <f t="shared" si="13"/>
        <v>0</v>
      </c>
      <c r="AF135" s="116">
        <f t="shared" si="14"/>
        <v>0</v>
      </c>
      <c r="AG135" s="113">
        <f t="shared" si="15"/>
        <v>0</v>
      </c>
      <c r="AH135" s="113" t="str">
        <f t="shared" si="16"/>
        <v>yes</v>
      </c>
      <c r="AI135" s="115">
        <f t="shared" si="17"/>
        <v>0.002461126029</v>
      </c>
      <c r="AJ135" s="114">
        <f t="shared" si="36"/>
        <v>212.6412889</v>
      </c>
      <c r="AK135" s="116">
        <f t="shared" si="18"/>
        <v>0.1219778432</v>
      </c>
      <c r="AL135" s="114">
        <f t="shared" si="19"/>
        <v>10538.88565</v>
      </c>
      <c r="AM135" s="115">
        <f t="shared" si="20"/>
        <v>0.1227814392</v>
      </c>
      <c r="AN135" s="118">
        <f t="shared" si="21"/>
        <v>10608.31635</v>
      </c>
      <c r="AO135" s="113" t="str">
        <f t="shared" si="22"/>
        <v>no</v>
      </c>
      <c r="AP135" s="115">
        <f t="shared" si="23"/>
        <v>0</v>
      </c>
      <c r="AQ135" s="113">
        <f t="shared" si="37"/>
        <v>0</v>
      </c>
      <c r="AR135" s="116">
        <f t="shared" si="24"/>
        <v>0</v>
      </c>
      <c r="AS135" s="113">
        <f t="shared" si="25"/>
        <v>0</v>
      </c>
      <c r="AT135" s="116">
        <f t="shared" si="26"/>
        <v>0</v>
      </c>
      <c r="AU135" s="113">
        <f t="shared" si="27"/>
        <v>0</v>
      </c>
      <c r="AV135" s="113" t="str">
        <f t="shared" si="28"/>
        <v>no</v>
      </c>
      <c r="AW135" s="115">
        <f t="shared" si="29"/>
        <v>0</v>
      </c>
      <c r="AX135" s="85">
        <f t="shared" si="38"/>
        <v>0</v>
      </c>
      <c r="AY135" s="116">
        <f t="shared" si="30"/>
        <v>0</v>
      </c>
      <c r="AZ135" s="113">
        <f t="shared" si="31"/>
        <v>0</v>
      </c>
      <c r="BA135" s="116">
        <f t="shared" si="32"/>
        <v>0</v>
      </c>
      <c r="BB135" s="113">
        <f t="shared" si="33"/>
        <v>0</v>
      </c>
      <c r="BC135" s="112">
        <v>0.3063348019330404</v>
      </c>
      <c r="BD135" s="113" t="str">
        <f>ifs(BC135&lt;='Range Tables'!$G$81,'Range Tables'!$B$81,BC135&lt;='Range Tables'!$G$82,'Range Tables'!$B$82)</f>
        <v>Online*</v>
      </c>
      <c r="BE135" s="112">
        <v>0.06969892653523713</v>
      </c>
      <c r="BF135" s="112" t="str">
        <f>ifs(BE135&lt;='Range Tables'!$G$95,'Range Tables'!$B$95,BE135&lt;='Range Tables'!$G$96,'Range Tables'!$B$96,BE135&lt;='Range Tables'!$G$97,'Range Tables'!$B$97,BE135&lt;='Range Tables'!$G$98,'Range Tables'!$B$98,BE135&lt;='Range Tables'!$G$99,'Range Tables'!$B$99,BE135&lt;='Range Tables'!$G$100,'Range Tables'!$B$100,BE135&lt;='Range Tables'!$G$101,'Range Tables'!$B$101,BE135&lt;='Range Tables'!$G$102,'Range Tables'!$B$102,BE135&lt;='Range Tables'!$G$103,'Range Tables'!$B$103)</f>
        <v>Jammu</v>
      </c>
      <c r="BG135" s="112">
        <v>0.3034258664374575</v>
      </c>
      <c r="BH135" s="113" t="str">
        <f>ifs(BG135&lt;='Range Tables'!$G$112,'Range Tables'!$B$112,BG135&lt;='Range Tables'!$G$113,'Range Tables'!$B$113,BG135&lt;='Range Tables'!$G$114,'Range Tables'!$B$114)</f>
        <v>0</v>
      </c>
      <c r="BI135" s="117">
        <v>0.880675454736367</v>
      </c>
      <c r="BJ135" s="113" t="str">
        <f>ifs(BI135&lt;='Range Tables'!$G$118,'Range Tables'!$B$118,BI135&lt;='Range Tables'!$G$119,'Range Tables'!$B$119)</f>
        <v>Expired</v>
      </c>
    </row>
    <row r="136">
      <c r="A136" s="85">
        <v>133.0</v>
      </c>
      <c r="B136" s="112">
        <v>0.11506301459510992</v>
      </c>
      <c r="C136" s="113" t="str">
        <f>ifs(B136&lt;='Range Tables'!$G$54,'Range Tables'!$B$54,B136&lt;='Range Tables'!$G$55,'Range Tables'!$B$55,B136&lt;='Range Tables'!$G$56,'Range Tables'!$B$56,B136&lt;='Range Tables'!$G$57,'Range Tables'!$B$57,B136&lt;='Range Tables'!$G$58,'Range Tables'!$B$58,B136&lt;='Range Tables'!$G$59,'Range Tables'!$B$59,B136&lt;='Range Tables'!$G$60,'Range Tables'!$B$60,B136&lt;='Range Tables'!$G$61,'Range Tables'!$B$61,B136&lt;='Range Tables'!$G$63,'Range Tables'!$B$63,B136&lt;='Range Tables'!$G$64,'Range Tables'!$B$64,B136&lt;='Range Tables'!$G$66,'Range Tables'!$B$66)</f>
        <v>0 - 30</v>
      </c>
      <c r="D136" s="113">
        <f>IFERROR(__xludf.DUMMYFUNCTION("SPLIT(C136,""-"")"),0.0)</f>
        <v>0</v>
      </c>
      <c r="E136" s="113">
        <f>IFERROR(__xludf.DUMMYFUNCTION("""COMPUTED_VALUE"""),30.0)</f>
        <v>30</v>
      </c>
      <c r="F136" s="114">
        <f t="shared" si="40"/>
        <v>3.451890438</v>
      </c>
      <c r="G136" s="112">
        <v>0.9278827194546294</v>
      </c>
      <c r="H136" s="113" t="str">
        <f>ifs(G136&lt;='Range Tables'!$G$86,'Range Tables'!$B$86,G136&lt;='Range Tables'!$G$87,'Range Tables'!$B$87,G136&lt;='Range Tables'!$G$88,'Range Tables'!$B$88,G136&lt;='Range Tables'!$G$89,'Range Tables'!$B$89,G136&lt;='Range Tables'!$G$90,'Range Tables'!$B$90,G136&lt;='Range Tables'!$G$91,'Range Tables'!$B$91)</f>
        <v>Carriers*</v>
      </c>
      <c r="I136" s="112">
        <v>0.7229202401770906</v>
      </c>
      <c r="J136" s="113" t="str">
        <f>IFS(
  H136="Car", IF(I136&lt;='Range Tables'!$G$19, 'Range Tables'!$B$19, 'Range Tables'!$B$20), 
  H136="Bike", IF(I136&lt;='Range Tables'!$G$25, 'Range Tables'!$B$25, 'Range Tables'!$B$26), 
  H136="Scooter", IF(I136&lt;='Range Tables'!$G$31, 'Range Tables'!$B$31, 'Range Tables'!$B$32), 
  H136="Auto", IF(I136&lt;='Range Tables'!$G$37, 'Range Tables'!$B$37, 'Range Tables'!$B$38), 
  H136="Carriers*", IF(I136&lt;='Range Tables'!$G$43, 'Range Tables'!$B$43, 'Range Tables'!$B$44), 
  H136="Van*", IF(I136&lt;='Range Tables'!$G$50, 'Range Tables'!$B$50, 'Range Tables'!$B$49)
)</f>
        <v>Diesel</v>
      </c>
      <c r="K136" s="112">
        <v>0.8751072570817651</v>
      </c>
      <c r="L136" s="113">
        <f>if(J136="Petrol",ifs(K136&lt;='Range Tables'!$G$5,'Range Tables'!$B$5,K136&lt;='Range Tables'!$G$6,'Range Tables'!$B$6,K136&lt;='Range Tables'!$G$7,'Range Tables'!$B$7),ifs(K136&lt;='Range Tables'!$G$13,'Range Tables'!$B$13,K136&lt;='Range Tables'!$G$14,'Range Tables'!$B$14))</f>
        <v>5</v>
      </c>
      <c r="M136" s="112">
        <v>0.6266497979293173</v>
      </c>
      <c r="N136" s="113" t="str">
        <f>ifs(H136="Car",ifs(M136&lt;='Range Tables'!$G$125,'Range Tables'!$B$125,M136&lt;='Range Tables'!$G$126,'Range Tables'!$B$126,M136&lt;='Range Tables'!$G$127,'Range Tables'!$B$127,M136&lt;='Range Tables'!$G$128,'Range Tables'!$B$128,M136&lt;='Range Tables'!$G$129,'Range Tables'!$B$129,'Range Tables'!$G$131,'Range Tables'!$B$131),H136="Bike",ifs(M136&lt;='Range Tables'!$G$136,'Range Tables'!$B$136,M136&lt;='Range Tables'!$G$137,'Range Tables'!$B$137,M136&lt;='Range Tables'!$G$138,'Range Tables'!$B$138,M136&lt;='Range Tables'!$G$142,'Range Tables'!$B$142),H136="Scooter",ifs(M136&lt;='Range Tables'!$G$148,'Range Tables'!$B$148,M136&lt;='Range Tables'!$G$149,'Range Tables'!$B$149,M136&lt;='Range Tables'!$G$150,'Range Tables'!$B$150,M136&lt;='Range Tables'!$G$151,'Range Tables'!$B$151),H136="Auto",ifs(M136&lt;='Range Tables'!$G$161,'Range Tables'!$B$161,M136&lt;='Range Tables'!$G$162,'Range Tables'!$B$162,M136&lt;='Range Tables'!$G$163,'Range Tables'!$B$163,M136&lt;='Range Tables'!$G$164,'Range Tables'!$B$164),H136="Carriers*",ifs(M136&lt;='Range Tables'!$G$173,'Range Tables'!$B$173,M136&lt;='Range Tables'!$G$174,'Range Tables'!$B$174,M136&lt;='Range Tables'!$G$175,'Range Tables'!$B$175,M136&lt;='Range Tables'!$G$176,'Range Tables'!$B$176,M136&lt;='Range Tables'!$G$177,'Range Tables'!$B$177,M136&lt;='Range Tables'!$G$179,'Range Tables'!$B$179),H136="Van*",ifs(M136&lt;='Range Tables'!$G$186,'Range Tables'!$B$186))</f>
        <v>300 - 360</v>
      </c>
      <c r="O136" s="113">
        <f>IFERROR(__xludf.DUMMYFUNCTION("SPLIT(N136,""-"")"),300.0)</f>
        <v>300</v>
      </c>
      <c r="P136" s="113">
        <f>IFERROR(__xludf.DUMMYFUNCTION("""COMPUTED_VALUE"""),360.0)</f>
        <v>360</v>
      </c>
      <c r="Q136" s="114">
        <f t="shared" si="2"/>
        <v>337.5989879</v>
      </c>
      <c r="R136" s="115">
        <f t="shared" si="3"/>
        <v>0.1233238343</v>
      </c>
      <c r="S136" s="114">
        <f t="shared" si="39"/>
        <v>10655.17929</v>
      </c>
      <c r="T136" s="113" t="str">
        <f t="shared" si="4"/>
        <v>no</v>
      </c>
      <c r="U136" s="115">
        <f t="shared" si="5"/>
        <v>0</v>
      </c>
      <c r="V136" s="113">
        <f t="shared" si="34"/>
        <v>0</v>
      </c>
      <c r="W136" s="115">
        <f t="shared" si="6"/>
        <v>0</v>
      </c>
      <c r="X136" s="85">
        <f t="shared" si="7"/>
        <v>0</v>
      </c>
      <c r="Y136" s="116">
        <f t="shared" si="8"/>
        <v>0</v>
      </c>
      <c r="Z136" s="113">
        <f t="shared" si="9"/>
        <v>0</v>
      </c>
      <c r="AA136" s="113" t="str">
        <f t="shared" si="10"/>
        <v>no</v>
      </c>
      <c r="AB136" s="115">
        <f t="shared" si="11"/>
        <v>0</v>
      </c>
      <c r="AC136" s="113">
        <f t="shared" si="35"/>
        <v>0</v>
      </c>
      <c r="AD136" s="116">
        <f t="shared" si="12"/>
        <v>0</v>
      </c>
      <c r="AE136" s="113">
        <f t="shared" si="13"/>
        <v>0</v>
      </c>
      <c r="AF136" s="116">
        <f t="shared" si="14"/>
        <v>0</v>
      </c>
      <c r="AG136" s="113">
        <f t="shared" si="15"/>
        <v>0</v>
      </c>
      <c r="AH136" s="113" t="str">
        <f t="shared" si="16"/>
        <v>no</v>
      </c>
      <c r="AI136" s="115">
        <f t="shared" si="17"/>
        <v>0</v>
      </c>
      <c r="AJ136" s="113">
        <f t="shared" si="36"/>
        <v>0</v>
      </c>
      <c r="AK136" s="116">
        <f t="shared" si="18"/>
        <v>0</v>
      </c>
      <c r="AL136" s="113">
        <f t="shared" si="19"/>
        <v>0</v>
      </c>
      <c r="AM136" s="115">
        <f t="shared" si="20"/>
        <v>0</v>
      </c>
      <c r="AN136" s="85">
        <f t="shared" si="21"/>
        <v>0</v>
      </c>
      <c r="AO136" s="113" t="str">
        <f t="shared" si="22"/>
        <v>no</v>
      </c>
      <c r="AP136" s="115">
        <f t="shared" si="23"/>
        <v>0</v>
      </c>
      <c r="AQ136" s="113">
        <f t="shared" si="37"/>
        <v>0</v>
      </c>
      <c r="AR136" s="116">
        <f t="shared" si="24"/>
        <v>0</v>
      </c>
      <c r="AS136" s="113">
        <f t="shared" si="25"/>
        <v>0</v>
      </c>
      <c r="AT136" s="116">
        <f t="shared" si="26"/>
        <v>0</v>
      </c>
      <c r="AU136" s="113">
        <f t="shared" si="27"/>
        <v>0</v>
      </c>
      <c r="AV136" s="113" t="str">
        <f t="shared" si="28"/>
        <v>yes</v>
      </c>
      <c r="AW136" s="115">
        <f t="shared" si="29"/>
        <v>0</v>
      </c>
      <c r="AX136" s="85">
        <f t="shared" si="38"/>
        <v>0</v>
      </c>
      <c r="AY136" s="116">
        <f t="shared" si="30"/>
        <v>0.1233238343</v>
      </c>
      <c r="AZ136" s="114">
        <f t="shared" si="31"/>
        <v>10655.17929</v>
      </c>
      <c r="BA136" s="116">
        <f t="shared" si="32"/>
        <v>0.12723123</v>
      </c>
      <c r="BB136" s="114">
        <f t="shared" si="33"/>
        <v>10992.77828</v>
      </c>
      <c r="BC136" s="112">
        <v>0.3382776558760565</v>
      </c>
      <c r="BD136" s="113" t="str">
        <f>ifs(BC136&lt;='Range Tables'!$G$81,'Range Tables'!$B$81,BC136&lt;='Range Tables'!$G$82,'Range Tables'!$B$82)</f>
        <v>Online*</v>
      </c>
      <c r="BE136" s="112">
        <v>0.42622848652428125</v>
      </c>
      <c r="BF136" s="112" t="str">
        <f>ifs(BE136&lt;='Range Tables'!$G$95,'Range Tables'!$B$95,BE136&lt;='Range Tables'!$G$96,'Range Tables'!$B$96,BE136&lt;='Range Tables'!$G$97,'Range Tables'!$B$97,BE136&lt;='Range Tables'!$G$98,'Range Tables'!$B$98,BE136&lt;='Range Tables'!$G$99,'Range Tables'!$B$99,BE136&lt;='Range Tables'!$G$100,'Range Tables'!$B$100,BE136&lt;='Range Tables'!$G$101,'Range Tables'!$B$101,BE136&lt;='Range Tables'!$G$102,'Range Tables'!$B$102,BE136&lt;='Range Tables'!$G$103,'Range Tables'!$B$103)</f>
        <v>Jammu</v>
      </c>
      <c r="BG136" s="112">
        <v>0.40492012829516466</v>
      </c>
      <c r="BH136" s="113" t="str">
        <f>ifs(BG136&lt;='Range Tables'!$G$112,'Range Tables'!$B$112,BG136&lt;='Range Tables'!$G$113,'Range Tables'!$B$113,BG136&lt;='Range Tables'!$G$114,'Range Tables'!$B$114)</f>
        <v>0</v>
      </c>
      <c r="BI136" s="117">
        <v>0.9744107775861751</v>
      </c>
      <c r="BJ136" s="113" t="str">
        <f>ifs(BI136&lt;='Range Tables'!$G$118,'Range Tables'!$B$118,BI136&lt;='Range Tables'!$G$119,'Range Tables'!$B$119)</f>
        <v>Expired</v>
      </c>
    </row>
    <row r="137">
      <c r="A137" s="85">
        <v>134.0</v>
      </c>
      <c r="B137" s="112">
        <v>0.9029374114833463</v>
      </c>
      <c r="C137" s="113" t="str">
        <f>ifs(B137&lt;='Range Tables'!$G$54,'Range Tables'!$B$54,B137&lt;='Range Tables'!$G$55,'Range Tables'!$B$55,B137&lt;='Range Tables'!$G$56,'Range Tables'!$B$56,B137&lt;='Range Tables'!$G$57,'Range Tables'!$B$57,B137&lt;='Range Tables'!$G$58,'Range Tables'!$B$58,B137&lt;='Range Tables'!$G$59,'Range Tables'!$B$59,B137&lt;='Range Tables'!$G$60,'Range Tables'!$B$60,B137&lt;='Range Tables'!$G$61,'Range Tables'!$B$61,B137&lt;='Range Tables'!$G$63,'Range Tables'!$B$63,B137&lt;='Range Tables'!$G$64,'Range Tables'!$B$64,B137&lt;='Range Tables'!$G$66,'Range Tables'!$B$66)</f>
        <v>210 - 240</v>
      </c>
      <c r="D137" s="113">
        <f>IFERROR(__xludf.DUMMYFUNCTION("SPLIT(C137,""-"")"),210.0)</f>
        <v>210</v>
      </c>
      <c r="E137" s="113">
        <f>IFERROR(__xludf.DUMMYFUNCTION("""COMPUTED_VALUE"""),240.0)</f>
        <v>240</v>
      </c>
      <c r="F137" s="114">
        <f t="shared" si="40"/>
        <v>237.0881223</v>
      </c>
      <c r="G137" s="112">
        <v>0.22979022055268195</v>
      </c>
      <c r="H137" s="113" t="str">
        <f>ifs(G137&lt;='Range Tables'!$G$86,'Range Tables'!$B$86,G137&lt;='Range Tables'!$G$87,'Range Tables'!$B$87,G137&lt;='Range Tables'!$G$88,'Range Tables'!$B$88,G137&lt;='Range Tables'!$G$89,'Range Tables'!$B$89,G137&lt;='Range Tables'!$G$90,'Range Tables'!$B$90,G137&lt;='Range Tables'!$G$91,'Range Tables'!$B$91)</f>
        <v>Car</v>
      </c>
      <c r="I137" s="112">
        <v>0.1934092707540379</v>
      </c>
      <c r="J137" s="113" t="str">
        <f>IFS(
  H137="Car", IF(I137&lt;='Range Tables'!$G$19, 'Range Tables'!$B$19, 'Range Tables'!$B$20), 
  H137="Bike", IF(I137&lt;='Range Tables'!$G$25, 'Range Tables'!$B$25, 'Range Tables'!$B$26), 
  H137="Scooter", IF(I137&lt;='Range Tables'!$G$31, 'Range Tables'!$B$31, 'Range Tables'!$B$32), 
  H137="Auto", IF(I137&lt;='Range Tables'!$G$37, 'Range Tables'!$B$37, 'Range Tables'!$B$38), 
  H137="Carriers*", IF(I137&lt;='Range Tables'!$G$43, 'Range Tables'!$B$43, 'Range Tables'!$B$44), 
  H137="Van*", IF(I137&lt;='Range Tables'!$G$50, 'Range Tables'!$B$50, 'Range Tables'!$B$49)
)</f>
        <v>Petrol</v>
      </c>
      <c r="K137" s="112">
        <v>0.6372215684742164</v>
      </c>
      <c r="L137" s="113">
        <f>if(J137="Petrol",ifs(K137&lt;='Range Tables'!$G$5,'Range Tables'!$B$5,K137&lt;='Range Tables'!$G$6,'Range Tables'!$B$6,K137&lt;='Range Tables'!$G$7,'Range Tables'!$B$7),ifs(K137&lt;='Range Tables'!$G$13,'Range Tables'!$B$13,K137&lt;='Range Tables'!$G$14,'Range Tables'!$B$14))</f>
        <v>3</v>
      </c>
      <c r="M137" s="112">
        <v>0.005910325598187716</v>
      </c>
      <c r="N137" s="113" t="str">
        <f>ifs(H137="Car",ifs(M137&lt;='Range Tables'!$G$125,'Range Tables'!$B$125,M137&lt;='Range Tables'!$G$126,'Range Tables'!$B$126,M137&lt;='Range Tables'!$G$127,'Range Tables'!$B$127,M137&lt;='Range Tables'!$G$128,'Range Tables'!$B$128,M137&lt;='Range Tables'!$G$129,'Range Tables'!$B$129,'Range Tables'!$G$131,'Range Tables'!$B$131),H137="Bike",ifs(M137&lt;='Range Tables'!$G$136,'Range Tables'!$B$136,M137&lt;='Range Tables'!$G$137,'Range Tables'!$B$137,M137&lt;='Range Tables'!$G$138,'Range Tables'!$B$138,M137&lt;='Range Tables'!$G$142,'Range Tables'!$B$142),H137="Scooter",ifs(M137&lt;='Range Tables'!$G$148,'Range Tables'!$B$148,M137&lt;='Range Tables'!$G$149,'Range Tables'!$B$149,M137&lt;='Range Tables'!$G$150,'Range Tables'!$B$150,M137&lt;='Range Tables'!$G$151,'Range Tables'!$B$151),H137="Auto",ifs(M137&lt;='Range Tables'!$G$161,'Range Tables'!$B$161,M137&lt;='Range Tables'!$G$162,'Range Tables'!$B$162,M137&lt;='Range Tables'!$G$163,'Range Tables'!$B$163,M137&lt;='Range Tables'!$G$164,'Range Tables'!$B$164),H137="Carriers*",ifs(M137&lt;='Range Tables'!$G$173,'Range Tables'!$B$173,M137&lt;='Range Tables'!$G$174,'Range Tables'!$B$174,M137&lt;='Range Tables'!$G$175,'Range Tables'!$B$175,M137&lt;='Range Tables'!$G$176,'Range Tables'!$B$176,M137&lt;='Range Tables'!$G$177,'Range Tables'!$B$177,M137&lt;='Range Tables'!$G$179,'Range Tables'!$B$179),H137="Van*",ifs(M137&lt;='Range Tables'!$G$186,'Range Tables'!$B$186))</f>
        <v>60 - 120</v>
      </c>
      <c r="O137" s="113">
        <f>IFERROR(__xludf.DUMMYFUNCTION("SPLIT(N137,""-"")"),60.0)</f>
        <v>60</v>
      </c>
      <c r="P137" s="113">
        <f>IFERROR(__xludf.DUMMYFUNCTION("""COMPUTED_VALUE"""),120.0)</f>
        <v>120</v>
      </c>
      <c r="Q137" s="114">
        <f t="shared" si="2"/>
        <v>60.35461954</v>
      </c>
      <c r="R137" s="115">
        <f t="shared" si="3"/>
        <v>0.1233637868</v>
      </c>
      <c r="S137" s="114">
        <f t="shared" si="39"/>
        <v>10658.63118</v>
      </c>
      <c r="T137" s="113" t="str">
        <f t="shared" si="4"/>
        <v>no</v>
      </c>
      <c r="U137" s="115">
        <f t="shared" si="5"/>
        <v>0</v>
      </c>
      <c r="V137" s="113">
        <f t="shared" si="34"/>
        <v>0</v>
      </c>
      <c r="W137" s="115">
        <f t="shared" si="6"/>
        <v>0</v>
      </c>
      <c r="X137" s="85">
        <f t="shared" si="7"/>
        <v>0</v>
      </c>
      <c r="Y137" s="116">
        <f t="shared" si="8"/>
        <v>0</v>
      </c>
      <c r="Z137" s="113">
        <f t="shared" si="9"/>
        <v>0</v>
      </c>
      <c r="AA137" s="113" t="str">
        <f t="shared" si="10"/>
        <v>no</v>
      </c>
      <c r="AB137" s="115">
        <f t="shared" si="11"/>
        <v>0</v>
      </c>
      <c r="AC137" s="113">
        <f t="shared" si="35"/>
        <v>0</v>
      </c>
      <c r="AD137" s="116">
        <f t="shared" si="12"/>
        <v>0</v>
      </c>
      <c r="AE137" s="113">
        <f t="shared" si="13"/>
        <v>0</v>
      </c>
      <c r="AF137" s="116">
        <f t="shared" si="14"/>
        <v>0</v>
      </c>
      <c r="AG137" s="113">
        <f t="shared" si="15"/>
        <v>0</v>
      </c>
      <c r="AH137" s="113" t="str">
        <f t="shared" si="16"/>
        <v>yes</v>
      </c>
      <c r="AI137" s="115">
        <f t="shared" si="17"/>
        <v>0</v>
      </c>
      <c r="AJ137" s="113">
        <f t="shared" si="36"/>
        <v>0</v>
      </c>
      <c r="AK137" s="116">
        <f t="shared" si="18"/>
        <v>0.1233637868</v>
      </c>
      <c r="AL137" s="114">
        <f t="shared" si="19"/>
        <v>10658.63118</v>
      </c>
      <c r="AM137" s="115">
        <f t="shared" si="20"/>
        <v>0.1240623356</v>
      </c>
      <c r="AN137" s="118">
        <f t="shared" si="21"/>
        <v>10718.9858</v>
      </c>
      <c r="AO137" s="113" t="str">
        <f t="shared" si="22"/>
        <v>no</v>
      </c>
      <c r="AP137" s="115">
        <f t="shared" si="23"/>
        <v>0</v>
      </c>
      <c r="AQ137" s="113">
        <f t="shared" si="37"/>
        <v>0</v>
      </c>
      <c r="AR137" s="116">
        <f t="shared" si="24"/>
        <v>0</v>
      </c>
      <c r="AS137" s="113">
        <f t="shared" si="25"/>
        <v>0</v>
      </c>
      <c r="AT137" s="116">
        <f t="shared" si="26"/>
        <v>0</v>
      </c>
      <c r="AU137" s="113">
        <f t="shared" si="27"/>
        <v>0</v>
      </c>
      <c r="AV137" s="113" t="str">
        <f t="shared" si="28"/>
        <v>no</v>
      </c>
      <c r="AW137" s="115">
        <f t="shared" si="29"/>
        <v>0</v>
      </c>
      <c r="AX137" s="85">
        <f t="shared" si="38"/>
        <v>0</v>
      </c>
      <c r="AY137" s="116">
        <f t="shared" si="30"/>
        <v>0</v>
      </c>
      <c r="AZ137" s="113">
        <f t="shared" si="31"/>
        <v>0</v>
      </c>
      <c r="BA137" s="116">
        <f t="shared" si="32"/>
        <v>0</v>
      </c>
      <c r="BB137" s="113">
        <f t="shared" si="33"/>
        <v>0</v>
      </c>
      <c r="BC137" s="112">
        <v>0.2757797989267755</v>
      </c>
      <c r="BD137" s="113" t="str">
        <f>ifs(BC137&lt;='Range Tables'!$G$81,'Range Tables'!$B$81,BC137&lt;='Range Tables'!$G$82,'Range Tables'!$B$82)</f>
        <v>Online*</v>
      </c>
      <c r="BE137" s="112">
        <v>0.03339099747678609</v>
      </c>
      <c r="BF137" s="112" t="str">
        <f>ifs(BE137&lt;='Range Tables'!$G$95,'Range Tables'!$B$95,BE137&lt;='Range Tables'!$G$96,'Range Tables'!$B$96,BE137&lt;='Range Tables'!$G$97,'Range Tables'!$B$97,BE137&lt;='Range Tables'!$G$98,'Range Tables'!$B$98,BE137&lt;='Range Tables'!$G$99,'Range Tables'!$B$99,BE137&lt;='Range Tables'!$G$100,'Range Tables'!$B$100,BE137&lt;='Range Tables'!$G$101,'Range Tables'!$B$101,BE137&lt;='Range Tables'!$G$102,'Range Tables'!$B$102,BE137&lt;='Range Tables'!$G$103,'Range Tables'!$B$103)</f>
        <v>Jammu</v>
      </c>
      <c r="BG137" s="112">
        <v>0.7183017249021927</v>
      </c>
      <c r="BH137" s="113" t="str">
        <f>ifs(BG137&lt;='Range Tables'!$G$112,'Range Tables'!$B$112,BG137&lt;='Range Tables'!$G$113,'Range Tables'!$B$113,BG137&lt;='Range Tables'!$G$114,'Range Tables'!$B$114)</f>
        <v>0</v>
      </c>
      <c r="BI137" s="117">
        <v>0.38629544929243564</v>
      </c>
      <c r="BJ137" s="113" t="str">
        <f>ifs(BI137&lt;='Range Tables'!$G$118,'Range Tables'!$B$118,BI137&lt;='Range Tables'!$G$119,'Range Tables'!$B$119)</f>
        <v>Valid</v>
      </c>
    </row>
    <row r="138">
      <c r="A138" s="85">
        <v>135.0</v>
      </c>
      <c r="B138" s="112">
        <v>0.8281874135348775</v>
      </c>
      <c r="C138" s="113" t="str">
        <f>ifs(B138&lt;='Range Tables'!$G$54,'Range Tables'!$B$54,B138&lt;='Range Tables'!$G$55,'Range Tables'!$B$55,B138&lt;='Range Tables'!$G$56,'Range Tables'!$B$56,B138&lt;='Range Tables'!$G$57,'Range Tables'!$B$57,B138&lt;='Range Tables'!$G$58,'Range Tables'!$B$58,B138&lt;='Range Tables'!$G$59,'Range Tables'!$B$59,B138&lt;='Range Tables'!$G$60,'Range Tables'!$B$60,B138&lt;='Range Tables'!$G$61,'Range Tables'!$B$61,B138&lt;='Range Tables'!$G$63,'Range Tables'!$B$63,B138&lt;='Range Tables'!$G$64,'Range Tables'!$B$64,B138&lt;='Range Tables'!$G$66,'Range Tables'!$B$66)</f>
        <v>150 - 180</v>
      </c>
      <c r="D138" s="113">
        <f>IFERROR(__xludf.DUMMYFUNCTION("SPLIT(C138,""-"")"),150.0)</f>
        <v>150</v>
      </c>
      <c r="E138" s="113">
        <f>IFERROR(__xludf.DUMMYFUNCTION("""COMPUTED_VALUE"""),180.0)</f>
        <v>180</v>
      </c>
      <c r="F138" s="114">
        <f t="shared" si="40"/>
        <v>174.8456224</v>
      </c>
      <c r="G138" s="112">
        <v>0.9506799129967582</v>
      </c>
      <c r="H138" s="113" t="str">
        <f>ifs(G138&lt;='Range Tables'!$G$86,'Range Tables'!$B$86,G138&lt;='Range Tables'!$G$87,'Range Tables'!$B$87,G138&lt;='Range Tables'!$G$88,'Range Tables'!$B$88,G138&lt;='Range Tables'!$G$89,'Range Tables'!$B$89,G138&lt;='Range Tables'!$G$90,'Range Tables'!$B$90,G138&lt;='Range Tables'!$G$91,'Range Tables'!$B$91)</f>
        <v>Carriers*</v>
      </c>
      <c r="I138" s="112">
        <v>0.8824044240647093</v>
      </c>
      <c r="J138" s="113" t="str">
        <f>IFS(
  H138="Car", IF(I138&lt;='Range Tables'!$G$19, 'Range Tables'!$B$19, 'Range Tables'!$B$20), 
  H138="Bike", IF(I138&lt;='Range Tables'!$G$25, 'Range Tables'!$B$25, 'Range Tables'!$B$26), 
  H138="Scooter", IF(I138&lt;='Range Tables'!$G$31, 'Range Tables'!$B$31, 'Range Tables'!$B$32), 
  H138="Auto", IF(I138&lt;='Range Tables'!$G$37, 'Range Tables'!$B$37, 'Range Tables'!$B$38), 
  H138="Carriers*", IF(I138&lt;='Range Tables'!$G$43, 'Range Tables'!$B$43, 'Range Tables'!$B$44), 
  H138="Van*", IF(I138&lt;='Range Tables'!$G$50, 'Range Tables'!$B$50, 'Range Tables'!$B$49)
)</f>
        <v>Diesel</v>
      </c>
      <c r="K138" s="112">
        <v>0.21368694672448707</v>
      </c>
      <c r="L138" s="113">
        <f>if(J138="Petrol",ifs(K138&lt;='Range Tables'!$G$5,'Range Tables'!$B$5,K138&lt;='Range Tables'!$G$6,'Range Tables'!$B$6,K138&lt;='Range Tables'!$G$7,'Range Tables'!$B$7),ifs(K138&lt;='Range Tables'!$G$13,'Range Tables'!$B$13,K138&lt;='Range Tables'!$G$14,'Range Tables'!$B$14))</f>
        <v>1</v>
      </c>
      <c r="M138" s="112">
        <v>0.5924213550072327</v>
      </c>
      <c r="N138" s="113" t="str">
        <f>ifs(H138="Car",ifs(M138&lt;='Range Tables'!$G$125,'Range Tables'!$B$125,M138&lt;='Range Tables'!$G$126,'Range Tables'!$B$126,M138&lt;='Range Tables'!$G$127,'Range Tables'!$B$127,M138&lt;='Range Tables'!$G$128,'Range Tables'!$B$128,M138&lt;='Range Tables'!$G$129,'Range Tables'!$B$129,'Range Tables'!$G$131,'Range Tables'!$B$131),H138="Bike",ifs(M138&lt;='Range Tables'!$G$136,'Range Tables'!$B$136,M138&lt;='Range Tables'!$G$137,'Range Tables'!$B$137,M138&lt;='Range Tables'!$G$138,'Range Tables'!$B$138,M138&lt;='Range Tables'!$G$142,'Range Tables'!$B$142),H138="Scooter",ifs(M138&lt;='Range Tables'!$G$148,'Range Tables'!$B$148,M138&lt;='Range Tables'!$G$149,'Range Tables'!$B$149,M138&lt;='Range Tables'!$G$150,'Range Tables'!$B$150,M138&lt;='Range Tables'!$G$151,'Range Tables'!$B$151),H138="Auto",ifs(M138&lt;='Range Tables'!$G$161,'Range Tables'!$B$161,M138&lt;='Range Tables'!$G$162,'Range Tables'!$B$162,M138&lt;='Range Tables'!$G$163,'Range Tables'!$B$163,M138&lt;='Range Tables'!$G$164,'Range Tables'!$B$164),H138="Carriers*",ifs(M138&lt;='Range Tables'!$G$173,'Range Tables'!$B$173,M138&lt;='Range Tables'!$G$174,'Range Tables'!$B$174,M138&lt;='Range Tables'!$G$175,'Range Tables'!$B$175,M138&lt;='Range Tables'!$G$176,'Range Tables'!$B$176,M138&lt;='Range Tables'!$G$177,'Range Tables'!$B$177,M138&lt;='Range Tables'!$G$179,'Range Tables'!$B$179),H138="Van*",ifs(M138&lt;='Range Tables'!$G$186,'Range Tables'!$B$186))</f>
        <v>240 - 300</v>
      </c>
      <c r="O138" s="113">
        <f>IFERROR(__xludf.DUMMYFUNCTION("SPLIT(N138,""-"")"),240.0)</f>
        <v>240</v>
      </c>
      <c r="P138" s="113">
        <f>IFERROR(__xludf.DUMMYFUNCTION("""COMPUTED_VALUE"""),300.0)</f>
        <v>300</v>
      </c>
      <c r="Q138" s="114">
        <f t="shared" si="2"/>
        <v>275.5452813</v>
      </c>
      <c r="R138" s="115">
        <f t="shared" si="3"/>
        <v>0.1261078623</v>
      </c>
      <c r="S138" s="114">
        <f t="shared" si="39"/>
        <v>10895.7193</v>
      </c>
      <c r="T138" s="113" t="str">
        <f t="shared" si="4"/>
        <v>yes</v>
      </c>
      <c r="U138" s="115">
        <f t="shared" si="5"/>
        <v>0</v>
      </c>
      <c r="V138" s="113">
        <f t="shared" si="34"/>
        <v>0</v>
      </c>
      <c r="W138" s="115">
        <f t="shared" si="6"/>
        <v>0.1261078623</v>
      </c>
      <c r="X138" s="118">
        <f t="shared" si="7"/>
        <v>10895.7193</v>
      </c>
      <c r="Y138" s="116">
        <f t="shared" si="8"/>
        <v>0.1292970438</v>
      </c>
      <c r="Z138" s="114">
        <f t="shared" si="9"/>
        <v>11171.26458</v>
      </c>
      <c r="AA138" s="113" t="str">
        <f t="shared" si="10"/>
        <v>no</v>
      </c>
      <c r="AB138" s="115">
        <f t="shared" si="11"/>
        <v>0</v>
      </c>
      <c r="AC138" s="113">
        <f t="shared" si="35"/>
        <v>0</v>
      </c>
      <c r="AD138" s="116">
        <f t="shared" si="12"/>
        <v>0</v>
      </c>
      <c r="AE138" s="113">
        <f t="shared" si="13"/>
        <v>0</v>
      </c>
      <c r="AF138" s="116">
        <f t="shared" si="14"/>
        <v>0</v>
      </c>
      <c r="AG138" s="113">
        <f t="shared" si="15"/>
        <v>0</v>
      </c>
      <c r="AH138" s="113" t="str">
        <f t="shared" si="16"/>
        <v>no</v>
      </c>
      <c r="AI138" s="115">
        <f t="shared" si="17"/>
        <v>0</v>
      </c>
      <c r="AJ138" s="113">
        <f t="shared" si="36"/>
        <v>0</v>
      </c>
      <c r="AK138" s="116">
        <f t="shared" si="18"/>
        <v>0</v>
      </c>
      <c r="AL138" s="113">
        <f t="shared" si="19"/>
        <v>0</v>
      </c>
      <c r="AM138" s="115">
        <f t="shared" si="20"/>
        <v>0</v>
      </c>
      <c r="AN138" s="85">
        <f t="shared" si="21"/>
        <v>0</v>
      </c>
      <c r="AO138" s="113" t="str">
        <f t="shared" si="22"/>
        <v>no</v>
      </c>
      <c r="AP138" s="115">
        <f t="shared" si="23"/>
        <v>0</v>
      </c>
      <c r="AQ138" s="113">
        <f t="shared" si="37"/>
        <v>0</v>
      </c>
      <c r="AR138" s="116">
        <f t="shared" si="24"/>
        <v>0</v>
      </c>
      <c r="AS138" s="113">
        <f t="shared" si="25"/>
        <v>0</v>
      </c>
      <c r="AT138" s="116">
        <f t="shared" si="26"/>
        <v>0</v>
      </c>
      <c r="AU138" s="113">
        <f t="shared" si="27"/>
        <v>0</v>
      </c>
      <c r="AV138" s="113" t="str">
        <f t="shared" si="28"/>
        <v>no</v>
      </c>
      <c r="AW138" s="115">
        <f t="shared" si="29"/>
        <v>0</v>
      </c>
      <c r="AX138" s="85">
        <f t="shared" si="38"/>
        <v>0</v>
      </c>
      <c r="AY138" s="116">
        <f t="shared" si="30"/>
        <v>0</v>
      </c>
      <c r="AZ138" s="113">
        <f t="shared" si="31"/>
        <v>0</v>
      </c>
      <c r="BA138" s="116">
        <f t="shared" si="32"/>
        <v>0</v>
      </c>
      <c r="BB138" s="113">
        <f t="shared" si="33"/>
        <v>0</v>
      </c>
      <c r="BC138" s="112">
        <v>0.31407741432780456</v>
      </c>
      <c r="BD138" s="113" t="str">
        <f>ifs(BC138&lt;='Range Tables'!$G$81,'Range Tables'!$B$81,BC138&lt;='Range Tables'!$G$82,'Range Tables'!$B$82)</f>
        <v>Online*</v>
      </c>
      <c r="BE138" s="112">
        <v>0.7872270289062855</v>
      </c>
      <c r="BF138" s="112" t="str">
        <f>ifs(BE138&lt;='Range Tables'!$G$95,'Range Tables'!$B$95,BE138&lt;='Range Tables'!$G$96,'Range Tables'!$B$96,BE138&lt;='Range Tables'!$G$97,'Range Tables'!$B$97,BE138&lt;='Range Tables'!$G$98,'Range Tables'!$B$98,BE138&lt;='Range Tables'!$G$99,'Range Tables'!$B$99,BE138&lt;='Range Tables'!$G$100,'Range Tables'!$B$100,BE138&lt;='Range Tables'!$G$101,'Range Tables'!$B$101,BE138&lt;='Range Tables'!$G$102,'Range Tables'!$B$102,BE138&lt;='Range Tables'!$G$103,'Range Tables'!$B$103)</f>
        <v>Other State Cities</v>
      </c>
      <c r="BG138" s="112">
        <v>0.13525989319116605</v>
      </c>
      <c r="BH138" s="113" t="str">
        <f>ifs(BG138&lt;='Range Tables'!$G$112,'Range Tables'!$B$112,BG138&lt;='Range Tables'!$G$113,'Range Tables'!$B$113,BG138&lt;='Range Tables'!$G$114,'Range Tables'!$B$114)</f>
        <v>0</v>
      </c>
      <c r="BI138" s="117">
        <v>0.28314383612359506</v>
      </c>
      <c r="BJ138" s="113" t="str">
        <f>ifs(BI138&lt;='Range Tables'!$G$118,'Range Tables'!$B$118,BI138&lt;='Range Tables'!$G$119,'Range Tables'!$B$119)</f>
        <v>Valid</v>
      </c>
    </row>
    <row r="139">
      <c r="A139" s="85">
        <v>136.0</v>
      </c>
      <c r="B139" s="112">
        <v>0.8855212998679206</v>
      </c>
      <c r="C139" s="113" t="str">
        <f>ifs(B139&lt;='Range Tables'!$G$54,'Range Tables'!$B$54,B139&lt;='Range Tables'!$G$55,'Range Tables'!$B$55,B139&lt;='Range Tables'!$G$56,'Range Tables'!$B$56,B139&lt;='Range Tables'!$G$57,'Range Tables'!$B$57,B139&lt;='Range Tables'!$G$58,'Range Tables'!$B$58,B139&lt;='Range Tables'!$G$59,'Range Tables'!$B$59,B139&lt;='Range Tables'!$G$60,'Range Tables'!$B$60,B139&lt;='Range Tables'!$G$61,'Range Tables'!$B$61,B139&lt;='Range Tables'!$G$63,'Range Tables'!$B$63,B139&lt;='Range Tables'!$G$64,'Range Tables'!$B$64,B139&lt;='Range Tables'!$G$66,'Range Tables'!$B$66)</f>
        <v>180 - 210</v>
      </c>
      <c r="D139" s="113">
        <f>IFERROR(__xludf.DUMMYFUNCTION("SPLIT(C139,""-"")"),180.0)</f>
        <v>180</v>
      </c>
      <c r="E139" s="113">
        <f>IFERROR(__xludf.DUMMYFUNCTION("""COMPUTED_VALUE"""),210.0)</f>
        <v>210</v>
      </c>
      <c r="F139" s="114">
        <f t="shared" si="40"/>
        <v>206.565639</v>
      </c>
      <c r="G139" s="112">
        <v>0.7494758076062409</v>
      </c>
      <c r="H139" s="113" t="str">
        <f>ifs(G139&lt;='Range Tables'!$G$86,'Range Tables'!$B$86,G139&lt;='Range Tables'!$G$87,'Range Tables'!$B$87,G139&lt;='Range Tables'!$G$88,'Range Tables'!$B$88,G139&lt;='Range Tables'!$G$89,'Range Tables'!$B$89,G139&lt;='Range Tables'!$G$90,'Range Tables'!$B$90,G139&lt;='Range Tables'!$G$91,'Range Tables'!$B$91)</f>
        <v>Bike</v>
      </c>
      <c r="I139" s="112">
        <v>0.6997723299475946</v>
      </c>
      <c r="J139" s="113" t="str">
        <f>IFS(
  H139="Car", IF(I139&lt;='Range Tables'!$G$19, 'Range Tables'!$B$19, 'Range Tables'!$B$20), 
  H139="Bike", IF(I139&lt;='Range Tables'!$G$25, 'Range Tables'!$B$25, 'Range Tables'!$B$26), 
  H139="Scooter", IF(I139&lt;='Range Tables'!$G$31, 'Range Tables'!$B$31, 'Range Tables'!$B$32), 
  H139="Auto", IF(I139&lt;='Range Tables'!$G$37, 'Range Tables'!$B$37, 'Range Tables'!$B$38), 
  H139="Carriers*", IF(I139&lt;='Range Tables'!$G$43, 'Range Tables'!$B$43, 'Range Tables'!$B$44), 
  H139="Van*", IF(I139&lt;='Range Tables'!$G$50, 'Range Tables'!$B$50, 'Range Tables'!$B$49)
)</f>
        <v>Petrol</v>
      </c>
      <c r="K139" s="112">
        <v>0.9614456091559801</v>
      </c>
      <c r="L139" s="113">
        <f>if(J139="Petrol",ifs(K139&lt;='Range Tables'!$G$5,'Range Tables'!$B$5,K139&lt;='Range Tables'!$G$6,'Range Tables'!$B$6,K139&lt;='Range Tables'!$G$7,'Range Tables'!$B$7),ifs(K139&lt;='Range Tables'!$G$13,'Range Tables'!$B$13,K139&lt;='Range Tables'!$G$14,'Range Tables'!$B$14))</f>
        <v>4</v>
      </c>
      <c r="M139" s="112">
        <v>0.6340901463202999</v>
      </c>
      <c r="N139" s="113" t="str">
        <f>ifs(H139="Car",ifs(M139&lt;='Range Tables'!$G$125,'Range Tables'!$B$125,M139&lt;='Range Tables'!$G$126,'Range Tables'!$B$126,M139&lt;='Range Tables'!$G$127,'Range Tables'!$B$127,M139&lt;='Range Tables'!$G$128,'Range Tables'!$B$128,M139&lt;='Range Tables'!$G$129,'Range Tables'!$B$129,'Range Tables'!$G$131,'Range Tables'!$B$131),H139="Bike",ifs(M139&lt;='Range Tables'!$G$136,'Range Tables'!$B$136,M139&lt;='Range Tables'!$G$137,'Range Tables'!$B$137,M139&lt;='Range Tables'!$G$138,'Range Tables'!$B$138,M139&lt;='Range Tables'!$G$142,'Range Tables'!$B$142),H139="Scooter",ifs(M139&lt;='Range Tables'!$G$148,'Range Tables'!$B$148,M139&lt;='Range Tables'!$G$149,'Range Tables'!$B$149,M139&lt;='Range Tables'!$G$150,'Range Tables'!$B$150,M139&lt;='Range Tables'!$G$151,'Range Tables'!$B$151),H139="Auto",ifs(M139&lt;='Range Tables'!$G$161,'Range Tables'!$B$161,M139&lt;='Range Tables'!$G$162,'Range Tables'!$B$162,M139&lt;='Range Tables'!$G$163,'Range Tables'!$B$163,M139&lt;='Range Tables'!$G$164,'Range Tables'!$B$164),H139="Carriers*",ifs(M139&lt;='Range Tables'!$G$173,'Range Tables'!$B$173,M139&lt;='Range Tables'!$G$174,'Range Tables'!$B$174,M139&lt;='Range Tables'!$G$175,'Range Tables'!$B$175,M139&lt;='Range Tables'!$G$176,'Range Tables'!$B$176,M139&lt;='Range Tables'!$G$177,'Range Tables'!$B$177,M139&lt;='Range Tables'!$G$179,'Range Tables'!$B$179),H139="Van*",ifs(M139&lt;='Range Tables'!$G$186,'Range Tables'!$B$186))</f>
        <v>60 - 120</v>
      </c>
      <c r="O139" s="113">
        <f>IFERROR(__xludf.DUMMYFUNCTION("SPLIT(N139,""-"")"),60.0)</f>
        <v>60</v>
      </c>
      <c r="P139" s="113">
        <f>IFERROR(__xludf.DUMMYFUNCTION("""COMPUTED_VALUE"""),120.0)</f>
        <v>120</v>
      </c>
      <c r="Q139" s="114">
        <f t="shared" si="2"/>
        <v>98.04540878</v>
      </c>
      <c r="R139" s="115">
        <f t="shared" si="3"/>
        <v>0.1281315385</v>
      </c>
      <c r="S139" s="114">
        <f t="shared" si="39"/>
        <v>11070.56492</v>
      </c>
      <c r="T139" s="113" t="str">
        <f t="shared" si="4"/>
        <v>no</v>
      </c>
      <c r="U139" s="115">
        <f t="shared" si="5"/>
        <v>0</v>
      </c>
      <c r="V139" s="113">
        <f t="shared" si="34"/>
        <v>0</v>
      </c>
      <c r="W139" s="115">
        <f t="shared" si="6"/>
        <v>0</v>
      </c>
      <c r="X139" s="85">
        <f t="shared" si="7"/>
        <v>0</v>
      </c>
      <c r="Y139" s="116">
        <f t="shared" si="8"/>
        <v>0</v>
      </c>
      <c r="Z139" s="113">
        <f t="shared" si="9"/>
        <v>0</v>
      </c>
      <c r="AA139" s="113" t="str">
        <f t="shared" si="10"/>
        <v>no</v>
      </c>
      <c r="AB139" s="115">
        <f t="shared" si="11"/>
        <v>0</v>
      </c>
      <c r="AC139" s="113">
        <f t="shared" si="35"/>
        <v>0</v>
      </c>
      <c r="AD139" s="116">
        <f t="shared" si="12"/>
        <v>0</v>
      </c>
      <c r="AE139" s="113">
        <f t="shared" si="13"/>
        <v>0</v>
      </c>
      <c r="AF139" s="116">
        <f t="shared" si="14"/>
        <v>0</v>
      </c>
      <c r="AG139" s="113">
        <f t="shared" si="15"/>
        <v>0</v>
      </c>
      <c r="AH139" s="113" t="str">
        <f t="shared" si="16"/>
        <v>no</v>
      </c>
      <c r="AI139" s="115">
        <f t="shared" si="17"/>
        <v>0</v>
      </c>
      <c r="AJ139" s="113">
        <f t="shared" si="36"/>
        <v>0</v>
      </c>
      <c r="AK139" s="116">
        <f t="shared" si="18"/>
        <v>0</v>
      </c>
      <c r="AL139" s="113">
        <f t="shared" si="19"/>
        <v>0</v>
      </c>
      <c r="AM139" s="115">
        <f t="shared" si="20"/>
        <v>0</v>
      </c>
      <c r="AN139" s="85">
        <f t="shared" si="21"/>
        <v>0</v>
      </c>
      <c r="AO139" s="113" t="str">
        <f t="shared" si="22"/>
        <v>yes</v>
      </c>
      <c r="AP139" s="115">
        <f t="shared" si="23"/>
        <v>0</v>
      </c>
      <c r="AQ139" s="113">
        <f t="shared" si="37"/>
        <v>0</v>
      </c>
      <c r="AR139" s="116">
        <f t="shared" si="24"/>
        <v>0.1281315385</v>
      </c>
      <c r="AS139" s="114">
        <f t="shared" si="25"/>
        <v>11070.56492</v>
      </c>
      <c r="AT139" s="116">
        <f t="shared" si="26"/>
        <v>0.1292663233</v>
      </c>
      <c r="AU139" s="114">
        <f t="shared" si="27"/>
        <v>11168.61033</v>
      </c>
      <c r="AV139" s="113" t="str">
        <f t="shared" si="28"/>
        <v>no</v>
      </c>
      <c r="AW139" s="115">
        <f t="shared" si="29"/>
        <v>0</v>
      </c>
      <c r="AX139" s="85">
        <f t="shared" si="38"/>
        <v>0</v>
      </c>
      <c r="AY139" s="116">
        <f t="shared" si="30"/>
        <v>0</v>
      </c>
      <c r="AZ139" s="113">
        <f t="shared" si="31"/>
        <v>0</v>
      </c>
      <c r="BA139" s="116">
        <f t="shared" si="32"/>
        <v>0</v>
      </c>
      <c r="BB139" s="113">
        <f t="shared" si="33"/>
        <v>0</v>
      </c>
      <c r="BC139" s="112">
        <v>0.029354630052726982</v>
      </c>
      <c r="BD139" s="113" t="str">
        <f>ifs(BC139&lt;='Range Tables'!$G$81,'Range Tables'!$B$81,BC139&lt;='Range Tables'!$G$82,'Range Tables'!$B$82)</f>
        <v>Online*</v>
      </c>
      <c r="BE139" s="112">
        <v>0.12760046665600588</v>
      </c>
      <c r="BF139" s="112" t="str">
        <f>ifs(BE139&lt;='Range Tables'!$G$95,'Range Tables'!$B$95,BE139&lt;='Range Tables'!$G$96,'Range Tables'!$B$96,BE139&lt;='Range Tables'!$G$97,'Range Tables'!$B$97,BE139&lt;='Range Tables'!$G$98,'Range Tables'!$B$98,BE139&lt;='Range Tables'!$G$99,'Range Tables'!$B$99,BE139&lt;='Range Tables'!$G$100,'Range Tables'!$B$100,BE139&lt;='Range Tables'!$G$101,'Range Tables'!$B$101,BE139&lt;='Range Tables'!$G$102,'Range Tables'!$B$102,BE139&lt;='Range Tables'!$G$103,'Range Tables'!$B$103)</f>
        <v>Jammu</v>
      </c>
      <c r="BG139" s="112">
        <v>0.1575007305355408</v>
      </c>
      <c r="BH139" s="113" t="str">
        <f>ifs(BG139&lt;='Range Tables'!$G$112,'Range Tables'!$B$112,BG139&lt;='Range Tables'!$G$113,'Range Tables'!$B$113,BG139&lt;='Range Tables'!$G$114,'Range Tables'!$B$114)</f>
        <v>0</v>
      </c>
      <c r="BI139" s="117">
        <v>0.07943824596071092</v>
      </c>
      <c r="BJ139" s="113" t="str">
        <f>ifs(BI139&lt;='Range Tables'!$G$118,'Range Tables'!$B$118,BI139&lt;='Range Tables'!$G$119,'Range Tables'!$B$119)</f>
        <v>Valid</v>
      </c>
    </row>
    <row r="140">
      <c r="A140" s="85">
        <v>137.0</v>
      </c>
      <c r="B140" s="112">
        <v>0.7009503012137749</v>
      </c>
      <c r="C140" s="113" t="str">
        <f>ifs(B140&lt;='Range Tables'!$G$54,'Range Tables'!$B$54,B140&lt;='Range Tables'!$G$55,'Range Tables'!$B$55,B140&lt;='Range Tables'!$G$56,'Range Tables'!$B$56,B140&lt;='Range Tables'!$G$57,'Range Tables'!$B$57,B140&lt;='Range Tables'!$G$58,'Range Tables'!$B$58,B140&lt;='Range Tables'!$G$59,'Range Tables'!$B$59,B140&lt;='Range Tables'!$G$60,'Range Tables'!$B$60,B140&lt;='Range Tables'!$G$61,'Range Tables'!$B$61,B140&lt;='Range Tables'!$G$63,'Range Tables'!$B$63,B140&lt;='Range Tables'!$G$64,'Range Tables'!$B$64,B140&lt;='Range Tables'!$G$66,'Range Tables'!$B$66)</f>
        <v>60 - 90</v>
      </c>
      <c r="D140" s="113">
        <f>IFERROR(__xludf.DUMMYFUNCTION("SPLIT(C140,""-"")"),60.0)</f>
        <v>60</v>
      </c>
      <c r="E140" s="113">
        <f>IFERROR(__xludf.DUMMYFUNCTION("""COMPUTED_VALUE"""),90.0)</f>
        <v>90</v>
      </c>
      <c r="F140" s="114">
        <f t="shared" si="40"/>
        <v>81.02850904</v>
      </c>
      <c r="G140" s="112">
        <v>0.3006195608370056</v>
      </c>
      <c r="H140" s="113" t="str">
        <f>ifs(G140&lt;='Range Tables'!$G$86,'Range Tables'!$B$86,G140&lt;='Range Tables'!$G$87,'Range Tables'!$B$87,G140&lt;='Range Tables'!$G$88,'Range Tables'!$B$88,G140&lt;='Range Tables'!$G$89,'Range Tables'!$B$89,G140&lt;='Range Tables'!$G$90,'Range Tables'!$B$90,G140&lt;='Range Tables'!$G$91,'Range Tables'!$B$91)</f>
        <v>Car</v>
      </c>
      <c r="I140" s="112">
        <v>0.3355740192764569</v>
      </c>
      <c r="J140" s="113" t="str">
        <f>IFS(
  H140="Car", IF(I140&lt;='Range Tables'!$G$19, 'Range Tables'!$B$19, 'Range Tables'!$B$20), 
  H140="Bike", IF(I140&lt;='Range Tables'!$G$25, 'Range Tables'!$B$25, 'Range Tables'!$B$26), 
  H140="Scooter", IF(I140&lt;='Range Tables'!$G$31, 'Range Tables'!$B$31, 'Range Tables'!$B$32), 
  H140="Auto", IF(I140&lt;='Range Tables'!$G$37, 'Range Tables'!$B$37, 'Range Tables'!$B$38), 
  H140="Carriers*", IF(I140&lt;='Range Tables'!$G$43, 'Range Tables'!$B$43, 'Range Tables'!$B$44), 
  H140="Van*", IF(I140&lt;='Range Tables'!$G$50, 'Range Tables'!$B$50, 'Range Tables'!$B$49)
)</f>
        <v>Petrol</v>
      </c>
      <c r="K140" s="112">
        <v>0.4184864160083457</v>
      </c>
      <c r="L140" s="113">
        <f>if(J140="Petrol",ifs(K140&lt;='Range Tables'!$G$5,'Range Tables'!$B$5,K140&lt;='Range Tables'!$G$6,'Range Tables'!$B$6,K140&lt;='Range Tables'!$G$7,'Range Tables'!$B$7),ifs(K140&lt;='Range Tables'!$G$13,'Range Tables'!$B$13,K140&lt;='Range Tables'!$G$14,'Range Tables'!$B$14))</f>
        <v>2</v>
      </c>
      <c r="M140" s="112">
        <v>0.20537590192586153</v>
      </c>
      <c r="N140" s="113" t="str">
        <f>ifs(H140="Car",ifs(M140&lt;='Range Tables'!$G$125,'Range Tables'!$B$125,M140&lt;='Range Tables'!$G$126,'Range Tables'!$B$126,M140&lt;='Range Tables'!$G$127,'Range Tables'!$B$127,M140&lt;='Range Tables'!$G$128,'Range Tables'!$B$128,M140&lt;='Range Tables'!$G$129,'Range Tables'!$B$129,'Range Tables'!$G$131,'Range Tables'!$B$131),H140="Bike",ifs(M140&lt;='Range Tables'!$G$136,'Range Tables'!$B$136,M140&lt;='Range Tables'!$G$137,'Range Tables'!$B$137,M140&lt;='Range Tables'!$G$138,'Range Tables'!$B$138,M140&lt;='Range Tables'!$G$142,'Range Tables'!$B$142),H140="Scooter",ifs(M140&lt;='Range Tables'!$G$148,'Range Tables'!$B$148,M140&lt;='Range Tables'!$G$149,'Range Tables'!$B$149,M140&lt;='Range Tables'!$G$150,'Range Tables'!$B$150,M140&lt;='Range Tables'!$G$151,'Range Tables'!$B$151),H140="Auto",ifs(M140&lt;='Range Tables'!$G$161,'Range Tables'!$B$161,M140&lt;='Range Tables'!$G$162,'Range Tables'!$B$162,M140&lt;='Range Tables'!$G$163,'Range Tables'!$B$163,M140&lt;='Range Tables'!$G$164,'Range Tables'!$B$164),H140="Carriers*",ifs(M140&lt;='Range Tables'!$G$173,'Range Tables'!$B$173,M140&lt;='Range Tables'!$G$174,'Range Tables'!$B$174,M140&lt;='Range Tables'!$G$175,'Range Tables'!$B$175,M140&lt;='Range Tables'!$G$176,'Range Tables'!$B$176,M140&lt;='Range Tables'!$G$177,'Range Tables'!$B$177,M140&lt;='Range Tables'!$G$179,'Range Tables'!$B$179),H140="Van*",ifs(M140&lt;='Range Tables'!$G$186,'Range Tables'!$B$186))</f>
        <v>60 - 120</v>
      </c>
      <c r="O140" s="113">
        <f>IFERROR(__xludf.DUMMYFUNCTION("SPLIT(N140,""-"")"),60.0)</f>
        <v>60</v>
      </c>
      <c r="P140" s="113">
        <f>IFERROR(__xludf.DUMMYFUNCTION("""COMPUTED_VALUE"""),120.0)</f>
        <v>120</v>
      </c>
      <c r="Q140" s="114">
        <f t="shared" si="2"/>
        <v>72.32255412</v>
      </c>
      <c r="R140" s="115">
        <f t="shared" si="3"/>
        <v>0.1305223445</v>
      </c>
      <c r="S140" s="114">
        <f t="shared" si="39"/>
        <v>11277.13056</v>
      </c>
      <c r="T140" s="113" t="str">
        <f t="shared" si="4"/>
        <v>no</v>
      </c>
      <c r="U140" s="115">
        <f t="shared" si="5"/>
        <v>0</v>
      </c>
      <c r="V140" s="113">
        <f t="shared" si="34"/>
        <v>0</v>
      </c>
      <c r="W140" s="115">
        <f t="shared" si="6"/>
        <v>0</v>
      </c>
      <c r="X140" s="85">
        <f t="shared" si="7"/>
        <v>0</v>
      </c>
      <c r="Y140" s="116">
        <f t="shared" si="8"/>
        <v>0</v>
      </c>
      <c r="Z140" s="113">
        <f t="shared" si="9"/>
        <v>0</v>
      </c>
      <c r="AA140" s="113" t="str">
        <f t="shared" si="10"/>
        <v>yes</v>
      </c>
      <c r="AB140" s="115">
        <f t="shared" si="11"/>
        <v>0</v>
      </c>
      <c r="AC140" s="113">
        <f t="shared" si="35"/>
        <v>0</v>
      </c>
      <c r="AD140" s="116">
        <f t="shared" si="12"/>
        <v>0.1305223445</v>
      </c>
      <c r="AE140" s="114">
        <f t="shared" si="13"/>
        <v>11277.13056</v>
      </c>
      <c r="AF140" s="116">
        <f t="shared" si="14"/>
        <v>0.1313594111</v>
      </c>
      <c r="AG140" s="114">
        <f t="shared" si="15"/>
        <v>11349.45312</v>
      </c>
      <c r="AH140" s="113" t="str">
        <f t="shared" si="16"/>
        <v>no</v>
      </c>
      <c r="AI140" s="115">
        <f t="shared" si="17"/>
        <v>0</v>
      </c>
      <c r="AJ140" s="113">
        <f t="shared" si="36"/>
        <v>0</v>
      </c>
      <c r="AK140" s="116">
        <f t="shared" si="18"/>
        <v>0</v>
      </c>
      <c r="AL140" s="113">
        <f t="shared" si="19"/>
        <v>0</v>
      </c>
      <c r="AM140" s="115">
        <f t="shared" si="20"/>
        <v>0</v>
      </c>
      <c r="AN140" s="85">
        <f t="shared" si="21"/>
        <v>0</v>
      </c>
      <c r="AO140" s="113" t="str">
        <f t="shared" si="22"/>
        <v>no</v>
      </c>
      <c r="AP140" s="115">
        <f t="shared" si="23"/>
        <v>0</v>
      </c>
      <c r="AQ140" s="113">
        <f t="shared" si="37"/>
        <v>0</v>
      </c>
      <c r="AR140" s="116">
        <f t="shared" si="24"/>
        <v>0</v>
      </c>
      <c r="AS140" s="113">
        <f t="shared" si="25"/>
        <v>0</v>
      </c>
      <c r="AT140" s="116">
        <f t="shared" si="26"/>
        <v>0</v>
      </c>
      <c r="AU140" s="113">
        <f t="shared" si="27"/>
        <v>0</v>
      </c>
      <c r="AV140" s="113" t="str">
        <f t="shared" si="28"/>
        <v>no</v>
      </c>
      <c r="AW140" s="115">
        <f t="shared" si="29"/>
        <v>0</v>
      </c>
      <c r="AX140" s="85">
        <f t="shared" si="38"/>
        <v>0</v>
      </c>
      <c r="AY140" s="116">
        <f t="shared" si="30"/>
        <v>0</v>
      </c>
      <c r="AZ140" s="113">
        <f t="shared" si="31"/>
        <v>0</v>
      </c>
      <c r="BA140" s="116">
        <f t="shared" si="32"/>
        <v>0</v>
      </c>
      <c r="BB140" s="113">
        <f t="shared" si="33"/>
        <v>0</v>
      </c>
      <c r="BC140" s="112">
        <v>0.23843792850705237</v>
      </c>
      <c r="BD140" s="113" t="str">
        <f>ifs(BC140&lt;='Range Tables'!$G$81,'Range Tables'!$B$81,BC140&lt;='Range Tables'!$G$82,'Range Tables'!$B$82)</f>
        <v>Online*</v>
      </c>
      <c r="BE140" s="112">
        <v>0.45411359933276907</v>
      </c>
      <c r="BF140" s="112" t="str">
        <f>ifs(BE140&lt;='Range Tables'!$G$95,'Range Tables'!$B$95,BE140&lt;='Range Tables'!$G$96,'Range Tables'!$B$96,BE140&lt;='Range Tables'!$G$97,'Range Tables'!$B$97,BE140&lt;='Range Tables'!$G$98,'Range Tables'!$B$98,BE140&lt;='Range Tables'!$G$99,'Range Tables'!$B$99,BE140&lt;='Range Tables'!$G$100,'Range Tables'!$B$100,BE140&lt;='Range Tables'!$G$101,'Range Tables'!$B$101,BE140&lt;='Range Tables'!$G$102,'Range Tables'!$B$102,BE140&lt;='Range Tables'!$G$103,'Range Tables'!$B$103)</f>
        <v>Jammu</v>
      </c>
      <c r="BG140" s="112">
        <v>0.4918315460265229</v>
      </c>
      <c r="BH140" s="113" t="str">
        <f>ifs(BG140&lt;='Range Tables'!$G$112,'Range Tables'!$B$112,BG140&lt;='Range Tables'!$G$113,'Range Tables'!$B$113,BG140&lt;='Range Tables'!$G$114,'Range Tables'!$B$114)</f>
        <v>0</v>
      </c>
      <c r="BI140" s="117">
        <v>0.5932514613195852</v>
      </c>
      <c r="BJ140" s="113" t="str">
        <f>ifs(BI140&lt;='Range Tables'!$G$118,'Range Tables'!$B$118,BI140&lt;='Range Tables'!$G$119,'Range Tables'!$B$119)</f>
        <v>Valid</v>
      </c>
    </row>
    <row r="141">
      <c r="A141" s="85">
        <v>138.0</v>
      </c>
      <c r="B141" s="112">
        <v>0.8419186922002138</v>
      </c>
      <c r="C141" s="113" t="str">
        <f>ifs(B141&lt;='Range Tables'!$G$54,'Range Tables'!$B$54,B141&lt;='Range Tables'!$G$55,'Range Tables'!$B$55,B141&lt;='Range Tables'!$G$56,'Range Tables'!$B$56,B141&lt;='Range Tables'!$G$57,'Range Tables'!$B$57,B141&lt;='Range Tables'!$G$58,'Range Tables'!$B$58,B141&lt;='Range Tables'!$G$59,'Range Tables'!$B$59,B141&lt;='Range Tables'!$G$60,'Range Tables'!$B$60,B141&lt;='Range Tables'!$G$61,'Range Tables'!$B$61,B141&lt;='Range Tables'!$G$63,'Range Tables'!$B$63,B141&lt;='Range Tables'!$G$64,'Range Tables'!$B$64,B141&lt;='Range Tables'!$G$66,'Range Tables'!$B$66)</f>
        <v>150 - 180</v>
      </c>
      <c r="D141" s="113">
        <f>IFERROR(__xludf.DUMMYFUNCTION("SPLIT(C141,""-"")"),150.0)</f>
        <v>150</v>
      </c>
      <c r="E141" s="113">
        <f>IFERROR(__xludf.DUMMYFUNCTION("""COMPUTED_VALUE"""),180.0)</f>
        <v>180</v>
      </c>
      <c r="F141" s="114">
        <f t="shared" si="40"/>
        <v>175.2575608</v>
      </c>
      <c r="G141" s="112">
        <v>0.44619449299371905</v>
      </c>
      <c r="H141" s="113" t="str">
        <f>ifs(G141&lt;='Range Tables'!$G$86,'Range Tables'!$B$86,G141&lt;='Range Tables'!$G$87,'Range Tables'!$B$87,G141&lt;='Range Tables'!$G$88,'Range Tables'!$B$88,G141&lt;='Range Tables'!$G$89,'Range Tables'!$B$89,G141&lt;='Range Tables'!$G$90,'Range Tables'!$B$90,G141&lt;='Range Tables'!$G$91,'Range Tables'!$B$91)</f>
        <v>Car</v>
      </c>
      <c r="I141" s="112">
        <v>0.1858270020872338</v>
      </c>
      <c r="J141" s="113" t="str">
        <f>IFS(
  H141="Car", IF(I141&lt;='Range Tables'!$G$19, 'Range Tables'!$B$19, 'Range Tables'!$B$20), 
  H141="Bike", IF(I141&lt;='Range Tables'!$G$25, 'Range Tables'!$B$25, 'Range Tables'!$B$26), 
  H141="Scooter", IF(I141&lt;='Range Tables'!$G$31, 'Range Tables'!$B$31, 'Range Tables'!$B$32), 
  H141="Auto", IF(I141&lt;='Range Tables'!$G$37, 'Range Tables'!$B$37, 'Range Tables'!$B$38), 
  H141="Carriers*", IF(I141&lt;='Range Tables'!$G$43, 'Range Tables'!$B$43, 'Range Tables'!$B$44), 
  H141="Van*", IF(I141&lt;='Range Tables'!$G$50, 'Range Tables'!$B$50, 'Range Tables'!$B$49)
)</f>
        <v>Petrol</v>
      </c>
      <c r="K141" s="112">
        <v>0.27595962455454515</v>
      </c>
      <c r="L141" s="113">
        <f>if(J141="Petrol",ifs(K141&lt;='Range Tables'!$G$5,'Range Tables'!$B$5,K141&lt;='Range Tables'!$G$6,'Range Tables'!$B$6,K141&lt;='Range Tables'!$G$7,'Range Tables'!$B$7),ifs(K141&lt;='Range Tables'!$G$13,'Range Tables'!$B$13,K141&lt;='Range Tables'!$G$14,'Range Tables'!$B$14))</f>
        <v>2</v>
      </c>
      <c r="M141" s="112">
        <v>0.08254988481600756</v>
      </c>
      <c r="N141" s="113" t="str">
        <f>ifs(H141="Car",ifs(M141&lt;='Range Tables'!$G$125,'Range Tables'!$B$125,M141&lt;='Range Tables'!$G$126,'Range Tables'!$B$126,M141&lt;='Range Tables'!$G$127,'Range Tables'!$B$127,M141&lt;='Range Tables'!$G$128,'Range Tables'!$B$128,M141&lt;='Range Tables'!$G$129,'Range Tables'!$B$129,'Range Tables'!$G$131,'Range Tables'!$B$131),H141="Bike",ifs(M141&lt;='Range Tables'!$G$136,'Range Tables'!$B$136,M141&lt;='Range Tables'!$G$137,'Range Tables'!$B$137,M141&lt;='Range Tables'!$G$138,'Range Tables'!$B$138,M141&lt;='Range Tables'!$G$142,'Range Tables'!$B$142),H141="Scooter",ifs(M141&lt;='Range Tables'!$G$148,'Range Tables'!$B$148,M141&lt;='Range Tables'!$G$149,'Range Tables'!$B$149,M141&lt;='Range Tables'!$G$150,'Range Tables'!$B$150,M141&lt;='Range Tables'!$G$151,'Range Tables'!$B$151),H141="Auto",ifs(M141&lt;='Range Tables'!$G$161,'Range Tables'!$B$161,M141&lt;='Range Tables'!$G$162,'Range Tables'!$B$162,M141&lt;='Range Tables'!$G$163,'Range Tables'!$B$163,M141&lt;='Range Tables'!$G$164,'Range Tables'!$B$164),H141="Carriers*",ifs(M141&lt;='Range Tables'!$G$173,'Range Tables'!$B$173,M141&lt;='Range Tables'!$G$174,'Range Tables'!$B$174,M141&lt;='Range Tables'!$G$175,'Range Tables'!$B$175,M141&lt;='Range Tables'!$G$176,'Range Tables'!$B$176,M141&lt;='Range Tables'!$G$177,'Range Tables'!$B$177,M141&lt;='Range Tables'!$G$179,'Range Tables'!$B$179),H141="Van*",ifs(M141&lt;='Range Tables'!$G$186,'Range Tables'!$B$186))</f>
        <v>60 - 120</v>
      </c>
      <c r="O141" s="113">
        <f>IFERROR(__xludf.DUMMYFUNCTION("SPLIT(N141,""-"")"),60.0)</f>
        <v>60</v>
      </c>
      <c r="P141" s="113">
        <f>IFERROR(__xludf.DUMMYFUNCTION("""COMPUTED_VALUE"""),120.0)</f>
        <v>120</v>
      </c>
      <c r="Q141" s="114">
        <f t="shared" si="2"/>
        <v>64.95299309</v>
      </c>
      <c r="R141" s="115">
        <f t="shared" si="3"/>
        <v>0.1314601744</v>
      </c>
      <c r="S141" s="114">
        <f t="shared" si="39"/>
        <v>11358.15907</v>
      </c>
      <c r="T141" s="113" t="str">
        <f t="shared" si="4"/>
        <v>no</v>
      </c>
      <c r="U141" s="115">
        <f t="shared" si="5"/>
        <v>0</v>
      </c>
      <c r="V141" s="113">
        <f t="shared" si="34"/>
        <v>0</v>
      </c>
      <c r="W141" s="115">
        <f t="shared" si="6"/>
        <v>0</v>
      </c>
      <c r="X141" s="85">
        <f t="shared" si="7"/>
        <v>0</v>
      </c>
      <c r="Y141" s="116">
        <f t="shared" si="8"/>
        <v>0</v>
      </c>
      <c r="Z141" s="113">
        <f t="shared" si="9"/>
        <v>0</v>
      </c>
      <c r="AA141" s="113" t="str">
        <f t="shared" si="10"/>
        <v>yes</v>
      </c>
      <c r="AB141" s="115">
        <f t="shared" si="11"/>
        <v>0</v>
      </c>
      <c r="AC141" s="113">
        <f t="shared" si="35"/>
        <v>0</v>
      </c>
      <c r="AD141" s="116">
        <f t="shared" si="12"/>
        <v>0.1314601744</v>
      </c>
      <c r="AE141" s="114">
        <f t="shared" si="13"/>
        <v>11358.15907</v>
      </c>
      <c r="AF141" s="116">
        <f t="shared" si="14"/>
        <v>0.1322119452</v>
      </c>
      <c r="AG141" s="114">
        <f t="shared" si="15"/>
        <v>11423.11206</v>
      </c>
      <c r="AH141" s="113" t="str">
        <f t="shared" si="16"/>
        <v>no</v>
      </c>
      <c r="AI141" s="115">
        <f t="shared" si="17"/>
        <v>0</v>
      </c>
      <c r="AJ141" s="113">
        <f t="shared" si="36"/>
        <v>0</v>
      </c>
      <c r="AK141" s="116">
        <f t="shared" si="18"/>
        <v>0</v>
      </c>
      <c r="AL141" s="113">
        <f t="shared" si="19"/>
        <v>0</v>
      </c>
      <c r="AM141" s="115">
        <f t="shared" si="20"/>
        <v>0</v>
      </c>
      <c r="AN141" s="85">
        <f t="shared" si="21"/>
        <v>0</v>
      </c>
      <c r="AO141" s="113" t="str">
        <f t="shared" si="22"/>
        <v>no</v>
      </c>
      <c r="AP141" s="115">
        <f t="shared" si="23"/>
        <v>0</v>
      </c>
      <c r="AQ141" s="113">
        <f t="shared" si="37"/>
        <v>0</v>
      </c>
      <c r="AR141" s="116">
        <f t="shared" si="24"/>
        <v>0</v>
      </c>
      <c r="AS141" s="113">
        <f t="shared" si="25"/>
        <v>0</v>
      </c>
      <c r="AT141" s="116">
        <f t="shared" si="26"/>
        <v>0</v>
      </c>
      <c r="AU141" s="113">
        <f t="shared" si="27"/>
        <v>0</v>
      </c>
      <c r="AV141" s="113" t="str">
        <f t="shared" si="28"/>
        <v>no</v>
      </c>
      <c r="AW141" s="115">
        <f t="shared" si="29"/>
        <v>0</v>
      </c>
      <c r="AX141" s="85">
        <f t="shared" si="38"/>
        <v>0</v>
      </c>
      <c r="AY141" s="116">
        <f t="shared" si="30"/>
        <v>0</v>
      </c>
      <c r="AZ141" s="113">
        <f t="shared" si="31"/>
        <v>0</v>
      </c>
      <c r="BA141" s="116">
        <f t="shared" si="32"/>
        <v>0</v>
      </c>
      <c r="BB141" s="113">
        <f t="shared" si="33"/>
        <v>0</v>
      </c>
      <c r="BC141" s="112">
        <v>0.27455046965292784</v>
      </c>
      <c r="BD141" s="113" t="str">
        <f>ifs(BC141&lt;='Range Tables'!$G$81,'Range Tables'!$B$81,BC141&lt;='Range Tables'!$G$82,'Range Tables'!$B$82)</f>
        <v>Online*</v>
      </c>
      <c r="BE141" s="112">
        <v>0.4678352952065087</v>
      </c>
      <c r="BF141" s="112" t="str">
        <f>ifs(BE141&lt;='Range Tables'!$G$95,'Range Tables'!$B$95,BE141&lt;='Range Tables'!$G$96,'Range Tables'!$B$96,BE141&lt;='Range Tables'!$G$97,'Range Tables'!$B$97,BE141&lt;='Range Tables'!$G$98,'Range Tables'!$B$98,BE141&lt;='Range Tables'!$G$99,'Range Tables'!$B$99,BE141&lt;='Range Tables'!$G$100,'Range Tables'!$B$100,BE141&lt;='Range Tables'!$G$101,'Range Tables'!$B$101,BE141&lt;='Range Tables'!$G$102,'Range Tables'!$B$102,BE141&lt;='Range Tables'!$G$103,'Range Tables'!$B$103)</f>
        <v>Jammu</v>
      </c>
      <c r="BG141" s="112">
        <v>0.7580357664342782</v>
      </c>
      <c r="BH141" s="113" t="str">
        <f>ifs(BG141&lt;='Range Tables'!$G$112,'Range Tables'!$B$112,BG141&lt;='Range Tables'!$G$113,'Range Tables'!$B$113,BG141&lt;='Range Tables'!$G$114,'Range Tables'!$B$114)</f>
        <v>0</v>
      </c>
      <c r="BI141" s="117">
        <v>0.8936600300553839</v>
      </c>
      <c r="BJ141" s="113" t="str">
        <f>ifs(BI141&lt;='Range Tables'!$G$118,'Range Tables'!$B$118,BI141&lt;='Range Tables'!$G$119,'Range Tables'!$B$119)</f>
        <v>Expired</v>
      </c>
    </row>
    <row r="142">
      <c r="A142" s="85">
        <v>139.0</v>
      </c>
      <c r="B142" s="112">
        <v>0.43095061656640765</v>
      </c>
      <c r="C142" s="113" t="str">
        <f>ifs(B142&lt;='Range Tables'!$G$54,'Range Tables'!$B$54,B142&lt;='Range Tables'!$G$55,'Range Tables'!$B$55,B142&lt;='Range Tables'!$G$56,'Range Tables'!$B$56,B142&lt;='Range Tables'!$G$57,'Range Tables'!$B$57,B142&lt;='Range Tables'!$G$58,'Range Tables'!$B$58,B142&lt;='Range Tables'!$G$59,'Range Tables'!$B$59,B142&lt;='Range Tables'!$G$60,'Range Tables'!$B$60,B142&lt;='Range Tables'!$G$61,'Range Tables'!$B$61,B142&lt;='Range Tables'!$G$63,'Range Tables'!$B$63,B142&lt;='Range Tables'!$G$64,'Range Tables'!$B$64,B142&lt;='Range Tables'!$G$66,'Range Tables'!$B$66)</f>
        <v>30 - 60 </v>
      </c>
      <c r="D142" s="113">
        <f>IFERROR(__xludf.DUMMYFUNCTION("SPLIT(C142,""-"")"),30.0)</f>
        <v>30</v>
      </c>
      <c r="E142" s="113">
        <f>IFERROR(__xludf.DUMMYFUNCTION("""COMPUTED_VALUE"""),60.0)</f>
        <v>60</v>
      </c>
      <c r="F142" s="114">
        <f t="shared" si="40"/>
        <v>42.9285185</v>
      </c>
      <c r="G142" s="112">
        <v>0.6069660716094889</v>
      </c>
      <c r="H142" s="113" t="str">
        <f>ifs(G142&lt;='Range Tables'!$G$86,'Range Tables'!$B$86,G142&lt;='Range Tables'!$G$87,'Range Tables'!$B$87,G142&lt;='Range Tables'!$G$88,'Range Tables'!$B$88,G142&lt;='Range Tables'!$G$89,'Range Tables'!$B$89,G142&lt;='Range Tables'!$G$90,'Range Tables'!$B$90,G142&lt;='Range Tables'!$G$91,'Range Tables'!$B$91)</f>
        <v>Bike</v>
      </c>
      <c r="I142" s="112">
        <v>0.5379134216924523</v>
      </c>
      <c r="J142" s="113" t="str">
        <f>IFS(
  H142="Car", IF(I142&lt;='Range Tables'!$G$19, 'Range Tables'!$B$19, 'Range Tables'!$B$20), 
  H142="Bike", IF(I142&lt;='Range Tables'!$G$25, 'Range Tables'!$B$25, 'Range Tables'!$B$26), 
  H142="Scooter", IF(I142&lt;='Range Tables'!$G$31, 'Range Tables'!$B$31, 'Range Tables'!$B$32), 
  H142="Auto", IF(I142&lt;='Range Tables'!$G$37, 'Range Tables'!$B$37, 'Range Tables'!$B$38), 
  H142="Carriers*", IF(I142&lt;='Range Tables'!$G$43, 'Range Tables'!$B$43, 'Range Tables'!$B$44), 
  H142="Van*", IF(I142&lt;='Range Tables'!$G$50, 'Range Tables'!$B$50, 'Range Tables'!$B$49)
)</f>
        <v>Petrol</v>
      </c>
      <c r="K142" s="112">
        <v>0.29305846067919417</v>
      </c>
      <c r="L142" s="113">
        <f>if(J142="Petrol",ifs(K142&lt;='Range Tables'!$G$5,'Range Tables'!$B$5,K142&lt;='Range Tables'!$G$6,'Range Tables'!$B$6,K142&lt;='Range Tables'!$G$7,'Range Tables'!$B$7),ifs(K142&lt;='Range Tables'!$G$13,'Range Tables'!$B$13,K142&lt;='Range Tables'!$G$14,'Range Tables'!$B$14))</f>
        <v>2</v>
      </c>
      <c r="M142" s="112">
        <v>0.7343574265149901</v>
      </c>
      <c r="N142" s="113" t="str">
        <f>ifs(H142="Car",ifs(M142&lt;='Range Tables'!$G$125,'Range Tables'!$B$125,M142&lt;='Range Tables'!$G$126,'Range Tables'!$B$126,M142&lt;='Range Tables'!$G$127,'Range Tables'!$B$127,M142&lt;='Range Tables'!$G$128,'Range Tables'!$B$128,M142&lt;='Range Tables'!$G$129,'Range Tables'!$B$129,'Range Tables'!$G$131,'Range Tables'!$B$131),H142="Bike",ifs(M142&lt;='Range Tables'!$G$136,'Range Tables'!$B$136,M142&lt;='Range Tables'!$G$137,'Range Tables'!$B$137,M142&lt;='Range Tables'!$G$138,'Range Tables'!$B$138,M142&lt;='Range Tables'!$G$142,'Range Tables'!$B$142),H142="Scooter",ifs(M142&lt;='Range Tables'!$G$148,'Range Tables'!$B$148,M142&lt;='Range Tables'!$G$149,'Range Tables'!$B$149,M142&lt;='Range Tables'!$G$150,'Range Tables'!$B$150,M142&lt;='Range Tables'!$G$151,'Range Tables'!$B$151),H142="Auto",ifs(M142&lt;='Range Tables'!$G$161,'Range Tables'!$B$161,M142&lt;='Range Tables'!$G$162,'Range Tables'!$B$162,M142&lt;='Range Tables'!$G$163,'Range Tables'!$B$163,M142&lt;='Range Tables'!$G$164,'Range Tables'!$B$164),H142="Carriers*",ifs(M142&lt;='Range Tables'!$G$173,'Range Tables'!$B$173,M142&lt;='Range Tables'!$G$174,'Range Tables'!$B$174,M142&lt;='Range Tables'!$G$175,'Range Tables'!$B$175,M142&lt;='Range Tables'!$G$176,'Range Tables'!$B$176,M142&lt;='Range Tables'!$G$177,'Range Tables'!$B$177,M142&lt;='Range Tables'!$G$179,'Range Tables'!$B$179),H142="Van*",ifs(M142&lt;='Range Tables'!$G$186,'Range Tables'!$B$186))</f>
        <v>120 - 180</v>
      </c>
      <c r="O142" s="113">
        <f>IFERROR(__xludf.DUMMYFUNCTION("SPLIT(N142,""-"")"),120.0)</f>
        <v>120</v>
      </c>
      <c r="P142" s="113">
        <f>IFERROR(__xludf.DUMMYFUNCTION("""COMPUTED_VALUE"""),180.0)</f>
        <v>180</v>
      </c>
      <c r="Q142" s="114">
        <f t="shared" si="2"/>
        <v>164.0614456</v>
      </c>
      <c r="R142" s="115">
        <f t="shared" si="3"/>
        <v>0.1334886184</v>
      </c>
      <c r="S142" s="114">
        <f t="shared" si="39"/>
        <v>11533.41663</v>
      </c>
      <c r="T142" s="113" t="str">
        <f t="shared" si="4"/>
        <v>no</v>
      </c>
      <c r="U142" s="115">
        <f t="shared" si="5"/>
        <v>0</v>
      </c>
      <c r="V142" s="113">
        <f t="shared" si="34"/>
        <v>0</v>
      </c>
      <c r="W142" s="115">
        <f t="shared" si="6"/>
        <v>0</v>
      </c>
      <c r="X142" s="85">
        <f t="shared" si="7"/>
        <v>0</v>
      </c>
      <c r="Y142" s="116">
        <f t="shared" si="8"/>
        <v>0</v>
      </c>
      <c r="Z142" s="113">
        <f t="shared" si="9"/>
        <v>0</v>
      </c>
      <c r="AA142" s="113" t="str">
        <f t="shared" si="10"/>
        <v>yes</v>
      </c>
      <c r="AB142" s="115">
        <f t="shared" si="11"/>
        <v>0</v>
      </c>
      <c r="AC142" s="113">
        <f t="shared" si="35"/>
        <v>0</v>
      </c>
      <c r="AD142" s="116">
        <f t="shared" si="12"/>
        <v>0.1334886184</v>
      </c>
      <c r="AE142" s="114">
        <f t="shared" si="13"/>
        <v>11533.41663</v>
      </c>
      <c r="AF142" s="116">
        <f t="shared" si="14"/>
        <v>0.1353874777</v>
      </c>
      <c r="AG142" s="114">
        <f t="shared" si="15"/>
        <v>11697.47808</v>
      </c>
      <c r="AH142" s="113" t="str">
        <f t="shared" si="16"/>
        <v>no</v>
      </c>
      <c r="AI142" s="115">
        <f t="shared" si="17"/>
        <v>0</v>
      </c>
      <c r="AJ142" s="113">
        <f t="shared" si="36"/>
        <v>0</v>
      </c>
      <c r="AK142" s="116">
        <f t="shared" si="18"/>
        <v>0</v>
      </c>
      <c r="AL142" s="113">
        <f t="shared" si="19"/>
        <v>0</v>
      </c>
      <c r="AM142" s="115">
        <f t="shared" si="20"/>
        <v>0</v>
      </c>
      <c r="AN142" s="85">
        <f t="shared" si="21"/>
        <v>0</v>
      </c>
      <c r="AO142" s="113" t="str">
        <f t="shared" si="22"/>
        <v>no</v>
      </c>
      <c r="AP142" s="115">
        <f t="shared" si="23"/>
        <v>0</v>
      </c>
      <c r="AQ142" s="113">
        <f t="shared" si="37"/>
        <v>0</v>
      </c>
      <c r="AR142" s="116">
        <f t="shared" si="24"/>
        <v>0</v>
      </c>
      <c r="AS142" s="113">
        <f t="shared" si="25"/>
        <v>0</v>
      </c>
      <c r="AT142" s="116">
        <f t="shared" si="26"/>
        <v>0</v>
      </c>
      <c r="AU142" s="113">
        <f t="shared" si="27"/>
        <v>0</v>
      </c>
      <c r="AV142" s="113" t="str">
        <f t="shared" si="28"/>
        <v>no</v>
      </c>
      <c r="AW142" s="115">
        <f t="shared" si="29"/>
        <v>0</v>
      </c>
      <c r="AX142" s="85">
        <f t="shared" si="38"/>
        <v>0</v>
      </c>
      <c r="AY142" s="116">
        <f t="shared" si="30"/>
        <v>0</v>
      </c>
      <c r="AZ142" s="113">
        <f t="shared" si="31"/>
        <v>0</v>
      </c>
      <c r="BA142" s="116">
        <f t="shared" si="32"/>
        <v>0</v>
      </c>
      <c r="BB142" s="113">
        <f t="shared" si="33"/>
        <v>0</v>
      </c>
      <c r="BC142" s="112">
        <v>0.554154003114707</v>
      </c>
      <c r="BD142" s="113" t="str">
        <f>ifs(BC142&lt;='Range Tables'!$G$81,'Range Tables'!$B$81,BC142&lt;='Range Tables'!$G$82,'Range Tables'!$B$82)</f>
        <v>Offline*</v>
      </c>
      <c r="BE142" s="112">
        <v>0.7772990107593962</v>
      </c>
      <c r="BF142" s="112" t="str">
        <f>ifs(BE142&lt;='Range Tables'!$G$95,'Range Tables'!$B$95,BE142&lt;='Range Tables'!$G$96,'Range Tables'!$B$96,BE142&lt;='Range Tables'!$G$97,'Range Tables'!$B$97,BE142&lt;='Range Tables'!$G$98,'Range Tables'!$B$98,BE142&lt;='Range Tables'!$G$99,'Range Tables'!$B$99,BE142&lt;='Range Tables'!$G$100,'Range Tables'!$B$100,BE142&lt;='Range Tables'!$G$101,'Range Tables'!$B$101,BE142&lt;='Range Tables'!$G$102,'Range Tables'!$B$102,BE142&lt;='Range Tables'!$G$103,'Range Tables'!$B$103)</f>
        <v>Other State Cities</v>
      </c>
      <c r="BG142" s="112">
        <v>0.06484769520408307</v>
      </c>
      <c r="BH142" s="113" t="str">
        <f>ifs(BG142&lt;='Range Tables'!$G$112,'Range Tables'!$B$112,BG142&lt;='Range Tables'!$G$113,'Range Tables'!$B$113,BG142&lt;='Range Tables'!$G$114,'Range Tables'!$B$114)</f>
        <v>0</v>
      </c>
      <c r="BI142" s="117">
        <v>0.9091694311699333</v>
      </c>
      <c r="BJ142" s="113" t="str">
        <f>ifs(BI142&lt;='Range Tables'!$G$118,'Range Tables'!$B$118,BI142&lt;='Range Tables'!$G$119,'Range Tables'!$B$119)</f>
        <v>Expired</v>
      </c>
    </row>
    <row r="143">
      <c r="A143" s="85">
        <v>140.0</v>
      </c>
      <c r="B143" s="112">
        <v>0.3548653208855581</v>
      </c>
      <c r="C143" s="113" t="str">
        <f>ifs(B143&lt;='Range Tables'!$G$54,'Range Tables'!$B$54,B143&lt;='Range Tables'!$G$55,'Range Tables'!$B$55,B143&lt;='Range Tables'!$G$56,'Range Tables'!$B$56,B143&lt;='Range Tables'!$G$57,'Range Tables'!$B$57,B143&lt;='Range Tables'!$G$58,'Range Tables'!$B$58,B143&lt;='Range Tables'!$G$59,'Range Tables'!$B$59,B143&lt;='Range Tables'!$G$60,'Range Tables'!$B$60,B143&lt;='Range Tables'!$G$61,'Range Tables'!$B$61,B143&lt;='Range Tables'!$G$63,'Range Tables'!$B$63,B143&lt;='Range Tables'!$G$64,'Range Tables'!$B$64,B143&lt;='Range Tables'!$G$66,'Range Tables'!$B$66)</f>
        <v>30 - 60 </v>
      </c>
      <c r="D143" s="113">
        <f>IFERROR(__xludf.DUMMYFUNCTION("SPLIT(C143,""-"")"),30.0)</f>
        <v>30</v>
      </c>
      <c r="E143" s="113">
        <f>IFERROR(__xludf.DUMMYFUNCTION("""COMPUTED_VALUE"""),60.0)</f>
        <v>60</v>
      </c>
      <c r="F143" s="114">
        <f t="shared" si="40"/>
        <v>40.64595963</v>
      </c>
      <c r="G143" s="112">
        <v>0.04228763838100902</v>
      </c>
      <c r="H143" s="113" t="str">
        <f>ifs(G143&lt;='Range Tables'!$G$86,'Range Tables'!$B$86,G143&lt;='Range Tables'!$G$87,'Range Tables'!$B$87,G143&lt;='Range Tables'!$G$88,'Range Tables'!$B$88,G143&lt;='Range Tables'!$G$89,'Range Tables'!$B$89,G143&lt;='Range Tables'!$G$90,'Range Tables'!$B$90,G143&lt;='Range Tables'!$G$91,'Range Tables'!$B$91)</f>
        <v>Car</v>
      </c>
      <c r="I143" s="112">
        <v>0.5966633816923628</v>
      </c>
      <c r="J143" s="113" t="str">
        <f>IFS(
  H143="Car", IF(I143&lt;='Range Tables'!$G$19, 'Range Tables'!$B$19, 'Range Tables'!$B$20), 
  H143="Bike", IF(I143&lt;='Range Tables'!$G$25, 'Range Tables'!$B$25, 'Range Tables'!$B$26), 
  H143="Scooter", IF(I143&lt;='Range Tables'!$G$31, 'Range Tables'!$B$31, 'Range Tables'!$B$32), 
  H143="Auto", IF(I143&lt;='Range Tables'!$G$37, 'Range Tables'!$B$37, 'Range Tables'!$B$38), 
  H143="Carriers*", IF(I143&lt;='Range Tables'!$G$43, 'Range Tables'!$B$43, 'Range Tables'!$B$44), 
  H143="Van*", IF(I143&lt;='Range Tables'!$G$50, 'Range Tables'!$B$50, 'Range Tables'!$B$49)
)</f>
        <v>Petrol</v>
      </c>
      <c r="K143" s="112">
        <v>0.239705721122071</v>
      </c>
      <c r="L143" s="113">
        <f>if(J143="Petrol",ifs(K143&lt;='Range Tables'!$G$5,'Range Tables'!$B$5,K143&lt;='Range Tables'!$G$6,'Range Tables'!$B$6,K143&lt;='Range Tables'!$G$7,'Range Tables'!$B$7),ifs(K143&lt;='Range Tables'!$G$13,'Range Tables'!$B$13,K143&lt;='Range Tables'!$G$14,'Range Tables'!$B$14))</f>
        <v>2</v>
      </c>
      <c r="M143" s="112">
        <v>0.5226024234054678</v>
      </c>
      <c r="N143" s="113" t="str">
        <f>ifs(H143="Car",ifs(M143&lt;='Range Tables'!$G$125,'Range Tables'!$B$125,M143&lt;='Range Tables'!$G$126,'Range Tables'!$B$126,M143&lt;='Range Tables'!$G$127,'Range Tables'!$B$127,M143&lt;='Range Tables'!$G$128,'Range Tables'!$B$128,M143&lt;='Range Tables'!$G$129,'Range Tables'!$B$129,'Range Tables'!$G$131,'Range Tables'!$B$131),H143="Bike",ifs(M143&lt;='Range Tables'!$G$136,'Range Tables'!$B$136,M143&lt;='Range Tables'!$G$137,'Range Tables'!$B$137,M143&lt;='Range Tables'!$G$138,'Range Tables'!$B$138,M143&lt;='Range Tables'!$G$142,'Range Tables'!$B$142),H143="Scooter",ifs(M143&lt;='Range Tables'!$G$148,'Range Tables'!$B$148,M143&lt;='Range Tables'!$G$149,'Range Tables'!$B$149,M143&lt;='Range Tables'!$G$150,'Range Tables'!$B$150,M143&lt;='Range Tables'!$G$151,'Range Tables'!$B$151),H143="Auto",ifs(M143&lt;='Range Tables'!$G$161,'Range Tables'!$B$161,M143&lt;='Range Tables'!$G$162,'Range Tables'!$B$162,M143&lt;='Range Tables'!$G$163,'Range Tables'!$B$163,M143&lt;='Range Tables'!$G$164,'Range Tables'!$B$164),H143="Carriers*",ifs(M143&lt;='Range Tables'!$G$173,'Range Tables'!$B$173,M143&lt;='Range Tables'!$G$174,'Range Tables'!$B$174,M143&lt;='Range Tables'!$G$175,'Range Tables'!$B$175,M143&lt;='Range Tables'!$G$176,'Range Tables'!$B$176,M143&lt;='Range Tables'!$G$177,'Range Tables'!$B$177,M143&lt;='Range Tables'!$G$179,'Range Tables'!$B$179),H143="Van*",ifs(M143&lt;='Range Tables'!$G$186,'Range Tables'!$B$186))</f>
        <v>120 - 180</v>
      </c>
      <c r="O143" s="113">
        <f>IFERROR(__xludf.DUMMYFUNCTION("SPLIT(N143,""-"")"),120.0)</f>
        <v>120</v>
      </c>
      <c r="P143" s="113">
        <f>IFERROR(__xludf.DUMMYFUNCTION("""COMPUTED_VALUE"""),180.0)</f>
        <v>180</v>
      </c>
      <c r="Q143" s="114">
        <f t="shared" si="2"/>
        <v>151.3561454</v>
      </c>
      <c r="R143" s="115">
        <f t="shared" si="3"/>
        <v>0.1339854763</v>
      </c>
      <c r="S143" s="114">
        <f t="shared" si="39"/>
        <v>11576.34515</v>
      </c>
      <c r="T143" s="113" t="str">
        <f t="shared" si="4"/>
        <v>no</v>
      </c>
      <c r="U143" s="115">
        <f t="shared" si="5"/>
        <v>0</v>
      </c>
      <c r="V143" s="113">
        <f t="shared" si="34"/>
        <v>0</v>
      </c>
      <c r="W143" s="115">
        <f t="shared" si="6"/>
        <v>0</v>
      </c>
      <c r="X143" s="85">
        <f t="shared" si="7"/>
        <v>0</v>
      </c>
      <c r="Y143" s="116">
        <f t="shared" si="8"/>
        <v>0</v>
      </c>
      <c r="Z143" s="113">
        <f t="shared" si="9"/>
        <v>0</v>
      </c>
      <c r="AA143" s="113" t="str">
        <f t="shared" si="10"/>
        <v>yes</v>
      </c>
      <c r="AB143" s="115">
        <f t="shared" si="11"/>
        <v>0.001402001471</v>
      </c>
      <c r="AC143" s="114">
        <f t="shared" si="35"/>
        <v>121.1329271</v>
      </c>
      <c r="AD143" s="116">
        <f t="shared" si="12"/>
        <v>0.1353874777</v>
      </c>
      <c r="AE143" s="114">
        <f t="shared" si="13"/>
        <v>11697.47808</v>
      </c>
      <c r="AF143" s="116">
        <f t="shared" si="14"/>
        <v>0.137139285</v>
      </c>
      <c r="AG143" s="114">
        <f t="shared" si="15"/>
        <v>11848.83422</v>
      </c>
      <c r="AH143" s="113" t="str">
        <f t="shared" si="16"/>
        <v>no</v>
      </c>
      <c r="AI143" s="115">
        <f t="shared" si="17"/>
        <v>0</v>
      </c>
      <c r="AJ143" s="113">
        <f t="shared" si="36"/>
        <v>0</v>
      </c>
      <c r="AK143" s="116">
        <f t="shared" si="18"/>
        <v>0</v>
      </c>
      <c r="AL143" s="113">
        <f t="shared" si="19"/>
        <v>0</v>
      </c>
      <c r="AM143" s="115">
        <f t="shared" si="20"/>
        <v>0</v>
      </c>
      <c r="AN143" s="85">
        <f t="shared" si="21"/>
        <v>0</v>
      </c>
      <c r="AO143" s="113" t="str">
        <f t="shared" si="22"/>
        <v>no</v>
      </c>
      <c r="AP143" s="115">
        <f t="shared" si="23"/>
        <v>0</v>
      </c>
      <c r="AQ143" s="113">
        <f t="shared" si="37"/>
        <v>0</v>
      </c>
      <c r="AR143" s="116">
        <f t="shared" si="24"/>
        <v>0</v>
      </c>
      <c r="AS143" s="113">
        <f t="shared" si="25"/>
        <v>0</v>
      </c>
      <c r="AT143" s="116">
        <f t="shared" si="26"/>
        <v>0</v>
      </c>
      <c r="AU143" s="113">
        <f t="shared" si="27"/>
        <v>0</v>
      </c>
      <c r="AV143" s="113" t="str">
        <f t="shared" si="28"/>
        <v>no</v>
      </c>
      <c r="AW143" s="115">
        <f t="shared" si="29"/>
        <v>0</v>
      </c>
      <c r="AX143" s="85">
        <f t="shared" si="38"/>
        <v>0</v>
      </c>
      <c r="AY143" s="116">
        <f t="shared" si="30"/>
        <v>0</v>
      </c>
      <c r="AZ143" s="113">
        <f t="shared" si="31"/>
        <v>0</v>
      </c>
      <c r="BA143" s="116">
        <f t="shared" si="32"/>
        <v>0</v>
      </c>
      <c r="BB143" s="113">
        <f t="shared" si="33"/>
        <v>0</v>
      </c>
      <c r="BC143" s="112">
        <v>0.2712603567871661</v>
      </c>
      <c r="BD143" s="113" t="str">
        <f>ifs(BC143&lt;='Range Tables'!$G$81,'Range Tables'!$B$81,BC143&lt;='Range Tables'!$G$82,'Range Tables'!$B$82)</f>
        <v>Online*</v>
      </c>
      <c r="BE143" s="112">
        <v>0.6104100237941759</v>
      </c>
      <c r="BF143" s="112" t="str">
        <f>ifs(BE143&lt;='Range Tables'!$G$95,'Range Tables'!$B$95,BE143&lt;='Range Tables'!$G$96,'Range Tables'!$B$96,BE143&lt;='Range Tables'!$G$97,'Range Tables'!$B$97,BE143&lt;='Range Tables'!$G$98,'Range Tables'!$B$98,BE143&lt;='Range Tables'!$G$99,'Range Tables'!$B$99,BE143&lt;='Range Tables'!$G$100,'Range Tables'!$B$100,BE143&lt;='Range Tables'!$G$101,'Range Tables'!$B$101,BE143&lt;='Range Tables'!$G$102,'Range Tables'!$B$102,BE143&lt;='Range Tables'!$G$103,'Range Tables'!$B$103)</f>
        <v>Jammu</v>
      </c>
      <c r="BG143" s="112">
        <v>0.3013000822575357</v>
      </c>
      <c r="BH143" s="113" t="str">
        <f>ifs(BG143&lt;='Range Tables'!$G$112,'Range Tables'!$B$112,BG143&lt;='Range Tables'!$G$113,'Range Tables'!$B$113,BG143&lt;='Range Tables'!$G$114,'Range Tables'!$B$114)</f>
        <v>0</v>
      </c>
      <c r="BI143" s="117">
        <v>0.4746395824842615</v>
      </c>
      <c r="BJ143" s="113" t="str">
        <f>ifs(BI143&lt;='Range Tables'!$G$118,'Range Tables'!$B$118,BI143&lt;='Range Tables'!$G$119,'Range Tables'!$B$119)</f>
        <v>Valid</v>
      </c>
    </row>
    <row r="144">
      <c r="A144" s="85">
        <v>141.0</v>
      </c>
      <c r="B144" s="112">
        <v>0.4469998585373671</v>
      </c>
      <c r="C144" s="113" t="str">
        <f>ifs(B144&lt;='Range Tables'!$G$54,'Range Tables'!$B$54,B144&lt;='Range Tables'!$G$55,'Range Tables'!$B$55,B144&lt;='Range Tables'!$G$56,'Range Tables'!$B$56,B144&lt;='Range Tables'!$G$57,'Range Tables'!$B$57,B144&lt;='Range Tables'!$G$58,'Range Tables'!$B$58,B144&lt;='Range Tables'!$G$59,'Range Tables'!$B$59,B144&lt;='Range Tables'!$G$60,'Range Tables'!$B$60,B144&lt;='Range Tables'!$G$61,'Range Tables'!$B$61,B144&lt;='Range Tables'!$G$63,'Range Tables'!$B$63,B144&lt;='Range Tables'!$G$64,'Range Tables'!$B$64,B144&lt;='Range Tables'!$G$66,'Range Tables'!$B$66)</f>
        <v>30 - 60 </v>
      </c>
      <c r="D144" s="113">
        <f>IFERROR(__xludf.DUMMYFUNCTION("SPLIT(C144,""-"")"),30.0)</f>
        <v>30</v>
      </c>
      <c r="E144" s="113">
        <f>IFERROR(__xludf.DUMMYFUNCTION("""COMPUTED_VALUE"""),60.0)</f>
        <v>60</v>
      </c>
      <c r="F144" s="114">
        <f t="shared" si="40"/>
        <v>43.40999576</v>
      </c>
      <c r="G144" s="112">
        <v>0.013452179780101603</v>
      </c>
      <c r="H144" s="113" t="str">
        <f>ifs(G144&lt;='Range Tables'!$G$86,'Range Tables'!$B$86,G144&lt;='Range Tables'!$G$87,'Range Tables'!$B$87,G144&lt;='Range Tables'!$G$88,'Range Tables'!$B$88,G144&lt;='Range Tables'!$G$89,'Range Tables'!$B$89,G144&lt;='Range Tables'!$G$90,'Range Tables'!$B$90,G144&lt;='Range Tables'!$G$91,'Range Tables'!$B$91)</f>
        <v>Car</v>
      </c>
      <c r="I144" s="112">
        <v>0.5091749736565325</v>
      </c>
      <c r="J144" s="113" t="str">
        <f>IFS(
  H144="Car", IF(I144&lt;='Range Tables'!$G$19, 'Range Tables'!$B$19, 'Range Tables'!$B$20), 
  H144="Bike", IF(I144&lt;='Range Tables'!$G$25, 'Range Tables'!$B$25, 'Range Tables'!$B$26), 
  H144="Scooter", IF(I144&lt;='Range Tables'!$G$31, 'Range Tables'!$B$31, 'Range Tables'!$B$32), 
  H144="Auto", IF(I144&lt;='Range Tables'!$G$37, 'Range Tables'!$B$37, 'Range Tables'!$B$38), 
  H144="Carriers*", IF(I144&lt;='Range Tables'!$G$43, 'Range Tables'!$B$43, 'Range Tables'!$B$44), 
  H144="Van*", IF(I144&lt;='Range Tables'!$G$50, 'Range Tables'!$B$50, 'Range Tables'!$B$49)
)</f>
        <v>Petrol</v>
      </c>
      <c r="K144" s="112">
        <v>0.8808503619375282</v>
      </c>
      <c r="L144" s="113">
        <f>if(J144="Petrol",ifs(K144&lt;='Range Tables'!$G$5,'Range Tables'!$B$5,K144&lt;='Range Tables'!$G$6,'Range Tables'!$B$6,K144&lt;='Range Tables'!$G$7,'Range Tables'!$B$7),ifs(K144&lt;='Range Tables'!$G$13,'Range Tables'!$B$13,K144&lt;='Range Tables'!$G$14,'Range Tables'!$B$14))</f>
        <v>4</v>
      </c>
      <c r="M144" s="112">
        <v>0.7708993257119463</v>
      </c>
      <c r="N144" s="113" t="str">
        <f>ifs(H144="Car",ifs(M144&lt;='Range Tables'!$G$125,'Range Tables'!$B$125,M144&lt;='Range Tables'!$G$126,'Range Tables'!$B$126,M144&lt;='Range Tables'!$G$127,'Range Tables'!$B$127,M144&lt;='Range Tables'!$G$128,'Range Tables'!$B$128,M144&lt;='Range Tables'!$G$129,'Range Tables'!$B$129,'Range Tables'!$G$131,'Range Tables'!$B$131),H144="Bike",ifs(M144&lt;='Range Tables'!$G$136,'Range Tables'!$B$136,M144&lt;='Range Tables'!$G$137,'Range Tables'!$B$137,M144&lt;='Range Tables'!$G$138,'Range Tables'!$B$138,M144&lt;='Range Tables'!$G$142,'Range Tables'!$B$142),H144="Scooter",ifs(M144&lt;='Range Tables'!$G$148,'Range Tables'!$B$148,M144&lt;='Range Tables'!$G$149,'Range Tables'!$B$149,M144&lt;='Range Tables'!$G$150,'Range Tables'!$B$150,M144&lt;='Range Tables'!$G$151,'Range Tables'!$B$151),H144="Auto",ifs(M144&lt;='Range Tables'!$G$161,'Range Tables'!$B$161,M144&lt;='Range Tables'!$G$162,'Range Tables'!$B$162,M144&lt;='Range Tables'!$G$163,'Range Tables'!$B$163,M144&lt;='Range Tables'!$G$164,'Range Tables'!$B$164),H144="Carriers*",ifs(M144&lt;='Range Tables'!$G$173,'Range Tables'!$B$173,M144&lt;='Range Tables'!$G$174,'Range Tables'!$B$174,M144&lt;='Range Tables'!$G$175,'Range Tables'!$B$175,M144&lt;='Range Tables'!$G$176,'Range Tables'!$B$176,M144&lt;='Range Tables'!$G$177,'Range Tables'!$B$177,M144&lt;='Range Tables'!$G$179,'Range Tables'!$B$179),H144="Van*",ifs(M144&lt;='Range Tables'!$G$186,'Range Tables'!$B$186))</f>
        <v>120 - 180</v>
      </c>
      <c r="O144" s="113">
        <f>IFERROR(__xludf.DUMMYFUNCTION("SPLIT(N144,""-"")"),120.0)</f>
        <v>120</v>
      </c>
      <c r="P144" s="113">
        <f>IFERROR(__xludf.DUMMYFUNCTION("""COMPUTED_VALUE"""),180.0)</f>
        <v>180</v>
      </c>
      <c r="Q144" s="114">
        <f t="shared" si="2"/>
        <v>166.2539595</v>
      </c>
      <c r="R144" s="115">
        <f t="shared" si="3"/>
        <v>0.1344559156</v>
      </c>
      <c r="S144" s="114">
        <f t="shared" si="39"/>
        <v>11616.99111</v>
      </c>
      <c r="T144" s="113" t="str">
        <f t="shared" si="4"/>
        <v>no</v>
      </c>
      <c r="U144" s="115">
        <f t="shared" si="5"/>
        <v>0</v>
      </c>
      <c r="V144" s="113">
        <f t="shared" si="34"/>
        <v>0</v>
      </c>
      <c r="W144" s="115">
        <f t="shared" si="6"/>
        <v>0</v>
      </c>
      <c r="X144" s="85">
        <f t="shared" si="7"/>
        <v>0</v>
      </c>
      <c r="Y144" s="116">
        <f t="shared" si="8"/>
        <v>0</v>
      </c>
      <c r="Z144" s="113">
        <f t="shared" si="9"/>
        <v>0</v>
      </c>
      <c r="AA144" s="113" t="str">
        <f t="shared" si="10"/>
        <v>no</v>
      </c>
      <c r="AB144" s="115">
        <f t="shared" si="11"/>
        <v>0</v>
      </c>
      <c r="AC144" s="113">
        <f t="shared" si="35"/>
        <v>0</v>
      </c>
      <c r="AD144" s="116">
        <f t="shared" si="12"/>
        <v>0</v>
      </c>
      <c r="AE144" s="113">
        <f t="shared" si="13"/>
        <v>0</v>
      </c>
      <c r="AF144" s="116">
        <f t="shared" si="14"/>
        <v>0</v>
      </c>
      <c r="AG144" s="113">
        <f t="shared" si="15"/>
        <v>0</v>
      </c>
      <c r="AH144" s="113" t="str">
        <f t="shared" si="16"/>
        <v>no</v>
      </c>
      <c r="AI144" s="115">
        <f t="shared" si="17"/>
        <v>0</v>
      </c>
      <c r="AJ144" s="113">
        <f t="shared" si="36"/>
        <v>0</v>
      </c>
      <c r="AK144" s="116">
        <f t="shared" si="18"/>
        <v>0</v>
      </c>
      <c r="AL144" s="113">
        <f t="shared" si="19"/>
        <v>0</v>
      </c>
      <c r="AM144" s="115">
        <f t="shared" si="20"/>
        <v>0</v>
      </c>
      <c r="AN144" s="85">
        <f t="shared" si="21"/>
        <v>0</v>
      </c>
      <c r="AO144" s="113" t="str">
        <f t="shared" si="22"/>
        <v>yes</v>
      </c>
      <c r="AP144" s="115">
        <f t="shared" si="23"/>
        <v>0</v>
      </c>
      <c r="AQ144" s="113">
        <f t="shared" si="37"/>
        <v>0</v>
      </c>
      <c r="AR144" s="116">
        <f t="shared" si="24"/>
        <v>0.1344559156</v>
      </c>
      <c r="AS144" s="114">
        <f t="shared" si="25"/>
        <v>11616.99111</v>
      </c>
      <c r="AT144" s="116">
        <f t="shared" si="26"/>
        <v>0.1363801513</v>
      </c>
      <c r="AU144" s="114">
        <f t="shared" si="27"/>
        <v>11783.24507</v>
      </c>
      <c r="AV144" s="113" t="str">
        <f t="shared" si="28"/>
        <v>no</v>
      </c>
      <c r="AW144" s="115">
        <f t="shared" si="29"/>
        <v>0</v>
      </c>
      <c r="AX144" s="85">
        <f t="shared" si="38"/>
        <v>0</v>
      </c>
      <c r="AY144" s="116">
        <f t="shared" si="30"/>
        <v>0</v>
      </c>
      <c r="AZ144" s="113">
        <f t="shared" si="31"/>
        <v>0</v>
      </c>
      <c r="BA144" s="116">
        <f t="shared" si="32"/>
        <v>0</v>
      </c>
      <c r="BB144" s="113">
        <f t="shared" si="33"/>
        <v>0</v>
      </c>
      <c r="BC144" s="112">
        <v>0.28140972238489115</v>
      </c>
      <c r="BD144" s="113" t="str">
        <f>ifs(BC144&lt;='Range Tables'!$G$81,'Range Tables'!$B$81,BC144&lt;='Range Tables'!$G$82,'Range Tables'!$B$82)</f>
        <v>Online*</v>
      </c>
      <c r="BE144" s="112">
        <v>0.4271537265730071</v>
      </c>
      <c r="BF144" s="112" t="str">
        <f>ifs(BE144&lt;='Range Tables'!$G$95,'Range Tables'!$B$95,BE144&lt;='Range Tables'!$G$96,'Range Tables'!$B$96,BE144&lt;='Range Tables'!$G$97,'Range Tables'!$B$97,BE144&lt;='Range Tables'!$G$98,'Range Tables'!$B$98,BE144&lt;='Range Tables'!$G$99,'Range Tables'!$B$99,BE144&lt;='Range Tables'!$G$100,'Range Tables'!$B$100,BE144&lt;='Range Tables'!$G$101,'Range Tables'!$B$101,BE144&lt;='Range Tables'!$G$102,'Range Tables'!$B$102,BE144&lt;='Range Tables'!$G$103,'Range Tables'!$B$103)</f>
        <v>Jammu</v>
      </c>
      <c r="BG144" s="112">
        <v>0.7953326363933794</v>
      </c>
      <c r="BH144" s="113" t="str">
        <f>ifs(BG144&lt;='Range Tables'!$G$112,'Range Tables'!$B$112,BG144&lt;='Range Tables'!$G$113,'Range Tables'!$B$113,BG144&lt;='Range Tables'!$G$114,'Range Tables'!$B$114)</f>
        <v>1-5</v>
      </c>
      <c r="BI144" s="117">
        <v>0.5688235848656245</v>
      </c>
      <c r="BJ144" s="113" t="str">
        <f>ifs(BI144&lt;='Range Tables'!$G$118,'Range Tables'!$B$118,BI144&lt;='Range Tables'!$G$119,'Range Tables'!$B$119)</f>
        <v>Valid</v>
      </c>
    </row>
    <row r="145">
      <c r="A145" s="85">
        <v>142.0</v>
      </c>
      <c r="B145" s="112">
        <v>0.6693649440682199</v>
      </c>
      <c r="C145" s="113" t="str">
        <f>ifs(B145&lt;='Range Tables'!$G$54,'Range Tables'!$B$54,B145&lt;='Range Tables'!$G$55,'Range Tables'!$B$55,B145&lt;='Range Tables'!$G$56,'Range Tables'!$B$56,B145&lt;='Range Tables'!$G$57,'Range Tables'!$B$57,B145&lt;='Range Tables'!$G$58,'Range Tables'!$B$58,B145&lt;='Range Tables'!$G$59,'Range Tables'!$B$59,B145&lt;='Range Tables'!$G$60,'Range Tables'!$B$60,B145&lt;='Range Tables'!$G$61,'Range Tables'!$B$61,B145&lt;='Range Tables'!$G$63,'Range Tables'!$B$63,B145&lt;='Range Tables'!$G$64,'Range Tables'!$B$64,B145&lt;='Range Tables'!$G$66,'Range Tables'!$B$66)</f>
        <v>60 - 90</v>
      </c>
      <c r="D145" s="113">
        <f>IFERROR(__xludf.DUMMYFUNCTION("SPLIT(C145,""-"")"),60.0)</f>
        <v>60</v>
      </c>
      <c r="E145" s="113">
        <f>IFERROR(__xludf.DUMMYFUNCTION("""COMPUTED_VALUE"""),90.0)</f>
        <v>90</v>
      </c>
      <c r="F145" s="114">
        <f t="shared" si="40"/>
        <v>80.08094832</v>
      </c>
      <c r="G145" s="112">
        <v>0.4916435224740229</v>
      </c>
      <c r="H145" s="113" t="str">
        <f>ifs(G145&lt;='Range Tables'!$G$86,'Range Tables'!$B$86,G145&lt;='Range Tables'!$G$87,'Range Tables'!$B$87,G145&lt;='Range Tables'!$G$88,'Range Tables'!$B$88,G145&lt;='Range Tables'!$G$89,'Range Tables'!$B$89,G145&lt;='Range Tables'!$G$90,'Range Tables'!$B$90,G145&lt;='Range Tables'!$G$91,'Range Tables'!$B$91)</f>
        <v>Bike</v>
      </c>
      <c r="I145" s="112">
        <v>0.6804220540870902</v>
      </c>
      <c r="J145" s="113" t="str">
        <f>IFS(
  H145="Car", IF(I145&lt;='Range Tables'!$G$19, 'Range Tables'!$B$19, 'Range Tables'!$B$20), 
  H145="Bike", IF(I145&lt;='Range Tables'!$G$25, 'Range Tables'!$B$25, 'Range Tables'!$B$26), 
  H145="Scooter", IF(I145&lt;='Range Tables'!$G$31, 'Range Tables'!$B$31, 'Range Tables'!$B$32), 
  H145="Auto", IF(I145&lt;='Range Tables'!$G$37, 'Range Tables'!$B$37, 'Range Tables'!$B$38), 
  H145="Carriers*", IF(I145&lt;='Range Tables'!$G$43, 'Range Tables'!$B$43, 'Range Tables'!$B$44), 
  H145="Van*", IF(I145&lt;='Range Tables'!$G$50, 'Range Tables'!$B$50, 'Range Tables'!$B$49)
)</f>
        <v>Petrol</v>
      </c>
      <c r="K145" s="112">
        <v>0.3975028955466948</v>
      </c>
      <c r="L145" s="113">
        <f>if(J145="Petrol",ifs(K145&lt;='Range Tables'!$G$5,'Range Tables'!$B$5,K145&lt;='Range Tables'!$G$6,'Range Tables'!$B$6,K145&lt;='Range Tables'!$G$7,'Range Tables'!$B$7),ifs(K145&lt;='Range Tables'!$G$13,'Range Tables'!$B$13,K145&lt;='Range Tables'!$G$14,'Range Tables'!$B$14))</f>
        <v>2</v>
      </c>
      <c r="M145" s="112">
        <v>0.9062155310758825</v>
      </c>
      <c r="N145" s="113" t="str">
        <f>ifs(H145="Car",ifs(M145&lt;='Range Tables'!$G$125,'Range Tables'!$B$125,M145&lt;='Range Tables'!$G$126,'Range Tables'!$B$126,M145&lt;='Range Tables'!$G$127,'Range Tables'!$B$127,M145&lt;='Range Tables'!$G$128,'Range Tables'!$B$128,M145&lt;='Range Tables'!$G$129,'Range Tables'!$B$129,'Range Tables'!$G$131,'Range Tables'!$B$131),H145="Bike",ifs(M145&lt;='Range Tables'!$G$136,'Range Tables'!$B$136,M145&lt;='Range Tables'!$G$137,'Range Tables'!$B$137,M145&lt;='Range Tables'!$G$138,'Range Tables'!$B$138,M145&lt;='Range Tables'!$G$142,'Range Tables'!$B$142),H145="Scooter",ifs(M145&lt;='Range Tables'!$G$148,'Range Tables'!$B$148,M145&lt;='Range Tables'!$G$149,'Range Tables'!$B$149,M145&lt;='Range Tables'!$G$150,'Range Tables'!$B$150,M145&lt;='Range Tables'!$G$151,'Range Tables'!$B$151),H145="Auto",ifs(M145&lt;='Range Tables'!$G$161,'Range Tables'!$B$161,M145&lt;='Range Tables'!$G$162,'Range Tables'!$B$162,M145&lt;='Range Tables'!$G$163,'Range Tables'!$B$163,M145&lt;='Range Tables'!$G$164,'Range Tables'!$B$164),H145="Carriers*",ifs(M145&lt;='Range Tables'!$G$173,'Range Tables'!$B$173,M145&lt;='Range Tables'!$G$174,'Range Tables'!$B$174,M145&lt;='Range Tables'!$G$175,'Range Tables'!$B$175,M145&lt;='Range Tables'!$G$176,'Range Tables'!$B$176,M145&lt;='Range Tables'!$G$177,'Range Tables'!$B$177,M145&lt;='Range Tables'!$G$179,'Range Tables'!$B$179),H145="Van*",ifs(M145&lt;='Range Tables'!$G$186,'Range Tables'!$B$186))</f>
        <v>120 - 180</v>
      </c>
      <c r="O145" s="113">
        <f>IFERROR(__xludf.DUMMYFUNCTION("SPLIT(N145,""-"")"),120.0)</f>
        <v>120</v>
      </c>
      <c r="P145" s="113">
        <f>IFERROR(__xludf.DUMMYFUNCTION("""COMPUTED_VALUE"""),180.0)</f>
        <v>180</v>
      </c>
      <c r="Q145" s="114">
        <f t="shared" si="2"/>
        <v>174.3729319</v>
      </c>
      <c r="R145" s="115">
        <f t="shared" si="3"/>
        <v>0.1349583461</v>
      </c>
      <c r="S145" s="114">
        <f t="shared" si="39"/>
        <v>11660.4011</v>
      </c>
      <c r="T145" s="113" t="str">
        <f t="shared" si="4"/>
        <v>no</v>
      </c>
      <c r="U145" s="115">
        <f t="shared" si="5"/>
        <v>0</v>
      </c>
      <c r="V145" s="113">
        <f t="shared" si="34"/>
        <v>0</v>
      </c>
      <c r="W145" s="115">
        <f t="shared" si="6"/>
        <v>0</v>
      </c>
      <c r="X145" s="85">
        <f t="shared" si="7"/>
        <v>0</v>
      </c>
      <c r="Y145" s="116">
        <f t="shared" si="8"/>
        <v>0</v>
      </c>
      <c r="Z145" s="113">
        <f t="shared" si="9"/>
        <v>0</v>
      </c>
      <c r="AA145" s="113" t="str">
        <f t="shared" si="10"/>
        <v>yes</v>
      </c>
      <c r="AB145" s="115">
        <f t="shared" si="11"/>
        <v>0</v>
      </c>
      <c r="AC145" s="113">
        <f t="shared" si="35"/>
        <v>0</v>
      </c>
      <c r="AD145" s="116">
        <f t="shared" si="12"/>
        <v>0.1349583461</v>
      </c>
      <c r="AE145" s="114">
        <f t="shared" si="13"/>
        <v>11660.4011</v>
      </c>
      <c r="AF145" s="116">
        <f t="shared" si="14"/>
        <v>0.1369765514</v>
      </c>
      <c r="AG145" s="114">
        <f t="shared" si="15"/>
        <v>11834.77404</v>
      </c>
      <c r="AH145" s="113" t="str">
        <f t="shared" si="16"/>
        <v>no</v>
      </c>
      <c r="AI145" s="115">
        <f t="shared" si="17"/>
        <v>0</v>
      </c>
      <c r="AJ145" s="113">
        <f t="shared" si="36"/>
        <v>0</v>
      </c>
      <c r="AK145" s="116">
        <f t="shared" si="18"/>
        <v>0</v>
      </c>
      <c r="AL145" s="113">
        <f t="shared" si="19"/>
        <v>0</v>
      </c>
      <c r="AM145" s="115">
        <f t="shared" si="20"/>
        <v>0</v>
      </c>
      <c r="AN145" s="85">
        <f t="shared" si="21"/>
        <v>0</v>
      </c>
      <c r="AO145" s="113" t="str">
        <f t="shared" si="22"/>
        <v>no</v>
      </c>
      <c r="AP145" s="115">
        <f t="shared" si="23"/>
        <v>0</v>
      </c>
      <c r="AQ145" s="113">
        <f t="shared" si="37"/>
        <v>0</v>
      </c>
      <c r="AR145" s="116">
        <f t="shared" si="24"/>
        <v>0</v>
      </c>
      <c r="AS145" s="113">
        <f t="shared" si="25"/>
        <v>0</v>
      </c>
      <c r="AT145" s="116">
        <f t="shared" si="26"/>
        <v>0</v>
      </c>
      <c r="AU145" s="113">
        <f t="shared" si="27"/>
        <v>0</v>
      </c>
      <c r="AV145" s="113" t="str">
        <f t="shared" si="28"/>
        <v>no</v>
      </c>
      <c r="AW145" s="115">
        <f t="shared" si="29"/>
        <v>0</v>
      </c>
      <c r="AX145" s="85">
        <f t="shared" si="38"/>
        <v>0</v>
      </c>
      <c r="AY145" s="116">
        <f t="shared" si="30"/>
        <v>0</v>
      </c>
      <c r="AZ145" s="113">
        <f t="shared" si="31"/>
        <v>0</v>
      </c>
      <c r="BA145" s="116">
        <f t="shared" si="32"/>
        <v>0</v>
      </c>
      <c r="BB145" s="113">
        <f t="shared" si="33"/>
        <v>0</v>
      </c>
      <c r="BC145" s="112">
        <v>0.006132503186141669</v>
      </c>
      <c r="BD145" s="113" t="str">
        <f>ifs(BC145&lt;='Range Tables'!$G$81,'Range Tables'!$B$81,BC145&lt;='Range Tables'!$G$82,'Range Tables'!$B$82)</f>
        <v>Online*</v>
      </c>
      <c r="BE145" s="112">
        <v>0.36150631492857854</v>
      </c>
      <c r="BF145" s="112" t="str">
        <f>ifs(BE145&lt;='Range Tables'!$G$95,'Range Tables'!$B$95,BE145&lt;='Range Tables'!$G$96,'Range Tables'!$B$96,BE145&lt;='Range Tables'!$G$97,'Range Tables'!$B$97,BE145&lt;='Range Tables'!$G$98,'Range Tables'!$B$98,BE145&lt;='Range Tables'!$G$99,'Range Tables'!$B$99,BE145&lt;='Range Tables'!$G$100,'Range Tables'!$B$100,BE145&lt;='Range Tables'!$G$101,'Range Tables'!$B$101,BE145&lt;='Range Tables'!$G$102,'Range Tables'!$B$102,BE145&lt;='Range Tables'!$G$103,'Range Tables'!$B$103)</f>
        <v>Jammu</v>
      </c>
      <c r="BG145" s="112">
        <v>0.7569862335123445</v>
      </c>
      <c r="BH145" s="113" t="str">
        <f>ifs(BG145&lt;='Range Tables'!$G$112,'Range Tables'!$B$112,BG145&lt;='Range Tables'!$G$113,'Range Tables'!$B$113,BG145&lt;='Range Tables'!$G$114,'Range Tables'!$B$114)</f>
        <v>0</v>
      </c>
      <c r="BI145" s="117">
        <v>0.963452696249671</v>
      </c>
      <c r="BJ145" s="113" t="str">
        <f>ifs(BI145&lt;='Range Tables'!$G$118,'Range Tables'!$B$118,BI145&lt;='Range Tables'!$G$119,'Range Tables'!$B$119)</f>
        <v>Expired</v>
      </c>
    </row>
    <row r="146">
      <c r="A146" s="85">
        <v>143.0</v>
      </c>
      <c r="B146" s="112">
        <v>0.04740030980740573</v>
      </c>
      <c r="C146" s="113" t="str">
        <f>ifs(B146&lt;='Range Tables'!$G$54,'Range Tables'!$B$54,B146&lt;='Range Tables'!$G$55,'Range Tables'!$B$55,B146&lt;='Range Tables'!$G$56,'Range Tables'!$B$56,B146&lt;='Range Tables'!$G$57,'Range Tables'!$B$57,B146&lt;='Range Tables'!$G$58,'Range Tables'!$B$58,B146&lt;='Range Tables'!$G$59,'Range Tables'!$B$59,B146&lt;='Range Tables'!$G$60,'Range Tables'!$B$60,B146&lt;='Range Tables'!$G$61,'Range Tables'!$B$61,B146&lt;='Range Tables'!$G$63,'Range Tables'!$B$63,B146&lt;='Range Tables'!$G$64,'Range Tables'!$B$64,B146&lt;='Range Tables'!$G$66,'Range Tables'!$B$66)</f>
        <v>0 - 30</v>
      </c>
      <c r="D146" s="113">
        <f>IFERROR(__xludf.DUMMYFUNCTION("SPLIT(C146,""-"")"),0.0)</f>
        <v>0</v>
      </c>
      <c r="E146" s="113">
        <f>IFERROR(__xludf.DUMMYFUNCTION("""COMPUTED_VALUE"""),30.0)</f>
        <v>30</v>
      </c>
      <c r="F146" s="114">
        <f t="shared" si="40"/>
        <v>1.422009294</v>
      </c>
      <c r="G146" s="112">
        <v>0.3615345917153848</v>
      </c>
      <c r="H146" s="113" t="str">
        <f>ifs(G146&lt;='Range Tables'!$G$86,'Range Tables'!$B$86,G146&lt;='Range Tables'!$G$87,'Range Tables'!$B$87,G146&lt;='Range Tables'!$G$88,'Range Tables'!$B$88,G146&lt;='Range Tables'!$G$89,'Range Tables'!$B$89,G146&lt;='Range Tables'!$G$90,'Range Tables'!$B$90,G146&lt;='Range Tables'!$G$91,'Range Tables'!$B$91)</f>
        <v>Car</v>
      </c>
      <c r="I146" s="112">
        <v>0.848336727579347</v>
      </c>
      <c r="J146" s="113" t="str">
        <f>IFS(
  H146="Car", IF(I146&lt;='Range Tables'!$G$19, 'Range Tables'!$B$19, 'Range Tables'!$B$20), 
  H146="Bike", IF(I146&lt;='Range Tables'!$G$25, 'Range Tables'!$B$25, 'Range Tables'!$B$26), 
  H146="Scooter", IF(I146&lt;='Range Tables'!$G$31, 'Range Tables'!$B$31, 'Range Tables'!$B$32), 
  H146="Auto", IF(I146&lt;='Range Tables'!$G$37, 'Range Tables'!$B$37, 'Range Tables'!$B$38), 
  H146="Carriers*", IF(I146&lt;='Range Tables'!$G$43, 'Range Tables'!$B$43, 'Range Tables'!$B$44), 
  H146="Van*", IF(I146&lt;='Range Tables'!$G$50, 'Range Tables'!$B$50, 'Range Tables'!$B$49)
)</f>
        <v>Petrol</v>
      </c>
      <c r="K146" s="112">
        <v>0.83718755577287</v>
      </c>
      <c r="L146" s="113">
        <f>if(J146="Petrol",ifs(K146&lt;='Range Tables'!$G$5,'Range Tables'!$B$5,K146&lt;='Range Tables'!$G$6,'Range Tables'!$B$6,K146&lt;='Range Tables'!$G$7,'Range Tables'!$B$7),ifs(K146&lt;='Range Tables'!$G$13,'Range Tables'!$B$13,K146&lt;='Range Tables'!$G$14,'Range Tables'!$B$14))</f>
        <v>3</v>
      </c>
      <c r="M146" s="112">
        <v>0.9413295970994865</v>
      </c>
      <c r="N146" s="113" t="str">
        <f>ifs(H146="Car",ifs(M146&lt;='Range Tables'!$G$125,'Range Tables'!$B$125,M146&lt;='Range Tables'!$G$126,'Range Tables'!$B$126,M146&lt;='Range Tables'!$G$127,'Range Tables'!$B$127,M146&lt;='Range Tables'!$G$128,'Range Tables'!$B$128,M146&lt;='Range Tables'!$G$129,'Range Tables'!$B$129,'Range Tables'!$G$131,'Range Tables'!$B$131),H146="Bike",ifs(M146&lt;='Range Tables'!$G$136,'Range Tables'!$B$136,M146&lt;='Range Tables'!$G$137,'Range Tables'!$B$137,M146&lt;='Range Tables'!$G$138,'Range Tables'!$B$138,M146&lt;='Range Tables'!$G$142,'Range Tables'!$B$142),H146="Scooter",ifs(M146&lt;='Range Tables'!$G$148,'Range Tables'!$B$148,M146&lt;='Range Tables'!$G$149,'Range Tables'!$B$149,M146&lt;='Range Tables'!$G$150,'Range Tables'!$B$150,M146&lt;='Range Tables'!$G$151,'Range Tables'!$B$151),H146="Auto",ifs(M146&lt;='Range Tables'!$G$161,'Range Tables'!$B$161,M146&lt;='Range Tables'!$G$162,'Range Tables'!$B$162,M146&lt;='Range Tables'!$G$163,'Range Tables'!$B$163,M146&lt;='Range Tables'!$G$164,'Range Tables'!$B$164),H146="Carriers*",ifs(M146&lt;='Range Tables'!$G$173,'Range Tables'!$B$173,M146&lt;='Range Tables'!$G$174,'Range Tables'!$B$174,M146&lt;='Range Tables'!$G$175,'Range Tables'!$B$175,M146&lt;='Range Tables'!$G$176,'Range Tables'!$B$176,M146&lt;='Range Tables'!$G$177,'Range Tables'!$B$177,M146&lt;='Range Tables'!$G$179,'Range Tables'!$B$179),H146="Van*",ifs(M146&lt;='Range Tables'!$G$186,'Range Tables'!$B$186))</f>
        <v>300 - 360</v>
      </c>
      <c r="O146" s="113">
        <f>IFERROR(__xludf.DUMMYFUNCTION("SPLIT(N146,""-"")"),300.0)</f>
        <v>300</v>
      </c>
      <c r="P146" s="113">
        <f>IFERROR(__xludf.DUMMYFUNCTION("""COMPUTED_VALUE"""),360.0)</f>
        <v>360</v>
      </c>
      <c r="Q146" s="114">
        <f t="shared" si="2"/>
        <v>356.4797758</v>
      </c>
      <c r="R146" s="115">
        <f t="shared" si="3"/>
        <v>0.135885209</v>
      </c>
      <c r="S146" s="114">
        <f t="shared" si="39"/>
        <v>11740.48205</v>
      </c>
      <c r="T146" s="113" t="str">
        <f t="shared" si="4"/>
        <v>no</v>
      </c>
      <c r="U146" s="115">
        <f t="shared" si="5"/>
        <v>0</v>
      </c>
      <c r="V146" s="113">
        <f t="shared" si="34"/>
        <v>0</v>
      </c>
      <c r="W146" s="115">
        <f t="shared" si="6"/>
        <v>0</v>
      </c>
      <c r="X146" s="85">
        <f t="shared" si="7"/>
        <v>0</v>
      </c>
      <c r="Y146" s="116">
        <f t="shared" si="8"/>
        <v>0</v>
      </c>
      <c r="Z146" s="113">
        <f t="shared" si="9"/>
        <v>0</v>
      </c>
      <c r="AA146" s="113" t="str">
        <f t="shared" si="10"/>
        <v>no</v>
      </c>
      <c r="AB146" s="115">
        <f t="shared" si="11"/>
        <v>0</v>
      </c>
      <c r="AC146" s="113">
        <f t="shared" si="35"/>
        <v>0</v>
      </c>
      <c r="AD146" s="116">
        <f t="shared" si="12"/>
        <v>0</v>
      </c>
      <c r="AE146" s="113">
        <f t="shared" si="13"/>
        <v>0</v>
      </c>
      <c r="AF146" s="116">
        <f t="shared" si="14"/>
        <v>0</v>
      </c>
      <c r="AG146" s="113">
        <f t="shared" si="15"/>
        <v>0</v>
      </c>
      <c r="AH146" s="113" t="str">
        <f t="shared" si="16"/>
        <v>yes</v>
      </c>
      <c r="AI146" s="115">
        <f t="shared" si="17"/>
        <v>0</v>
      </c>
      <c r="AJ146" s="113">
        <f t="shared" si="36"/>
        <v>0</v>
      </c>
      <c r="AK146" s="116">
        <f t="shared" si="18"/>
        <v>0.135885209</v>
      </c>
      <c r="AL146" s="114">
        <f t="shared" si="19"/>
        <v>11740.48205</v>
      </c>
      <c r="AM146" s="115">
        <f t="shared" si="20"/>
        <v>0.1400111323</v>
      </c>
      <c r="AN146" s="118">
        <f t="shared" si="21"/>
        <v>12096.96183</v>
      </c>
      <c r="AO146" s="113" t="str">
        <f t="shared" si="22"/>
        <v>no</v>
      </c>
      <c r="AP146" s="115">
        <f t="shared" si="23"/>
        <v>0</v>
      </c>
      <c r="AQ146" s="113">
        <f t="shared" si="37"/>
        <v>0</v>
      </c>
      <c r="AR146" s="116">
        <f t="shared" si="24"/>
        <v>0</v>
      </c>
      <c r="AS146" s="113">
        <f t="shared" si="25"/>
        <v>0</v>
      </c>
      <c r="AT146" s="116">
        <f t="shared" si="26"/>
        <v>0</v>
      </c>
      <c r="AU146" s="113">
        <f t="shared" si="27"/>
        <v>0</v>
      </c>
      <c r="AV146" s="113" t="str">
        <f t="shared" si="28"/>
        <v>no</v>
      </c>
      <c r="AW146" s="115">
        <f t="shared" si="29"/>
        <v>0</v>
      </c>
      <c r="AX146" s="85">
        <f t="shared" si="38"/>
        <v>0</v>
      </c>
      <c r="AY146" s="116">
        <f t="shared" si="30"/>
        <v>0</v>
      </c>
      <c r="AZ146" s="113">
        <f t="shared" si="31"/>
        <v>0</v>
      </c>
      <c r="BA146" s="116">
        <f t="shared" si="32"/>
        <v>0</v>
      </c>
      <c r="BB146" s="113">
        <f t="shared" si="33"/>
        <v>0</v>
      </c>
      <c r="BC146" s="112">
        <v>0.2771385672924952</v>
      </c>
      <c r="BD146" s="113" t="str">
        <f>ifs(BC146&lt;='Range Tables'!$G$81,'Range Tables'!$B$81,BC146&lt;='Range Tables'!$G$82,'Range Tables'!$B$82)</f>
        <v>Online*</v>
      </c>
      <c r="BE146" s="112">
        <v>0.6943485423315872</v>
      </c>
      <c r="BF146" s="112" t="str">
        <f>ifs(BE146&lt;='Range Tables'!$G$95,'Range Tables'!$B$95,BE146&lt;='Range Tables'!$G$96,'Range Tables'!$B$96,BE146&lt;='Range Tables'!$G$97,'Range Tables'!$B$97,BE146&lt;='Range Tables'!$G$98,'Range Tables'!$B$98,BE146&lt;='Range Tables'!$G$99,'Range Tables'!$B$99,BE146&lt;='Range Tables'!$G$100,'Range Tables'!$B$100,BE146&lt;='Range Tables'!$G$101,'Range Tables'!$B$101,BE146&lt;='Range Tables'!$G$102,'Range Tables'!$B$102,BE146&lt;='Range Tables'!$G$103,'Range Tables'!$B$103)</f>
        <v>Jammu</v>
      </c>
      <c r="BG146" s="112">
        <v>0.03271528420227743</v>
      </c>
      <c r="BH146" s="113" t="str">
        <f>ifs(BG146&lt;='Range Tables'!$G$112,'Range Tables'!$B$112,BG146&lt;='Range Tables'!$G$113,'Range Tables'!$B$113,BG146&lt;='Range Tables'!$G$114,'Range Tables'!$B$114)</f>
        <v>0</v>
      </c>
      <c r="BI146" s="117">
        <v>0.25382574669963076</v>
      </c>
      <c r="BJ146" s="113" t="str">
        <f>ifs(BI146&lt;='Range Tables'!$G$118,'Range Tables'!$B$118,BI146&lt;='Range Tables'!$G$119,'Range Tables'!$B$119)</f>
        <v>Valid</v>
      </c>
    </row>
    <row r="147">
      <c r="A147" s="85">
        <v>144.0</v>
      </c>
      <c r="B147" s="112">
        <v>0.803945752001359</v>
      </c>
      <c r="C147" s="113" t="str">
        <f>ifs(B147&lt;='Range Tables'!$G$54,'Range Tables'!$B$54,B147&lt;='Range Tables'!$G$55,'Range Tables'!$B$55,B147&lt;='Range Tables'!$G$56,'Range Tables'!$B$56,B147&lt;='Range Tables'!$G$57,'Range Tables'!$B$57,B147&lt;='Range Tables'!$G$58,'Range Tables'!$B$58,B147&lt;='Range Tables'!$G$59,'Range Tables'!$B$59,B147&lt;='Range Tables'!$G$60,'Range Tables'!$B$60,B147&lt;='Range Tables'!$G$61,'Range Tables'!$B$61,B147&lt;='Range Tables'!$G$63,'Range Tables'!$B$63,B147&lt;='Range Tables'!$G$64,'Range Tables'!$B$64,B147&lt;='Range Tables'!$G$66,'Range Tables'!$B$66)</f>
        <v>120 - 150</v>
      </c>
      <c r="D147" s="113">
        <f>IFERROR(__xludf.DUMMYFUNCTION("SPLIT(C147,""-"")"),120.0)</f>
        <v>120</v>
      </c>
      <c r="E147" s="113">
        <f>IFERROR(__xludf.DUMMYFUNCTION("""COMPUTED_VALUE"""),150.0)</f>
        <v>150</v>
      </c>
      <c r="F147" s="114">
        <f t="shared" si="40"/>
        <v>144.1183726</v>
      </c>
      <c r="G147" s="112">
        <v>0.7834239191094493</v>
      </c>
      <c r="H147" s="113" t="str">
        <f>ifs(G147&lt;='Range Tables'!$G$86,'Range Tables'!$B$86,G147&lt;='Range Tables'!$G$87,'Range Tables'!$B$87,G147&lt;='Range Tables'!$G$88,'Range Tables'!$B$88,G147&lt;='Range Tables'!$G$89,'Range Tables'!$B$89,G147&lt;='Range Tables'!$G$90,'Range Tables'!$B$90,G147&lt;='Range Tables'!$G$91,'Range Tables'!$B$91)</f>
        <v>Scooter</v>
      </c>
      <c r="I147" s="112">
        <v>0.9654141727028157</v>
      </c>
      <c r="J147" s="113" t="str">
        <f>IFS(
  H147="Car", IF(I147&lt;='Range Tables'!$G$19, 'Range Tables'!$B$19, 'Range Tables'!$B$20), 
  H147="Bike", IF(I147&lt;='Range Tables'!$G$25, 'Range Tables'!$B$25, 'Range Tables'!$B$26), 
  H147="Scooter", IF(I147&lt;='Range Tables'!$G$31, 'Range Tables'!$B$31, 'Range Tables'!$B$32), 
  H147="Auto", IF(I147&lt;='Range Tables'!$G$37, 'Range Tables'!$B$37, 'Range Tables'!$B$38), 
  H147="Carriers*", IF(I147&lt;='Range Tables'!$G$43, 'Range Tables'!$B$43, 'Range Tables'!$B$44), 
  H147="Van*", IF(I147&lt;='Range Tables'!$G$50, 'Range Tables'!$B$50, 'Range Tables'!$B$49)
)</f>
        <v>Petrol</v>
      </c>
      <c r="K147" s="112">
        <v>0.37411999485216463</v>
      </c>
      <c r="L147" s="113">
        <f>if(J147="Petrol",ifs(K147&lt;='Range Tables'!$G$5,'Range Tables'!$B$5,K147&lt;='Range Tables'!$G$6,'Range Tables'!$B$6,K147&lt;='Range Tables'!$G$7,'Range Tables'!$B$7),ifs(K147&lt;='Range Tables'!$G$13,'Range Tables'!$B$13,K147&lt;='Range Tables'!$G$14,'Range Tables'!$B$14))</f>
        <v>2</v>
      </c>
      <c r="M147" s="112">
        <v>0.5211642179054703</v>
      </c>
      <c r="N147" s="113" t="str">
        <f>ifs(H147="Car",ifs(M147&lt;='Range Tables'!$G$125,'Range Tables'!$B$125,M147&lt;='Range Tables'!$G$126,'Range Tables'!$B$126,M147&lt;='Range Tables'!$G$127,'Range Tables'!$B$127,M147&lt;='Range Tables'!$G$128,'Range Tables'!$B$128,M147&lt;='Range Tables'!$G$129,'Range Tables'!$B$129,'Range Tables'!$G$131,'Range Tables'!$B$131),H147="Bike",ifs(M147&lt;='Range Tables'!$G$136,'Range Tables'!$B$136,M147&lt;='Range Tables'!$G$137,'Range Tables'!$B$137,M147&lt;='Range Tables'!$G$138,'Range Tables'!$B$138,M147&lt;='Range Tables'!$G$142,'Range Tables'!$B$142),H147="Scooter",ifs(M147&lt;='Range Tables'!$G$148,'Range Tables'!$B$148,M147&lt;='Range Tables'!$G$149,'Range Tables'!$B$149,M147&lt;='Range Tables'!$G$150,'Range Tables'!$B$150,M147&lt;='Range Tables'!$G$151,'Range Tables'!$B$151),H147="Auto",ifs(M147&lt;='Range Tables'!$G$161,'Range Tables'!$B$161,M147&lt;='Range Tables'!$G$162,'Range Tables'!$B$162,M147&lt;='Range Tables'!$G$163,'Range Tables'!$B$163,M147&lt;='Range Tables'!$G$164,'Range Tables'!$B$164),H147="Carriers*",ifs(M147&lt;='Range Tables'!$G$173,'Range Tables'!$B$173,M147&lt;='Range Tables'!$G$174,'Range Tables'!$B$174,M147&lt;='Range Tables'!$G$175,'Range Tables'!$B$175,M147&lt;='Range Tables'!$G$176,'Range Tables'!$B$176,M147&lt;='Range Tables'!$G$177,'Range Tables'!$B$177,M147&lt;='Range Tables'!$G$179,'Range Tables'!$B$179),H147="Van*",ifs(M147&lt;='Range Tables'!$G$186,'Range Tables'!$B$186))</f>
        <v>120 - 180</v>
      </c>
      <c r="O147" s="113">
        <f>IFERROR(__xludf.DUMMYFUNCTION("SPLIT(N147,""-"")"),120.0)</f>
        <v>120</v>
      </c>
      <c r="P147" s="113">
        <f>IFERROR(__xludf.DUMMYFUNCTION("""COMPUTED_VALUE"""),180.0)</f>
        <v>180</v>
      </c>
      <c r="Q147" s="114">
        <f t="shared" si="2"/>
        <v>151.2698531</v>
      </c>
      <c r="R147" s="115">
        <f t="shared" si="3"/>
        <v>0.1359016674</v>
      </c>
      <c r="S147" s="114">
        <f t="shared" si="39"/>
        <v>11741.90406</v>
      </c>
      <c r="T147" s="113" t="str">
        <f t="shared" si="4"/>
        <v>no</v>
      </c>
      <c r="U147" s="115">
        <f t="shared" si="5"/>
        <v>0</v>
      </c>
      <c r="V147" s="113">
        <f t="shared" si="34"/>
        <v>0</v>
      </c>
      <c r="W147" s="115">
        <f t="shared" si="6"/>
        <v>0</v>
      </c>
      <c r="X147" s="85">
        <f t="shared" si="7"/>
        <v>0</v>
      </c>
      <c r="Y147" s="116">
        <f t="shared" si="8"/>
        <v>0</v>
      </c>
      <c r="Z147" s="113">
        <f t="shared" si="9"/>
        <v>0</v>
      </c>
      <c r="AA147" s="113" t="str">
        <f t="shared" si="10"/>
        <v>yes</v>
      </c>
      <c r="AB147" s="115">
        <f t="shared" si="11"/>
        <v>0</v>
      </c>
      <c r="AC147" s="113">
        <f t="shared" si="35"/>
        <v>0</v>
      </c>
      <c r="AD147" s="116">
        <f t="shared" si="12"/>
        <v>0.1359016674</v>
      </c>
      <c r="AE147" s="114">
        <f t="shared" si="13"/>
        <v>11741.90406</v>
      </c>
      <c r="AF147" s="116">
        <f t="shared" si="14"/>
        <v>0.1376524759</v>
      </c>
      <c r="AG147" s="114">
        <f t="shared" si="15"/>
        <v>11893.17392</v>
      </c>
      <c r="AH147" s="113" t="str">
        <f t="shared" si="16"/>
        <v>no</v>
      </c>
      <c r="AI147" s="115">
        <f t="shared" si="17"/>
        <v>0</v>
      </c>
      <c r="AJ147" s="113">
        <f t="shared" si="36"/>
        <v>0</v>
      </c>
      <c r="AK147" s="116">
        <f t="shared" si="18"/>
        <v>0</v>
      </c>
      <c r="AL147" s="113">
        <f t="shared" si="19"/>
        <v>0</v>
      </c>
      <c r="AM147" s="115">
        <f t="shared" si="20"/>
        <v>0</v>
      </c>
      <c r="AN147" s="85">
        <f t="shared" si="21"/>
        <v>0</v>
      </c>
      <c r="AO147" s="113" t="str">
        <f t="shared" si="22"/>
        <v>no</v>
      </c>
      <c r="AP147" s="115">
        <f t="shared" si="23"/>
        <v>0</v>
      </c>
      <c r="AQ147" s="113">
        <f t="shared" si="37"/>
        <v>0</v>
      </c>
      <c r="AR147" s="116">
        <f t="shared" si="24"/>
        <v>0</v>
      </c>
      <c r="AS147" s="113">
        <f t="shared" si="25"/>
        <v>0</v>
      </c>
      <c r="AT147" s="116">
        <f t="shared" si="26"/>
        <v>0</v>
      </c>
      <c r="AU147" s="113">
        <f t="shared" si="27"/>
        <v>0</v>
      </c>
      <c r="AV147" s="113" t="str">
        <f t="shared" si="28"/>
        <v>no</v>
      </c>
      <c r="AW147" s="115">
        <f t="shared" si="29"/>
        <v>0</v>
      </c>
      <c r="AX147" s="85">
        <f t="shared" si="38"/>
        <v>0</v>
      </c>
      <c r="AY147" s="116">
        <f t="shared" si="30"/>
        <v>0</v>
      </c>
      <c r="AZ147" s="113">
        <f t="shared" si="31"/>
        <v>0</v>
      </c>
      <c r="BA147" s="116">
        <f t="shared" si="32"/>
        <v>0</v>
      </c>
      <c r="BB147" s="113">
        <f t="shared" si="33"/>
        <v>0</v>
      </c>
      <c r="BC147" s="112">
        <v>0.16655897683266774</v>
      </c>
      <c r="BD147" s="113" t="str">
        <f>ifs(BC147&lt;='Range Tables'!$G$81,'Range Tables'!$B$81,BC147&lt;='Range Tables'!$G$82,'Range Tables'!$B$82)</f>
        <v>Online*</v>
      </c>
      <c r="BE147" s="112">
        <v>0.3864542018081605</v>
      </c>
      <c r="BF147" s="112" t="str">
        <f>ifs(BE147&lt;='Range Tables'!$G$95,'Range Tables'!$B$95,BE147&lt;='Range Tables'!$G$96,'Range Tables'!$B$96,BE147&lt;='Range Tables'!$G$97,'Range Tables'!$B$97,BE147&lt;='Range Tables'!$G$98,'Range Tables'!$B$98,BE147&lt;='Range Tables'!$G$99,'Range Tables'!$B$99,BE147&lt;='Range Tables'!$G$100,'Range Tables'!$B$100,BE147&lt;='Range Tables'!$G$101,'Range Tables'!$B$101,BE147&lt;='Range Tables'!$G$102,'Range Tables'!$B$102,BE147&lt;='Range Tables'!$G$103,'Range Tables'!$B$103)</f>
        <v>Jammu</v>
      </c>
      <c r="BG147" s="112">
        <v>0.7039982039842844</v>
      </c>
      <c r="BH147" s="113" t="str">
        <f>ifs(BG147&lt;='Range Tables'!$G$112,'Range Tables'!$B$112,BG147&lt;='Range Tables'!$G$113,'Range Tables'!$B$113,BG147&lt;='Range Tables'!$G$114,'Range Tables'!$B$114)</f>
        <v>0</v>
      </c>
      <c r="BI147" s="117">
        <v>0.4871954035607595</v>
      </c>
      <c r="BJ147" s="113" t="str">
        <f>ifs(BI147&lt;='Range Tables'!$G$118,'Range Tables'!$B$118,BI147&lt;='Range Tables'!$G$119,'Range Tables'!$B$119)</f>
        <v>Valid</v>
      </c>
    </row>
    <row r="148">
      <c r="A148" s="85">
        <v>145.0</v>
      </c>
      <c r="B148" s="112">
        <v>0.8571936254430303</v>
      </c>
      <c r="C148" s="113" t="str">
        <f>ifs(B148&lt;='Range Tables'!$G$54,'Range Tables'!$B$54,B148&lt;='Range Tables'!$G$55,'Range Tables'!$B$55,B148&lt;='Range Tables'!$G$56,'Range Tables'!$B$56,B148&lt;='Range Tables'!$G$57,'Range Tables'!$B$57,B148&lt;='Range Tables'!$G$58,'Range Tables'!$B$58,B148&lt;='Range Tables'!$G$59,'Range Tables'!$B$59,B148&lt;='Range Tables'!$G$60,'Range Tables'!$B$60,B148&lt;='Range Tables'!$G$61,'Range Tables'!$B$61,B148&lt;='Range Tables'!$G$63,'Range Tables'!$B$63,B148&lt;='Range Tables'!$G$64,'Range Tables'!$B$64,B148&lt;='Range Tables'!$G$66,'Range Tables'!$B$66)</f>
        <v>180 - 210</v>
      </c>
      <c r="D148" s="113">
        <f>IFERROR(__xludf.DUMMYFUNCTION("SPLIT(C148,""-"")"),180.0)</f>
        <v>180</v>
      </c>
      <c r="E148" s="113">
        <f>IFERROR(__xludf.DUMMYFUNCTION("""COMPUTED_VALUE"""),210.0)</f>
        <v>210</v>
      </c>
      <c r="F148" s="114">
        <f t="shared" si="40"/>
        <v>205.7158088</v>
      </c>
      <c r="G148" s="112">
        <v>0.03412940923070129</v>
      </c>
      <c r="H148" s="113" t="str">
        <f>ifs(G148&lt;='Range Tables'!$G$86,'Range Tables'!$B$86,G148&lt;='Range Tables'!$G$87,'Range Tables'!$B$87,G148&lt;='Range Tables'!$G$88,'Range Tables'!$B$88,G148&lt;='Range Tables'!$G$89,'Range Tables'!$B$89,G148&lt;='Range Tables'!$G$90,'Range Tables'!$B$90,G148&lt;='Range Tables'!$G$91,'Range Tables'!$B$91)</f>
        <v>Car</v>
      </c>
      <c r="I148" s="112">
        <v>0.8579271085607869</v>
      </c>
      <c r="J148" s="113" t="str">
        <f>IFS(
  H148="Car", IF(I148&lt;='Range Tables'!$G$19, 'Range Tables'!$B$19, 'Range Tables'!$B$20), 
  H148="Bike", IF(I148&lt;='Range Tables'!$G$25, 'Range Tables'!$B$25, 'Range Tables'!$B$26), 
  H148="Scooter", IF(I148&lt;='Range Tables'!$G$31, 'Range Tables'!$B$31, 'Range Tables'!$B$32), 
  H148="Auto", IF(I148&lt;='Range Tables'!$G$37, 'Range Tables'!$B$37, 'Range Tables'!$B$38), 
  H148="Carriers*", IF(I148&lt;='Range Tables'!$G$43, 'Range Tables'!$B$43, 'Range Tables'!$B$44), 
  H148="Van*", IF(I148&lt;='Range Tables'!$G$50, 'Range Tables'!$B$50, 'Range Tables'!$B$49)
)</f>
        <v>Petrol</v>
      </c>
      <c r="K148" s="112">
        <v>0.662787804716146</v>
      </c>
      <c r="L148" s="113">
        <f>if(J148="Petrol",ifs(K148&lt;='Range Tables'!$G$5,'Range Tables'!$B$5,K148&lt;='Range Tables'!$G$6,'Range Tables'!$B$6,K148&lt;='Range Tables'!$G$7,'Range Tables'!$B$7),ifs(K148&lt;='Range Tables'!$G$13,'Range Tables'!$B$13,K148&lt;='Range Tables'!$G$14,'Range Tables'!$B$14))</f>
        <v>3</v>
      </c>
      <c r="M148" s="112">
        <v>0.8549281390904525</v>
      </c>
      <c r="N148" s="113" t="str">
        <f>ifs(H148="Car",ifs(M148&lt;='Range Tables'!$G$125,'Range Tables'!$B$125,M148&lt;='Range Tables'!$G$126,'Range Tables'!$B$126,M148&lt;='Range Tables'!$G$127,'Range Tables'!$B$127,M148&lt;='Range Tables'!$G$128,'Range Tables'!$B$128,M148&lt;='Range Tables'!$G$129,'Range Tables'!$B$129,'Range Tables'!$G$131,'Range Tables'!$B$131),H148="Bike",ifs(M148&lt;='Range Tables'!$G$136,'Range Tables'!$B$136,M148&lt;='Range Tables'!$G$137,'Range Tables'!$B$137,M148&lt;='Range Tables'!$G$138,'Range Tables'!$B$138,M148&lt;='Range Tables'!$G$142,'Range Tables'!$B$142),H148="Scooter",ifs(M148&lt;='Range Tables'!$G$148,'Range Tables'!$B$148,M148&lt;='Range Tables'!$G$149,'Range Tables'!$B$149,M148&lt;='Range Tables'!$G$150,'Range Tables'!$B$150,M148&lt;='Range Tables'!$G$151,'Range Tables'!$B$151),H148="Auto",ifs(M148&lt;='Range Tables'!$G$161,'Range Tables'!$B$161,M148&lt;='Range Tables'!$G$162,'Range Tables'!$B$162,M148&lt;='Range Tables'!$G$163,'Range Tables'!$B$163,M148&lt;='Range Tables'!$G$164,'Range Tables'!$B$164),H148="Carriers*",ifs(M148&lt;='Range Tables'!$G$173,'Range Tables'!$B$173,M148&lt;='Range Tables'!$G$174,'Range Tables'!$B$174,M148&lt;='Range Tables'!$G$175,'Range Tables'!$B$175,M148&lt;='Range Tables'!$G$176,'Range Tables'!$B$176,M148&lt;='Range Tables'!$G$177,'Range Tables'!$B$177,M148&lt;='Range Tables'!$G$179,'Range Tables'!$B$179),H148="Van*",ifs(M148&lt;='Range Tables'!$G$186,'Range Tables'!$B$186))</f>
        <v>180 - 240</v>
      </c>
      <c r="O148" s="113">
        <f>IFERROR(__xludf.DUMMYFUNCTION("SPLIT(N148,""-"")"),180.0)</f>
        <v>180</v>
      </c>
      <c r="P148" s="113">
        <f>IFERROR(__xludf.DUMMYFUNCTION("""COMPUTED_VALUE"""),240.0)</f>
        <v>240</v>
      </c>
      <c r="Q148" s="114">
        <f t="shared" si="2"/>
        <v>231.2956883</v>
      </c>
      <c r="R148" s="115">
        <f t="shared" si="3"/>
        <v>0.1375697041</v>
      </c>
      <c r="S148" s="114">
        <f t="shared" si="39"/>
        <v>11886.02244</v>
      </c>
      <c r="T148" s="113" t="str">
        <f t="shared" si="4"/>
        <v>no</v>
      </c>
      <c r="U148" s="115">
        <f t="shared" si="5"/>
        <v>0</v>
      </c>
      <c r="V148" s="113">
        <f t="shared" si="34"/>
        <v>0</v>
      </c>
      <c r="W148" s="115">
        <f t="shared" si="6"/>
        <v>0</v>
      </c>
      <c r="X148" s="85">
        <f t="shared" si="7"/>
        <v>0</v>
      </c>
      <c r="Y148" s="116">
        <f t="shared" si="8"/>
        <v>0</v>
      </c>
      <c r="Z148" s="113">
        <f t="shared" si="9"/>
        <v>0</v>
      </c>
      <c r="AA148" s="113" t="str">
        <f t="shared" si="10"/>
        <v>no</v>
      </c>
      <c r="AB148" s="115">
        <f t="shared" si="11"/>
        <v>0</v>
      </c>
      <c r="AC148" s="113">
        <f t="shared" si="35"/>
        <v>0</v>
      </c>
      <c r="AD148" s="116">
        <f t="shared" si="12"/>
        <v>0</v>
      </c>
      <c r="AE148" s="113">
        <f t="shared" si="13"/>
        <v>0</v>
      </c>
      <c r="AF148" s="116">
        <f t="shared" si="14"/>
        <v>0</v>
      </c>
      <c r="AG148" s="113">
        <f t="shared" si="15"/>
        <v>0</v>
      </c>
      <c r="AH148" s="113" t="str">
        <f t="shared" si="16"/>
        <v>yes</v>
      </c>
      <c r="AI148" s="115">
        <f t="shared" si="17"/>
        <v>0</v>
      </c>
      <c r="AJ148" s="113">
        <f t="shared" si="36"/>
        <v>0</v>
      </c>
      <c r="AK148" s="116">
        <f t="shared" si="18"/>
        <v>0.1375697041</v>
      </c>
      <c r="AL148" s="114">
        <f t="shared" si="19"/>
        <v>11886.02244</v>
      </c>
      <c r="AM148" s="115">
        <f t="shared" si="20"/>
        <v>0.1402467375</v>
      </c>
      <c r="AN148" s="118">
        <f t="shared" si="21"/>
        <v>12117.31812</v>
      </c>
      <c r="AO148" s="113" t="str">
        <f t="shared" si="22"/>
        <v>no</v>
      </c>
      <c r="AP148" s="115">
        <f t="shared" si="23"/>
        <v>0</v>
      </c>
      <c r="AQ148" s="113">
        <f t="shared" si="37"/>
        <v>0</v>
      </c>
      <c r="AR148" s="116">
        <f t="shared" si="24"/>
        <v>0</v>
      </c>
      <c r="AS148" s="113">
        <f t="shared" si="25"/>
        <v>0</v>
      </c>
      <c r="AT148" s="116">
        <f t="shared" si="26"/>
        <v>0</v>
      </c>
      <c r="AU148" s="113">
        <f t="shared" si="27"/>
        <v>0</v>
      </c>
      <c r="AV148" s="113" t="str">
        <f t="shared" si="28"/>
        <v>no</v>
      </c>
      <c r="AW148" s="115">
        <f t="shared" si="29"/>
        <v>0</v>
      </c>
      <c r="AX148" s="85">
        <f t="shared" si="38"/>
        <v>0</v>
      </c>
      <c r="AY148" s="116">
        <f t="shared" si="30"/>
        <v>0</v>
      </c>
      <c r="AZ148" s="113">
        <f t="shared" si="31"/>
        <v>0</v>
      </c>
      <c r="BA148" s="116">
        <f t="shared" si="32"/>
        <v>0</v>
      </c>
      <c r="BB148" s="113">
        <f t="shared" si="33"/>
        <v>0</v>
      </c>
      <c r="BC148" s="112">
        <v>0.7407475801845217</v>
      </c>
      <c r="BD148" s="113" t="str">
        <f>ifs(BC148&lt;='Range Tables'!$G$81,'Range Tables'!$B$81,BC148&lt;='Range Tables'!$G$82,'Range Tables'!$B$82)</f>
        <v>Offline*</v>
      </c>
      <c r="BE148" s="112">
        <v>0.34738381824510267</v>
      </c>
      <c r="BF148" s="112" t="str">
        <f>ifs(BE148&lt;='Range Tables'!$G$95,'Range Tables'!$B$95,BE148&lt;='Range Tables'!$G$96,'Range Tables'!$B$96,BE148&lt;='Range Tables'!$G$97,'Range Tables'!$B$97,BE148&lt;='Range Tables'!$G$98,'Range Tables'!$B$98,BE148&lt;='Range Tables'!$G$99,'Range Tables'!$B$99,BE148&lt;='Range Tables'!$G$100,'Range Tables'!$B$100,BE148&lt;='Range Tables'!$G$101,'Range Tables'!$B$101,BE148&lt;='Range Tables'!$G$102,'Range Tables'!$B$102,BE148&lt;='Range Tables'!$G$103,'Range Tables'!$B$103)</f>
        <v>Jammu</v>
      </c>
      <c r="BG148" s="112">
        <v>0.49787595289579356</v>
      </c>
      <c r="BH148" s="113" t="str">
        <f>ifs(BG148&lt;='Range Tables'!$G$112,'Range Tables'!$B$112,BG148&lt;='Range Tables'!$G$113,'Range Tables'!$B$113,BG148&lt;='Range Tables'!$G$114,'Range Tables'!$B$114)</f>
        <v>0</v>
      </c>
      <c r="BI148" s="117">
        <v>0.9283918145204214</v>
      </c>
      <c r="BJ148" s="113" t="str">
        <f>ifs(BI148&lt;='Range Tables'!$G$118,'Range Tables'!$B$118,BI148&lt;='Range Tables'!$G$119,'Range Tables'!$B$119)</f>
        <v>Expired</v>
      </c>
    </row>
    <row r="149">
      <c r="A149" s="85">
        <v>146.0</v>
      </c>
      <c r="B149" s="112">
        <v>0.8112985444383037</v>
      </c>
      <c r="C149" s="113" t="str">
        <f>ifs(B149&lt;='Range Tables'!$G$54,'Range Tables'!$B$54,B149&lt;='Range Tables'!$G$55,'Range Tables'!$B$55,B149&lt;='Range Tables'!$G$56,'Range Tables'!$B$56,B149&lt;='Range Tables'!$G$57,'Range Tables'!$B$57,B149&lt;='Range Tables'!$G$58,'Range Tables'!$B$58,B149&lt;='Range Tables'!$G$59,'Range Tables'!$B$59,B149&lt;='Range Tables'!$G$60,'Range Tables'!$B$60,B149&lt;='Range Tables'!$G$61,'Range Tables'!$B$61,B149&lt;='Range Tables'!$G$63,'Range Tables'!$B$63,B149&lt;='Range Tables'!$G$64,'Range Tables'!$B$64,B149&lt;='Range Tables'!$G$66,'Range Tables'!$B$66)</f>
        <v>120 - 150</v>
      </c>
      <c r="D149" s="113">
        <f>IFERROR(__xludf.DUMMYFUNCTION("SPLIT(C149,""-"")"),120.0)</f>
        <v>120</v>
      </c>
      <c r="E149" s="113">
        <f>IFERROR(__xludf.DUMMYFUNCTION("""COMPUTED_VALUE"""),150.0)</f>
        <v>150</v>
      </c>
      <c r="F149" s="114">
        <f t="shared" si="40"/>
        <v>144.3389563</v>
      </c>
      <c r="G149" s="112">
        <v>0.26852263749551186</v>
      </c>
      <c r="H149" s="113" t="str">
        <f>ifs(G149&lt;='Range Tables'!$G$86,'Range Tables'!$B$86,G149&lt;='Range Tables'!$G$87,'Range Tables'!$B$87,G149&lt;='Range Tables'!$G$88,'Range Tables'!$B$88,G149&lt;='Range Tables'!$G$89,'Range Tables'!$B$89,G149&lt;='Range Tables'!$G$90,'Range Tables'!$B$90,G149&lt;='Range Tables'!$G$91,'Range Tables'!$B$91)</f>
        <v>Car</v>
      </c>
      <c r="I149" s="112">
        <v>0.544755959349886</v>
      </c>
      <c r="J149" s="113" t="str">
        <f>IFS(
  H149="Car", IF(I149&lt;='Range Tables'!$G$19, 'Range Tables'!$B$19, 'Range Tables'!$B$20), 
  H149="Bike", IF(I149&lt;='Range Tables'!$G$25, 'Range Tables'!$B$25, 'Range Tables'!$B$26), 
  H149="Scooter", IF(I149&lt;='Range Tables'!$G$31, 'Range Tables'!$B$31, 'Range Tables'!$B$32), 
  H149="Auto", IF(I149&lt;='Range Tables'!$G$37, 'Range Tables'!$B$37, 'Range Tables'!$B$38), 
  H149="Carriers*", IF(I149&lt;='Range Tables'!$G$43, 'Range Tables'!$B$43, 'Range Tables'!$B$44), 
  H149="Van*", IF(I149&lt;='Range Tables'!$G$50, 'Range Tables'!$B$50, 'Range Tables'!$B$49)
)</f>
        <v>Petrol</v>
      </c>
      <c r="K149" s="112">
        <v>0.2658747882228071</v>
      </c>
      <c r="L149" s="113">
        <f>if(J149="Petrol",ifs(K149&lt;='Range Tables'!$G$5,'Range Tables'!$B$5,K149&lt;='Range Tables'!$G$6,'Range Tables'!$B$6,K149&lt;='Range Tables'!$G$7,'Range Tables'!$B$7),ifs(K149&lt;='Range Tables'!$G$13,'Range Tables'!$B$13,K149&lt;='Range Tables'!$G$14,'Range Tables'!$B$14))</f>
        <v>2</v>
      </c>
      <c r="M149" s="112">
        <v>0.844126254217499</v>
      </c>
      <c r="N149" s="113" t="str">
        <f>ifs(H149="Car",ifs(M149&lt;='Range Tables'!$G$125,'Range Tables'!$B$125,M149&lt;='Range Tables'!$G$126,'Range Tables'!$B$126,M149&lt;='Range Tables'!$G$127,'Range Tables'!$B$127,M149&lt;='Range Tables'!$G$128,'Range Tables'!$B$128,M149&lt;='Range Tables'!$G$129,'Range Tables'!$B$129,'Range Tables'!$G$131,'Range Tables'!$B$131),H149="Bike",ifs(M149&lt;='Range Tables'!$G$136,'Range Tables'!$B$136,M149&lt;='Range Tables'!$G$137,'Range Tables'!$B$137,M149&lt;='Range Tables'!$G$138,'Range Tables'!$B$138,M149&lt;='Range Tables'!$G$142,'Range Tables'!$B$142),H149="Scooter",ifs(M149&lt;='Range Tables'!$G$148,'Range Tables'!$B$148,M149&lt;='Range Tables'!$G$149,'Range Tables'!$B$149,M149&lt;='Range Tables'!$G$150,'Range Tables'!$B$150,M149&lt;='Range Tables'!$G$151,'Range Tables'!$B$151),H149="Auto",ifs(M149&lt;='Range Tables'!$G$161,'Range Tables'!$B$161,M149&lt;='Range Tables'!$G$162,'Range Tables'!$B$162,M149&lt;='Range Tables'!$G$163,'Range Tables'!$B$163,M149&lt;='Range Tables'!$G$164,'Range Tables'!$B$164),H149="Carriers*",ifs(M149&lt;='Range Tables'!$G$173,'Range Tables'!$B$173,M149&lt;='Range Tables'!$G$174,'Range Tables'!$B$174,M149&lt;='Range Tables'!$G$175,'Range Tables'!$B$175,M149&lt;='Range Tables'!$G$176,'Range Tables'!$B$176,M149&lt;='Range Tables'!$G$177,'Range Tables'!$B$177,M149&lt;='Range Tables'!$G$179,'Range Tables'!$B$179),H149="Van*",ifs(M149&lt;='Range Tables'!$G$186,'Range Tables'!$B$186))</f>
        <v>180 - 240</v>
      </c>
      <c r="O149" s="113">
        <f>IFERROR(__xludf.DUMMYFUNCTION("SPLIT(N149,""-"")"),180.0)</f>
        <v>180</v>
      </c>
      <c r="P149" s="113">
        <f>IFERROR(__xludf.DUMMYFUNCTION("""COMPUTED_VALUE"""),240.0)</f>
        <v>240</v>
      </c>
      <c r="Q149" s="114">
        <f t="shared" si="2"/>
        <v>230.6475753</v>
      </c>
      <c r="R149" s="115">
        <f t="shared" si="3"/>
        <v>0.1399506741</v>
      </c>
      <c r="S149" s="114">
        <f t="shared" si="39"/>
        <v>12091.73824</v>
      </c>
      <c r="T149" s="113" t="str">
        <f t="shared" si="4"/>
        <v>no</v>
      </c>
      <c r="U149" s="115">
        <f t="shared" si="5"/>
        <v>0</v>
      </c>
      <c r="V149" s="113">
        <f t="shared" si="34"/>
        <v>0</v>
      </c>
      <c r="W149" s="115">
        <f t="shared" si="6"/>
        <v>0</v>
      </c>
      <c r="X149" s="85">
        <f t="shared" si="7"/>
        <v>0</v>
      </c>
      <c r="Y149" s="116">
        <f t="shared" si="8"/>
        <v>0</v>
      </c>
      <c r="Z149" s="113">
        <f t="shared" si="9"/>
        <v>0</v>
      </c>
      <c r="AA149" s="113" t="str">
        <f t="shared" si="10"/>
        <v>yes</v>
      </c>
      <c r="AB149" s="115">
        <f t="shared" si="11"/>
        <v>0</v>
      </c>
      <c r="AC149" s="113">
        <f t="shared" si="35"/>
        <v>0</v>
      </c>
      <c r="AD149" s="116">
        <f t="shared" si="12"/>
        <v>0.1399506741</v>
      </c>
      <c r="AE149" s="114">
        <f t="shared" si="13"/>
        <v>12091.73824</v>
      </c>
      <c r="AF149" s="116">
        <f t="shared" si="14"/>
        <v>0.1426202062</v>
      </c>
      <c r="AG149" s="114">
        <f t="shared" si="15"/>
        <v>12322.38582</v>
      </c>
      <c r="AH149" s="113" t="str">
        <f t="shared" si="16"/>
        <v>no</v>
      </c>
      <c r="AI149" s="115">
        <f t="shared" si="17"/>
        <v>0</v>
      </c>
      <c r="AJ149" s="113">
        <f t="shared" si="36"/>
        <v>0</v>
      </c>
      <c r="AK149" s="116">
        <f t="shared" si="18"/>
        <v>0</v>
      </c>
      <c r="AL149" s="113">
        <f t="shared" si="19"/>
        <v>0</v>
      </c>
      <c r="AM149" s="115">
        <f t="shared" si="20"/>
        <v>0</v>
      </c>
      <c r="AN149" s="85">
        <f t="shared" si="21"/>
        <v>0</v>
      </c>
      <c r="AO149" s="113" t="str">
        <f t="shared" si="22"/>
        <v>no</v>
      </c>
      <c r="AP149" s="115">
        <f t="shared" si="23"/>
        <v>0</v>
      </c>
      <c r="AQ149" s="113">
        <f t="shared" si="37"/>
        <v>0</v>
      </c>
      <c r="AR149" s="116">
        <f t="shared" si="24"/>
        <v>0</v>
      </c>
      <c r="AS149" s="113">
        <f t="shared" si="25"/>
        <v>0</v>
      </c>
      <c r="AT149" s="116">
        <f t="shared" si="26"/>
        <v>0</v>
      </c>
      <c r="AU149" s="113">
        <f t="shared" si="27"/>
        <v>0</v>
      </c>
      <c r="AV149" s="113" t="str">
        <f t="shared" si="28"/>
        <v>no</v>
      </c>
      <c r="AW149" s="115">
        <f t="shared" si="29"/>
        <v>0</v>
      </c>
      <c r="AX149" s="85">
        <f t="shared" si="38"/>
        <v>0</v>
      </c>
      <c r="AY149" s="116">
        <f t="shared" si="30"/>
        <v>0</v>
      </c>
      <c r="AZ149" s="113">
        <f t="shared" si="31"/>
        <v>0</v>
      </c>
      <c r="BA149" s="116">
        <f t="shared" si="32"/>
        <v>0</v>
      </c>
      <c r="BB149" s="113">
        <f t="shared" si="33"/>
        <v>0</v>
      </c>
      <c r="BC149" s="112">
        <v>0.6433482637209773</v>
      </c>
      <c r="BD149" s="113" t="str">
        <f>ifs(BC149&lt;='Range Tables'!$G$81,'Range Tables'!$B$81,BC149&lt;='Range Tables'!$G$82,'Range Tables'!$B$82)</f>
        <v>Offline*</v>
      </c>
      <c r="BE149" s="112">
        <v>0.44502561212801073</v>
      </c>
      <c r="BF149" s="112" t="str">
        <f>ifs(BE149&lt;='Range Tables'!$G$95,'Range Tables'!$B$95,BE149&lt;='Range Tables'!$G$96,'Range Tables'!$B$96,BE149&lt;='Range Tables'!$G$97,'Range Tables'!$B$97,BE149&lt;='Range Tables'!$G$98,'Range Tables'!$B$98,BE149&lt;='Range Tables'!$G$99,'Range Tables'!$B$99,BE149&lt;='Range Tables'!$G$100,'Range Tables'!$B$100,BE149&lt;='Range Tables'!$G$101,'Range Tables'!$B$101,BE149&lt;='Range Tables'!$G$102,'Range Tables'!$B$102,BE149&lt;='Range Tables'!$G$103,'Range Tables'!$B$103)</f>
        <v>Jammu</v>
      </c>
      <c r="BG149" s="112">
        <v>0.25437431313152636</v>
      </c>
      <c r="BH149" s="113" t="str">
        <f>ifs(BG149&lt;='Range Tables'!$G$112,'Range Tables'!$B$112,BG149&lt;='Range Tables'!$G$113,'Range Tables'!$B$113,BG149&lt;='Range Tables'!$G$114,'Range Tables'!$B$114)</f>
        <v>0</v>
      </c>
      <c r="BI149" s="117">
        <v>0.28790878804236</v>
      </c>
      <c r="BJ149" s="113" t="str">
        <f>ifs(BI149&lt;='Range Tables'!$G$118,'Range Tables'!$B$118,BI149&lt;='Range Tables'!$G$119,'Range Tables'!$B$119)</f>
        <v>Valid</v>
      </c>
    </row>
    <row r="150">
      <c r="A150" s="85">
        <v>147.0</v>
      </c>
      <c r="B150" s="112">
        <v>0.23158087671731287</v>
      </c>
      <c r="C150" s="113" t="str">
        <f>ifs(B150&lt;='Range Tables'!$G$54,'Range Tables'!$B$54,B150&lt;='Range Tables'!$G$55,'Range Tables'!$B$55,B150&lt;='Range Tables'!$G$56,'Range Tables'!$B$56,B150&lt;='Range Tables'!$G$57,'Range Tables'!$B$57,B150&lt;='Range Tables'!$G$58,'Range Tables'!$B$58,B150&lt;='Range Tables'!$G$59,'Range Tables'!$B$59,B150&lt;='Range Tables'!$G$60,'Range Tables'!$B$60,B150&lt;='Range Tables'!$G$61,'Range Tables'!$B$61,B150&lt;='Range Tables'!$G$63,'Range Tables'!$B$63,B150&lt;='Range Tables'!$G$64,'Range Tables'!$B$64,B150&lt;='Range Tables'!$G$66,'Range Tables'!$B$66)</f>
        <v>0 - 30</v>
      </c>
      <c r="D150" s="113">
        <f>IFERROR(__xludf.DUMMYFUNCTION("SPLIT(C150,""-"")"),0.0)</f>
        <v>0</v>
      </c>
      <c r="E150" s="113">
        <f>IFERROR(__xludf.DUMMYFUNCTION("""COMPUTED_VALUE"""),30.0)</f>
        <v>30</v>
      </c>
      <c r="F150" s="114">
        <f t="shared" si="40"/>
        <v>6.947426302</v>
      </c>
      <c r="G150" s="112">
        <v>0.9733336597250483</v>
      </c>
      <c r="H150" s="113" t="str">
        <f>ifs(G150&lt;='Range Tables'!$G$86,'Range Tables'!$B$86,G150&lt;='Range Tables'!$G$87,'Range Tables'!$B$87,G150&lt;='Range Tables'!$G$88,'Range Tables'!$B$88,G150&lt;='Range Tables'!$G$89,'Range Tables'!$B$89,G150&lt;='Range Tables'!$G$90,'Range Tables'!$B$90,G150&lt;='Range Tables'!$G$91,'Range Tables'!$B$91)</f>
        <v>Carriers*</v>
      </c>
      <c r="I150" s="112">
        <v>0.7887284451322495</v>
      </c>
      <c r="J150" s="113" t="str">
        <f>IFS(
  H150="Car", IF(I150&lt;='Range Tables'!$G$19, 'Range Tables'!$B$19, 'Range Tables'!$B$20), 
  H150="Bike", IF(I150&lt;='Range Tables'!$G$25, 'Range Tables'!$B$25, 'Range Tables'!$B$26), 
  H150="Scooter", IF(I150&lt;='Range Tables'!$G$31, 'Range Tables'!$B$31, 'Range Tables'!$B$32), 
  H150="Auto", IF(I150&lt;='Range Tables'!$G$37, 'Range Tables'!$B$37, 'Range Tables'!$B$38), 
  H150="Carriers*", IF(I150&lt;='Range Tables'!$G$43, 'Range Tables'!$B$43, 'Range Tables'!$B$44), 
  H150="Van*", IF(I150&lt;='Range Tables'!$G$50, 'Range Tables'!$B$50, 'Range Tables'!$B$49)
)</f>
        <v>Diesel</v>
      </c>
      <c r="K150" s="112">
        <v>0.313591066301141</v>
      </c>
      <c r="L150" s="113">
        <f>if(J150="Petrol",ifs(K150&lt;='Range Tables'!$G$5,'Range Tables'!$B$5,K150&lt;='Range Tables'!$G$6,'Range Tables'!$B$6,K150&lt;='Range Tables'!$G$7,'Range Tables'!$B$7),ifs(K150&lt;='Range Tables'!$G$13,'Range Tables'!$B$13,K150&lt;='Range Tables'!$G$14,'Range Tables'!$B$14))</f>
        <v>1</v>
      </c>
      <c r="M150" s="112">
        <v>0.03879952666835351</v>
      </c>
      <c r="N150" s="113" t="str">
        <f>ifs(H150="Car",ifs(M150&lt;='Range Tables'!$G$125,'Range Tables'!$B$125,M150&lt;='Range Tables'!$G$126,'Range Tables'!$B$126,M150&lt;='Range Tables'!$G$127,'Range Tables'!$B$127,M150&lt;='Range Tables'!$G$128,'Range Tables'!$B$128,M150&lt;='Range Tables'!$G$129,'Range Tables'!$B$129,'Range Tables'!$G$131,'Range Tables'!$B$131),H150="Bike",ifs(M150&lt;='Range Tables'!$G$136,'Range Tables'!$B$136,M150&lt;='Range Tables'!$G$137,'Range Tables'!$B$137,M150&lt;='Range Tables'!$G$138,'Range Tables'!$B$138,M150&lt;='Range Tables'!$G$142,'Range Tables'!$B$142),H150="Scooter",ifs(M150&lt;='Range Tables'!$G$148,'Range Tables'!$B$148,M150&lt;='Range Tables'!$G$149,'Range Tables'!$B$149,M150&lt;='Range Tables'!$G$150,'Range Tables'!$B$150,M150&lt;='Range Tables'!$G$151,'Range Tables'!$B$151),H150="Auto",ifs(M150&lt;='Range Tables'!$G$161,'Range Tables'!$B$161,M150&lt;='Range Tables'!$G$162,'Range Tables'!$B$162,M150&lt;='Range Tables'!$G$163,'Range Tables'!$B$163,M150&lt;='Range Tables'!$G$164,'Range Tables'!$B$164),H150="Carriers*",ifs(M150&lt;='Range Tables'!$G$173,'Range Tables'!$B$173,M150&lt;='Range Tables'!$G$174,'Range Tables'!$B$174,M150&lt;='Range Tables'!$G$175,'Range Tables'!$B$175,M150&lt;='Range Tables'!$G$176,'Range Tables'!$B$176,M150&lt;='Range Tables'!$G$177,'Range Tables'!$B$177,M150&lt;='Range Tables'!$G$179,'Range Tables'!$B$179),H150="Van*",ifs(M150&lt;='Range Tables'!$G$186,'Range Tables'!$B$186))</f>
        <v>60 - 120</v>
      </c>
      <c r="O150" s="113">
        <f>IFERROR(__xludf.DUMMYFUNCTION("SPLIT(N150,""-"")"),60.0)</f>
        <v>60</v>
      </c>
      <c r="P150" s="113">
        <f>IFERROR(__xludf.DUMMYFUNCTION("""COMPUTED_VALUE"""),120.0)</f>
        <v>120</v>
      </c>
      <c r="Q150" s="114">
        <f t="shared" si="2"/>
        <v>62.3279716</v>
      </c>
      <c r="R150" s="115">
        <f t="shared" si="3"/>
        <v>0.1416212639</v>
      </c>
      <c r="S150" s="114">
        <f t="shared" si="39"/>
        <v>12236.0772</v>
      </c>
      <c r="T150" s="113" t="str">
        <f t="shared" si="4"/>
        <v>yes</v>
      </c>
      <c r="U150" s="115">
        <f t="shared" si="5"/>
        <v>0</v>
      </c>
      <c r="V150" s="113">
        <f t="shared" si="34"/>
        <v>0</v>
      </c>
      <c r="W150" s="115">
        <f t="shared" si="6"/>
        <v>0.1416212639</v>
      </c>
      <c r="X150" s="118">
        <f t="shared" si="7"/>
        <v>12236.0772</v>
      </c>
      <c r="Y150" s="116">
        <f t="shared" si="8"/>
        <v>0.1423426525</v>
      </c>
      <c r="Z150" s="114">
        <f t="shared" si="9"/>
        <v>12298.40517</v>
      </c>
      <c r="AA150" s="113" t="str">
        <f t="shared" si="10"/>
        <v>no</v>
      </c>
      <c r="AB150" s="115">
        <f t="shared" si="11"/>
        <v>0</v>
      </c>
      <c r="AC150" s="113">
        <f t="shared" si="35"/>
        <v>0</v>
      </c>
      <c r="AD150" s="116">
        <f t="shared" si="12"/>
        <v>0</v>
      </c>
      <c r="AE150" s="113">
        <f t="shared" si="13"/>
        <v>0</v>
      </c>
      <c r="AF150" s="116">
        <f t="shared" si="14"/>
        <v>0</v>
      </c>
      <c r="AG150" s="113">
        <f t="shared" si="15"/>
        <v>0</v>
      </c>
      <c r="AH150" s="113" t="str">
        <f t="shared" si="16"/>
        <v>no</v>
      </c>
      <c r="AI150" s="115">
        <f t="shared" si="17"/>
        <v>0</v>
      </c>
      <c r="AJ150" s="113">
        <f t="shared" si="36"/>
        <v>0</v>
      </c>
      <c r="AK150" s="116">
        <f t="shared" si="18"/>
        <v>0</v>
      </c>
      <c r="AL150" s="113">
        <f t="shared" si="19"/>
        <v>0</v>
      </c>
      <c r="AM150" s="115">
        <f t="shared" si="20"/>
        <v>0</v>
      </c>
      <c r="AN150" s="85">
        <f t="shared" si="21"/>
        <v>0</v>
      </c>
      <c r="AO150" s="113" t="str">
        <f t="shared" si="22"/>
        <v>no</v>
      </c>
      <c r="AP150" s="115">
        <f t="shared" si="23"/>
        <v>0</v>
      </c>
      <c r="AQ150" s="113">
        <f t="shared" si="37"/>
        <v>0</v>
      </c>
      <c r="AR150" s="116">
        <f t="shared" si="24"/>
        <v>0</v>
      </c>
      <c r="AS150" s="113">
        <f t="shared" si="25"/>
        <v>0</v>
      </c>
      <c r="AT150" s="116">
        <f t="shared" si="26"/>
        <v>0</v>
      </c>
      <c r="AU150" s="113">
        <f t="shared" si="27"/>
        <v>0</v>
      </c>
      <c r="AV150" s="113" t="str">
        <f t="shared" si="28"/>
        <v>no</v>
      </c>
      <c r="AW150" s="115">
        <f t="shared" si="29"/>
        <v>0</v>
      </c>
      <c r="AX150" s="85">
        <f t="shared" si="38"/>
        <v>0</v>
      </c>
      <c r="AY150" s="116">
        <f t="shared" si="30"/>
        <v>0</v>
      </c>
      <c r="AZ150" s="113">
        <f t="shared" si="31"/>
        <v>0</v>
      </c>
      <c r="BA150" s="116">
        <f t="shared" si="32"/>
        <v>0</v>
      </c>
      <c r="BB150" s="113">
        <f t="shared" si="33"/>
        <v>0</v>
      </c>
      <c r="BC150" s="112">
        <v>0.38170322629773645</v>
      </c>
      <c r="BD150" s="113" t="str">
        <f>ifs(BC150&lt;='Range Tables'!$G$81,'Range Tables'!$B$81,BC150&lt;='Range Tables'!$G$82,'Range Tables'!$B$82)</f>
        <v>Offline*</v>
      </c>
      <c r="BE150" s="112">
        <v>0.2819142461887719</v>
      </c>
      <c r="BF150" s="112" t="str">
        <f>ifs(BE150&lt;='Range Tables'!$G$95,'Range Tables'!$B$95,BE150&lt;='Range Tables'!$G$96,'Range Tables'!$B$96,BE150&lt;='Range Tables'!$G$97,'Range Tables'!$B$97,BE150&lt;='Range Tables'!$G$98,'Range Tables'!$B$98,BE150&lt;='Range Tables'!$G$99,'Range Tables'!$B$99,BE150&lt;='Range Tables'!$G$100,'Range Tables'!$B$100,BE150&lt;='Range Tables'!$G$101,'Range Tables'!$B$101,BE150&lt;='Range Tables'!$G$102,'Range Tables'!$B$102,BE150&lt;='Range Tables'!$G$103,'Range Tables'!$B$103)</f>
        <v>Jammu</v>
      </c>
      <c r="BG150" s="112">
        <v>0.9891077187719132</v>
      </c>
      <c r="BH150" s="113" t="str">
        <f>ifs(BG150&lt;='Range Tables'!$G$112,'Range Tables'!$B$112,BG150&lt;='Range Tables'!$G$113,'Range Tables'!$B$113,BG150&lt;='Range Tables'!$G$114,'Range Tables'!$B$114)</f>
        <v>6+</v>
      </c>
      <c r="BI150" s="117">
        <v>0.19488982282048228</v>
      </c>
      <c r="BJ150" s="113" t="str">
        <f>ifs(BI150&lt;='Range Tables'!$G$118,'Range Tables'!$B$118,BI150&lt;='Range Tables'!$G$119,'Range Tables'!$B$119)</f>
        <v>Valid</v>
      </c>
    </row>
    <row r="151">
      <c r="A151" s="85">
        <v>148.0</v>
      </c>
      <c r="B151" s="112">
        <v>0.179811028521506</v>
      </c>
      <c r="C151" s="113" t="str">
        <f>ifs(B151&lt;='Range Tables'!$G$54,'Range Tables'!$B$54,B151&lt;='Range Tables'!$G$55,'Range Tables'!$B$55,B151&lt;='Range Tables'!$G$56,'Range Tables'!$B$56,B151&lt;='Range Tables'!$G$57,'Range Tables'!$B$57,B151&lt;='Range Tables'!$G$58,'Range Tables'!$B$58,B151&lt;='Range Tables'!$G$59,'Range Tables'!$B$59,B151&lt;='Range Tables'!$G$60,'Range Tables'!$B$60,B151&lt;='Range Tables'!$G$61,'Range Tables'!$B$61,B151&lt;='Range Tables'!$G$63,'Range Tables'!$B$63,B151&lt;='Range Tables'!$G$64,'Range Tables'!$B$64,B151&lt;='Range Tables'!$G$66,'Range Tables'!$B$66)</f>
        <v>0 - 30</v>
      </c>
      <c r="D151" s="113">
        <f>IFERROR(__xludf.DUMMYFUNCTION("SPLIT(C151,""-"")"),0.0)</f>
        <v>0</v>
      </c>
      <c r="E151" s="113">
        <f>IFERROR(__xludf.DUMMYFUNCTION("""COMPUTED_VALUE"""),30.0)</f>
        <v>30</v>
      </c>
      <c r="F151" s="114">
        <f t="shared" si="40"/>
        <v>5.394330856</v>
      </c>
      <c r="G151" s="112">
        <v>0.5027097597852879</v>
      </c>
      <c r="H151" s="113" t="str">
        <f>ifs(G151&lt;='Range Tables'!$G$86,'Range Tables'!$B$86,G151&lt;='Range Tables'!$G$87,'Range Tables'!$B$87,G151&lt;='Range Tables'!$G$88,'Range Tables'!$B$88,G151&lt;='Range Tables'!$G$89,'Range Tables'!$B$89,G151&lt;='Range Tables'!$G$90,'Range Tables'!$B$90,G151&lt;='Range Tables'!$G$91,'Range Tables'!$B$91)</f>
        <v>Bike</v>
      </c>
      <c r="I151" s="112">
        <v>0.5137980945127156</v>
      </c>
      <c r="J151" s="113" t="str">
        <f>IFS(
  H151="Car", IF(I151&lt;='Range Tables'!$G$19, 'Range Tables'!$B$19, 'Range Tables'!$B$20), 
  H151="Bike", IF(I151&lt;='Range Tables'!$G$25, 'Range Tables'!$B$25, 'Range Tables'!$B$26), 
  H151="Scooter", IF(I151&lt;='Range Tables'!$G$31, 'Range Tables'!$B$31, 'Range Tables'!$B$32), 
  H151="Auto", IF(I151&lt;='Range Tables'!$G$37, 'Range Tables'!$B$37, 'Range Tables'!$B$38), 
  H151="Carriers*", IF(I151&lt;='Range Tables'!$G$43, 'Range Tables'!$B$43, 'Range Tables'!$B$44), 
  H151="Van*", IF(I151&lt;='Range Tables'!$G$50, 'Range Tables'!$B$50, 'Range Tables'!$B$49)
)</f>
        <v>Petrol</v>
      </c>
      <c r="K151" s="112">
        <v>0.6319213382803367</v>
      </c>
      <c r="L151" s="113">
        <f>if(J151="Petrol",ifs(K151&lt;='Range Tables'!$G$5,'Range Tables'!$B$5,K151&lt;='Range Tables'!$G$6,'Range Tables'!$B$6,K151&lt;='Range Tables'!$G$7,'Range Tables'!$B$7),ifs(K151&lt;='Range Tables'!$G$13,'Range Tables'!$B$13,K151&lt;='Range Tables'!$G$14,'Range Tables'!$B$14))</f>
        <v>3</v>
      </c>
      <c r="M151" s="112">
        <v>0.7087275746207436</v>
      </c>
      <c r="N151" s="113" t="str">
        <f>ifs(H151="Car",ifs(M151&lt;='Range Tables'!$G$125,'Range Tables'!$B$125,M151&lt;='Range Tables'!$G$126,'Range Tables'!$B$126,M151&lt;='Range Tables'!$G$127,'Range Tables'!$B$127,M151&lt;='Range Tables'!$G$128,'Range Tables'!$B$128,M151&lt;='Range Tables'!$G$129,'Range Tables'!$B$129,'Range Tables'!$G$131,'Range Tables'!$B$131),H151="Bike",ifs(M151&lt;='Range Tables'!$G$136,'Range Tables'!$B$136,M151&lt;='Range Tables'!$G$137,'Range Tables'!$B$137,M151&lt;='Range Tables'!$G$138,'Range Tables'!$B$138,M151&lt;='Range Tables'!$G$142,'Range Tables'!$B$142),H151="Scooter",ifs(M151&lt;='Range Tables'!$G$148,'Range Tables'!$B$148,M151&lt;='Range Tables'!$G$149,'Range Tables'!$B$149,M151&lt;='Range Tables'!$G$150,'Range Tables'!$B$150,M151&lt;='Range Tables'!$G$151,'Range Tables'!$B$151),H151="Auto",ifs(M151&lt;='Range Tables'!$G$161,'Range Tables'!$B$161,M151&lt;='Range Tables'!$G$162,'Range Tables'!$B$162,M151&lt;='Range Tables'!$G$163,'Range Tables'!$B$163,M151&lt;='Range Tables'!$G$164,'Range Tables'!$B$164),H151="Carriers*",ifs(M151&lt;='Range Tables'!$G$173,'Range Tables'!$B$173,M151&lt;='Range Tables'!$G$174,'Range Tables'!$B$174,M151&lt;='Range Tables'!$G$175,'Range Tables'!$B$175,M151&lt;='Range Tables'!$G$176,'Range Tables'!$B$176,M151&lt;='Range Tables'!$G$177,'Range Tables'!$B$177,M151&lt;='Range Tables'!$G$179,'Range Tables'!$B$179),H151="Van*",ifs(M151&lt;='Range Tables'!$G$186,'Range Tables'!$B$186))</f>
        <v>120 - 180</v>
      </c>
      <c r="O151" s="113">
        <f>IFERROR(__xludf.DUMMYFUNCTION("SPLIT(N151,""-"")"),120.0)</f>
        <v>120</v>
      </c>
      <c r="P151" s="113">
        <f>IFERROR(__xludf.DUMMYFUNCTION("""COMPUTED_VALUE"""),180.0)</f>
        <v>180</v>
      </c>
      <c r="Q151" s="114">
        <f t="shared" si="2"/>
        <v>162.5236545</v>
      </c>
      <c r="R151" s="115">
        <f t="shared" si="3"/>
        <v>0.1417016739</v>
      </c>
      <c r="S151" s="114">
        <f t="shared" si="39"/>
        <v>12243.02463</v>
      </c>
      <c r="T151" s="113" t="str">
        <f t="shared" si="4"/>
        <v>no</v>
      </c>
      <c r="U151" s="115">
        <f t="shared" si="5"/>
        <v>0</v>
      </c>
      <c r="V151" s="113">
        <f t="shared" si="34"/>
        <v>0</v>
      </c>
      <c r="W151" s="115">
        <f t="shared" si="6"/>
        <v>0</v>
      </c>
      <c r="X151" s="85">
        <f t="shared" si="7"/>
        <v>0</v>
      </c>
      <c r="Y151" s="116">
        <f t="shared" si="8"/>
        <v>0</v>
      </c>
      <c r="Z151" s="113">
        <f t="shared" si="9"/>
        <v>0</v>
      </c>
      <c r="AA151" s="113" t="str">
        <f t="shared" si="10"/>
        <v>no</v>
      </c>
      <c r="AB151" s="115">
        <f t="shared" si="11"/>
        <v>0</v>
      </c>
      <c r="AC151" s="113">
        <f t="shared" si="35"/>
        <v>0</v>
      </c>
      <c r="AD151" s="116">
        <f t="shared" si="12"/>
        <v>0</v>
      </c>
      <c r="AE151" s="113">
        <f t="shared" si="13"/>
        <v>0</v>
      </c>
      <c r="AF151" s="116">
        <f t="shared" si="14"/>
        <v>0</v>
      </c>
      <c r="AG151" s="113">
        <f t="shared" si="15"/>
        <v>0</v>
      </c>
      <c r="AH151" s="113" t="str">
        <f t="shared" si="16"/>
        <v>yes</v>
      </c>
      <c r="AI151" s="115">
        <f t="shared" si="17"/>
        <v>0</v>
      </c>
      <c r="AJ151" s="113">
        <f t="shared" si="36"/>
        <v>0</v>
      </c>
      <c r="AK151" s="116">
        <f t="shared" si="18"/>
        <v>0.1417016739</v>
      </c>
      <c r="AL151" s="114">
        <f t="shared" si="19"/>
        <v>12243.02463</v>
      </c>
      <c r="AM151" s="115">
        <f t="shared" si="20"/>
        <v>0.1435827347</v>
      </c>
      <c r="AN151" s="118">
        <f t="shared" si="21"/>
        <v>12405.54828</v>
      </c>
      <c r="AO151" s="113" t="str">
        <f t="shared" si="22"/>
        <v>no</v>
      </c>
      <c r="AP151" s="115">
        <f t="shared" si="23"/>
        <v>0</v>
      </c>
      <c r="AQ151" s="113">
        <f t="shared" si="37"/>
        <v>0</v>
      </c>
      <c r="AR151" s="116">
        <f t="shared" si="24"/>
        <v>0</v>
      </c>
      <c r="AS151" s="113">
        <f t="shared" si="25"/>
        <v>0</v>
      </c>
      <c r="AT151" s="116">
        <f t="shared" si="26"/>
        <v>0</v>
      </c>
      <c r="AU151" s="113">
        <f t="shared" si="27"/>
        <v>0</v>
      </c>
      <c r="AV151" s="113" t="str">
        <f t="shared" si="28"/>
        <v>no</v>
      </c>
      <c r="AW151" s="115">
        <f t="shared" si="29"/>
        <v>0</v>
      </c>
      <c r="AX151" s="85">
        <f t="shared" si="38"/>
        <v>0</v>
      </c>
      <c r="AY151" s="116">
        <f t="shared" si="30"/>
        <v>0</v>
      </c>
      <c r="AZ151" s="113">
        <f t="shared" si="31"/>
        <v>0</v>
      </c>
      <c r="BA151" s="116">
        <f t="shared" si="32"/>
        <v>0</v>
      </c>
      <c r="BB151" s="113">
        <f t="shared" si="33"/>
        <v>0</v>
      </c>
      <c r="BC151" s="112">
        <v>0.3643008455663951</v>
      </c>
      <c r="BD151" s="113" t="str">
        <f>ifs(BC151&lt;='Range Tables'!$G$81,'Range Tables'!$B$81,BC151&lt;='Range Tables'!$G$82,'Range Tables'!$B$82)</f>
        <v>Offline*</v>
      </c>
      <c r="BE151" s="112">
        <v>0.9803456011339343</v>
      </c>
      <c r="BF151" s="112" t="str">
        <f>ifs(BE151&lt;='Range Tables'!$G$95,'Range Tables'!$B$95,BE151&lt;='Range Tables'!$G$96,'Range Tables'!$B$96,BE151&lt;='Range Tables'!$G$97,'Range Tables'!$B$97,BE151&lt;='Range Tables'!$G$98,'Range Tables'!$B$98,BE151&lt;='Range Tables'!$G$99,'Range Tables'!$B$99,BE151&lt;='Range Tables'!$G$100,'Range Tables'!$B$100,BE151&lt;='Range Tables'!$G$101,'Range Tables'!$B$101,BE151&lt;='Range Tables'!$G$102,'Range Tables'!$B$102,BE151&lt;='Range Tables'!$G$103,'Range Tables'!$B$103)</f>
        <v>Samba</v>
      </c>
      <c r="BG151" s="112">
        <v>0.8131368000382778</v>
      </c>
      <c r="BH151" s="113" t="str">
        <f>ifs(BG151&lt;='Range Tables'!$G$112,'Range Tables'!$B$112,BG151&lt;='Range Tables'!$G$113,'Range Tables'!$B$113,BG151&lt;='Range Tables'!$G$114,'Range Tables'!$B$114)</f>
        <v>1-5</v>
      </c>
      <c r="BI151" s="117">
        <v>0.2636867536828412</v>
      </c>
      <c r="BJ151" s="113" t="str">
        <f>ifs(BI151&lt;='Range Tables'!$G$118,'Range Tables'!$B$118,BI151&lt;='Range Tables'!$G$119,'Range Tables'!$B$119)</f>
        <v>Valid</v>
      </c>
    </row>
    <row r="152">
      <c r="A152" s="85">
        <v>149.0</v>
      </c>
      <c r="B152" s="112">
        <v>0.4915082698688352</v>
      </c>
      <c r="C152" s="113" t="str">
        <f>ifs(B152&lt;='Range Tables'!$G$54,'Range Tables'!$B$54,B152&lt;='Range Tables'!$G$55,'Range Tables'!$B$55,B152&lt;='Range Tables'!$G$56,'Range Tables'!$B$56,B152&lt;='Range Tables'!$G$57,'Range Tables'!$B$57,B152&lt;='Range Tables'!$G$58,'Range Tables'!$B$58,B152&lt;='Range Tables'!$G$59,'Range Tables'!$B$59,B152&lt;='Range Tables'!$G$60,'Range Tables'!$B$60,B152&lt;='Range Tables'!$G$61,'Range Tables'!$B$61,B152&lt;='Range Tables'!$G$63,'Range Tables'!$B$63,B152&lt;='Range Tables'!$G$64,'Range Tables'!$B$64,B152&lt;='Range Tables'!$G$66,'Range Tables'!$B$66)</f>
        <v>30 - 60 </v>
      </c>
      <c r="D152" s="113">
        <f>IFERROR(__xludf.DUMMYFUNCTION("SPLIT(C152,""-"")"),30.0)</f>
        <v>30</v>
      </c>
      <c r="E152" s="113">
        <f>IFERROR(__xludf.DUMMYFUNCTION("""COMPUTED_VALUE"""),60.0)</f>
        <v>60</v>
      </c>
      <c r="F152" s="114">
        <f t="shared" si="40"/>
        <v>44.7452481</v>
      </c>
      <c r="G152" s="112">
        <v>0.25939176349409976</v>
      </c>
      <c r="H152" s="113" t="str">
        <f>ifs(G152&lt;='Range Tables'!$G$86,'Range Tables'!$B$86,G152&lt;='Range Tables'!$G$87,'Range Tables'!$B$87,G152&lt;='Range Tables'!$G$88,'Range Tables'!$B$88,G152&lt;='Range Tables'!$G$89,'Range Tables'!$B$89,G152&lt;='Range Tables'!$G$90,'Range Tables'!$B$90,G152&lt;='Range Tables'!$G$91,'Range Tables'!$B$91)</f>
        <v>Car</v>
      </c>
      <c r="I152" s="112">
        <v>0.3758778406976604</v>
      </c>
      <c r="J152" s="113" t="str">
        <f>IFS(
  H152="Car", IF(I152&lt;='Range Tables'!$G$19, 'Range Tables'!$B$19, 'Range Tables'!$B$20), 
  H152="Bike", IF(I152&lt;='Range Tables'!$G$25, 'Range Tables'!$B$25, 'Range Tables'!$B$26), 
  H152="Scooter", IF(I152&lt;='Range Tables'!$G$31, 'Range Tables'!$B$31, 'Range Tables'!$B$32), 
  H152="Auto", IF(I152&lt;='Range Tables'!$G$37, 'Range Tables'!$B$37, 'Range Tables'!$B$38), 
  H152="Carriers*", IF(I152&lt;='Range Tables'!$G$43, 'Range Tables'!$B$43, 'Range Tables'!$B$44), 
  H152="Van*", IF(I152&lt;='Range Tables'!$G$50, 'Range Tables'!$B$50, 'Range Tables'!$B$49)
)</f>
        <v>Petrol</v>
      </c>
      <c r="K152" s="112">
        <v>0.44819938508962864</v>
      </c>
      <c r="L152" s="113">
        <f>if(J152="Petrol",ifs(K152&lt;='Range Tables'!$G$5,'Range Tables'!$B$5,K152&lt;='Range Tables'!$G$6,'Range Tables'!$B$6,K152&lt;='Range Tables'!$G$7,'Range Tables'!$B$7),ifs(K152&lt;='Range Tables'!$G$13,'Range Tables'!$B$13,K152&lt;='Range Tables'!$G$14,'Range Tables'!$B$14))</f>
        <v>2</v>
      </c>
      <c r="M152" s="112">
        <v>0.683415654288745</v>
      </c>
      <c r="N152" s="113" t="str">
        <f>ifs(H152="Car",ifs(M152&lt;='Range Tables'!$G$125,'Range Tables'!$B$125,M152&lt;='Range Tables'!$G$126,'Range Tables'!$B$126,M152&lt;='Range Tables'!$G$127,'Range Tables'!$B$127,M152&lt;='Range Tables'!$G$128,'Range Tables'!$B$128,M152&lt;='Range Tables'!$G$129,'Range Tables'!$B$129,'Range Tables'!$G$131,'Range Tables'!$B$131),H152="Bike",ifs(M152&lt;='Range Tables'!$G$136,'Range Tables'!$B$136,M152&lt;='Range Tables'!$G$137,'Range Tables'!$B$137,M152&lt;='Range Tables'!$G$138,'Range Tables'!$B$138,M152&lt;='Range Tables'!$G$142,'Range Tables'!$B$142),H152="Scooter",ifs(M152&lt;='Range Tables'!$G$148,'Range Tables'!$B$148,M152&lt;='Range Tables'!$G$149,'Range Tables'!$B$149,M152&lt;='Range Tables'!$G$150,'Range Tables'!$B$150,M152&lt;='Range Tables'!$G$151,'Range Tables'!$B$151),H152="Auto",ifs(M152&lt;='Range Tables'!$G$161,'Range Tables'!$B$161,M152&lt;='Range Tables'!$G$162,'Range Tables'!$B$162,M152&lt;='Range Tables'!$G$163,'Range Tables'!$B$163,M152&lt;='Range Tables'!$G$164,'Range Tables'!$B$164),H152="Carriers*",ifs(M152&lt;='Range Tables'!$G$173,'Range Tables'!$B$173,M152&lt;='Range Tables'!$G$174,'Range Tables'!$B$174,M152&lt;='Range Tables'!$G$175,'Range Tables'!$B$175,M152&lt;='Range Tables'!$G$176,'Range Tables'!$B$176,M152&lt;='Range Tables'!$G$177,'Range Tables'!$B$177,M152&lt;='Range Tables'!$G$179,'Range Tables'!$B$179),H152="Van*",ifs(M152&lt;='Range Tables'!$G$186,'Range Tables'!$B$186))</f>
        <v>120 - 180</v>
      </c>
      <c r="O152" s="113">
        <f>IFERROR(__xludf.DUMMYFUNCTION("SPLIT(N152,""-"")"),120.0)</f>
        <v>120</v>
      </c>
      <c r="P152" s="113">
        <f>IFERROR(__xludf.DUMMYFUNCTION("""COMPUTED_VALUE"""),180.0)</f>
        <v>180</v>
      </c>
      <c r="Q152" s="114">
        <f t="shared" si="2"/>
        <v>161.0049393</v>
      </c>
      <c r="R152" s="115">
        <f t="shared" si="3"/>
        <v>0.1417641083</v>
      </c>
      <c r="S152" s="114">
        <f t="shared" si="39"/>
        <v>12248.41896</v>
      </c>
      <c r="T152" s="113" t="str">
        <f t="shared" si="4"/>
        <v>no</v>
      </c>
      <c r="U152" s="115">
        <f t="shared" si="5"/>
        <v>0</v>
      </c>
      <c r="V152" s="113">
        <f t="shared" si="34"/>
        <v>0</v>
      </c>
      <c r="W152" s="115">
        <f t="shared" si="6"/>
        <v>0</v>
      </c>
      <c r="X152" s="85">
        <f t="shared" si="7"/>
        <v>0</v>
      </c>
      <c r="Y152" s="116">
        <f t="shared" si="8"/>
        <v>0</v>
      </c>
      <c r="Z152" s="113">
        <f t="shared" si="9"/>
        <v>0</v>
      </c>
      <c r="AA152" s="113" t="str">
        <f t="shared" si="10"/>
        <v>yes</v>
      </c>
      <c r="AB152" s="115">
        <f t="shared" si="11"/>
        <v>0</v>
      </c>
      <c r="AC152" s="113">
        <f t="shared" si="35"/>
        <v>0</v>
      </c>
      <c r="AD152" s="116">
        <f t="shared" si="12"/>
        <v>0.1417641083</v>
      </c>
      <c r="AE152" s="114">
        <f t="shared" si="13"/>
        <v>12248.41896</v>
      </c>
      <c r="AF152" s="116">
        <f t="shared" si="14"/>
        <v>0.1436275914</v>
      </c>
      <c r="AG152" s="114">
        <f t="shared" si="15"/>
        <v>12409.4239</v>
      </c>
      <c r="AH152" s="113" t="str">
        <f t="shared" si="16"/>
        <v>no</v>
      </c>
      <c r="AI152" s="115">
        <f t="shared" si="17"/>
        <v>0</v>
      </c>
      <c r="AJ152" s="113">
        <f t="shared" si="36"/>
        <v>0</v>
      </c>
      <c r="AK152" s="116">
        <f t="shared" si="18"/>
        <v>0</v>
      </c>
      <c r="AL152" s="113">
        <f t="shared" si="19"/>
        <v>0</v>
      </c>
      <c r="AM152" s="115">
        <f t="shared" si="20"/>
        <v>0</v>
      </c>
      <c r="AN152" s="85">
        <f t="shared" si="21"/>
        <v>0</v>
      </c>
      <c r="AO152" s="113" t="str">
        <f t="shared" si="22"/>
        <v>no</v>
      </c>
      <c r="AP152" s="115">
        <f t="shared" si="23"/>
        <v>0</v>
      </c>
      <c r="AQ152" s="113">
        <f t="shared" si="37"/>
        <v>0</v>
      </c>
      <c r="AR152" s="116">
        <f t="shared" si="24"/>
        <v>0</v>
      </c>
      <c r="AS152" s="113">
        <f t="shared" si="25"/>
        <v>0</v>
      </c>
      <c r="AT152" s="116">
        <f t="shared" si="26"/>
        <v>0</v>
      </c>
      <c r="AU152" s="113">
        <f t="shared" si="27"/>
        <v>0</v>
      </c>
      <c r="AV152" s="113" t="str">
        <f t="shared" si="28"/>
        <v>no</v>
      </c>
      <c r="AW152" s="115">
        <f t="shared" si="29"/>
        <v>0</v>
      </c>
      <c r="AX152" s="85">
        <f t="shared" si="38"/>
        <v>0</v>
      </c>
      <c r="AY152" s="116">
        <f t="shared" si="30"/>
        <v>0</v>
      </c>
      <c r="AZ152" s="113">
        <f t="shared" si="31"/>
        <v>0</v>
      </c>
      <c r="BA152" s="116">
        <f t="shared" si="32"/>
        <v>0</v>
      </c>
      <c r="BB152" s="113">
        <f t="shared" si="33"/>
        <v>0</v>
      </c>
      <c r="BC152" s="112">
        <v>0.6617500483489324</v>
      </c>
      <c r="BD152" s="113" t="str">
        <f>ifs(BC152&lt;='Range Tables'!$G$81,'Range Tables'!$B$81,BC152&lt;='Range Tables'!$G$82,'Range Tables'!$B$82)</f>
        <v>Offline*</v>
      </c>
      <c r="BE152" s="112">
        <v>0.5294721625513404</v>
      </c>
      <c r="BF152" s="112" t="str">
        <f>ifs(BE152&lt;='Range Tables'!$G$95,'Range Tables'!$B$95,BE152&lt;='Range Tables'!$G$96,'Range Tables'!$B$96,BE152&lt;='Range Tables'!$G$97,'Range Tables'!$B$97,BE152&lt;='Range Tables'!$G$98,'Range Tables'!$B$98,BE152&lt;='Range Tables'!$G$99,'Range Tables'!$B$99,BE152&lt;='Range Tables'!$G$100,'Range Tables'!$B$100,BE152&lt;='Range Tables'!$G$101,'Range Tables'!$B$101,BE152&lt;='Range Tables'!$G$102,'Range Tables'!$B$102,BE152&lt;='Range Tables'!$G$103,'Range Tables'!$B$103)</f>
        <v>Jammu</v>
      </c>
      <c r="BG152" s="112">
        <v>0.5509181724948595</v>
      </c>
      <c r="BH152" s="113" t="str">
        <f>ifs(BG152&lt;='Range Tables'!$G$112,'Range Tables'!$B$112,BG152&lt;='Range Tables'!$G$113,'Range Tables'!$B$113,BG152&lt;='Range Tables'!$G$114,'Range Tables'!$B$114)</f>
        <v>0</v>
      </c>
      <c r="BI152" s="117">
        <v>0.9619489679030305</v>
      </c>
      <c r="BJ152" s="113" t="str">
        <f>ifs(BI152&lt;='Range Tables'!$G$118,'Range Tables'!$B$118,BI152&lt;='Range Tables'!$G$119,'Range Tables'!$B$119)</f>
        <v>Expired</v>
      </c>
    </row>
    <row r="153">
      <c r="A153" s="85">
        <v>150.0</v>
      </c>
      <c r="B153" s="112">
        <v>0.050530653125061</v>
      </c>
      <c r="C153" s="113" t="str">
        <f>ifs(B153&lt;='Range Tables'!$G$54,'Range Tables'!$B$54,B153&lt;='Range Tables'!$G$55,'Range Tables'!$B$55,B153&lt;='Range Tables'!$G$56,'Range Tables'!$B$56,B153&lt;='Range Tables'!$G$57,'Range Tables'!$B$57,B153&lt;='Range Tables'!$G$58,'Range Tables'!$B$58,B153&lt;='Range Tables'!$G$59,'Range Tables'!$B$59,B153&lt;='Range Tables'!$G$60,'Range Tables'!$B$60,B153&lt;='Range Tables'!$G$61,'Range Tables'!$B$61,B153&lt;='Range Tables'!$G$63,'Range Tables'!$B$63,B153&lt;='Range Tables'!$G$64,'Range Tables'!$B$64,B153&lt;='Range Tables'!$G$66,'Range Tables'!$B$66)</f>
        <v>0 - 30</v>
      </c>
      <c r="D153" s="113">
        <f>IFERROR(__xludf.DUMMYFUNCTION("SPLIT(C153,""-"")"),0.0)</f>
        <v>0</v>
      </c>
      <c r="E153" s="113">
        <f>IFERROR(__xludf.DUMMYFUNCTION("""COMPUTED_VALUE"""),30.0)</f>
        <v>30</v>
      </c>
      <c r="F153" s="114">
        <f t="shared" si="40"/>
        <v>1.515919594</v>
      </c>
      <c r="G153" s="112">
        <v>0.151078485248619</v>
      </c>
      <c r="H153" s="113" t="str">
        <f>ifs(G153&lt;='Range Tables'!$G$86,'Range Tables'!$B$86,G153&lt;='Range Tables'!$G$87,'Range Tables'!$B$87,G153&lt;='Range Tables'!$G$88,'Range Tables'!$B$88,G153&lt;='Range Tables'!$G$89,'Range Tables'!$B$89,G153&lt;='Range Tables'!$G$90,'Range Tables'!$B$90,G153&lt;='Range Tables'!$G$91,'Range Tables'!$B$91)</f>
        <v>Car</v>
      </c>
      <c r="I153" s="112">
        <v>0.3255551261879005</v>
      </c>
      <c r="J153" s="113" t="str">
        <f>IFS(
  H153="Car", IF(I153&lt;='Range Tables'!$G$19, 'Range Tables'!$B$19, 'Range Tables'!$B$20), 
  H153="Bike", IF(I153&lt;='Range Tables'!$G$25, 'Range Tables'!$B$25, 'Range Tables'!$B$26), 
  H153="Scooter", IF(I153&lt;='Range Tables'!$G$31, 'Range Tables'!$B$31, 'Range Tables'!$B$32), 
  H153="Auto", IF(I153&lt;='Range Tables'!$G$37, 'Range Tables'!$B$37, 'Range Tables'!$B$38), 
  H153="Carriers*", IF(I153&lt;='Range Tables'!$G$43, 'Range Tables'!$B$43, 'Range Tables'!$B$44), 
  H153="Van*", IF(I153&lt;='Range Tables'!$G$50, 'Range Tables'!$B$50, 'Range Tables'!$B$49)
)</f>
        <v>Petrol</v>
      </c>
      <c r="K153" s="112">
        <v>0.9353433111692216</v>
      </c>
      <c r="L153" s="113">
        <f>if(J153="Petrol",ifs(K153&lt;='Range Tables'!$G$5,'Range Tables'!$B$5,K153&lt;='Range Tables'!$G$6,'Range Tables'!$B$6,K153&lt;='Range Tables'!$G$7,'Range Tables'!$B$7),ifs(K153&lt;='Range Tables'!$G$13,'Range Tables'!$B$13,K153&lt;='Range Tables'!$G$14,'Range Tables'!$B$14))</f>
        <v>4</v>
      </c>
      <c r="M153" s="112">
        <v>0.12813495490813576</v>
      </c>
      <c r="N153" s="113" t="str">
        <f>ifs(H153="Car",ifs(M153&lt;='Range Tables'!$G$125,'Range Tables'!$B$125,M153&lt;='Range Tables'!$G$126,'Range Tables'!$B$126,M153&lt;='Range Tables'!$G$127,'Range Tables'!$B$127,M153&lt;='Range Tables'!$G$128,'Range Tables'!$B$128,M153&lt;='Range Tables'!$G$129,'Range Tables'!$B$129,'Range Tables'!$G$131,'Range Tables'!$B$131),H153="Bike",ifs(M153&lt;='Range Tables'!$G$136,'Range Tables'!$B$136,M153&lt;='Range Tables'!$G$137,'Range Tables'!$B$137,M153&lt;='Range Tables'!$G$138,'Range Tables'!$B$138,M153&lt;='Range Tables'!$G$142,'Range Tables'!$B$142),H153="Scooter",ifs(M153&lt;='Range Tables'!$G$148,'Range Tables'!$B$148,M153&lt;='Range Tables'!$G$149,'Range Tables'!$B$149,M153&lt;='Range Tables'!$G$150,'Range Tables'!$B$150,M153&lt;='Range Tables'!$G$151,'Range Tables'!$B$151),H153="Auto",ifs(M153&lt;='Range Tables'!$G$161,'Range Tables'!$B$161,M153&lt;='Range Tables'!$G$162,'Range Tables'!$B$162,M153&lt;='Range Tables'!$G$163,'Range Tables'!$B$163,M153&lt;='Range Tables'!$G$164,'Range Tables'!$B$164),H153="Carriers*",ifs(M153&lt;='Range Tables'!$G$173,'Range Tables'!$B$173,M153&lt;='Range Tables'!$G$174,'Range Tables'!$B$174,M153&lt;='Range Tables'!$G$175,'Range Tables'!$B$175,M153&lt;='Range Tables'!$G$176,'Range Tables'!$B$176,M153&lt;='Range Tables'!$G$177,'Range Tables'!$B$177,M153&lt;='Range Tables'!$G$179,'Range Tables'!$B$179),H153="Van*",ifs(M153&lt;='Range Tables'!$G$186,'Range Tables'!$B$186))</f>
        <v>60 - 120</v>
      </c>
      <c r="O153" s="113">
        <f>IFERROR(__xludf.DUMMYFUNCTION("SPLIT(N153,""-"")"),60.0)</f>
        <v>60</v>
      </c>
      <c r="P153" s="113">
        <f>IFERROR(__xludf.DUMMYFUNCTION("""COMPUTED_VALUE"""),120.0)</f>
        <v>120</v>
      </c>
      <c r="Q153" s="114">
        <f t="shared" si="2"/>
        <v>67.68809729</v>
      </c>
      <c r="R153" s="115">
        <f t="shared" si="3"/>
        <v>0.1422819931</v>
      </c>
      <c r="S153" s="114">
        <f t="shared" si="39"/>
        <v>12293.16421</v>
      </c>
      <c r="T153" s="113" t="str">
        <f t="shared" si="4"/>
        <v>no</v>
      </c>
      <c r="U153" s="115">
        <f t="shared" si="5"/>
        <v>0</v>
      </c>
      <c r="V153" s="113">
        <f t="shared" si="34"/>
        <v>0</v>
      </c>
      <c r="W153" s="115">
        <f t="shared" si="6"/>
        <v>0</v>
      </c>
      <c r="X153" s="85">
        <f t="shared" si="7"/>
        <v>0</v>
      </c>
      <c r="Y153" s="116">
        <f t="shared" si="8"/>
        <v>0</v>
      </c>
      <c r="Z153" s="113">
        <f t="shared" si="9"/>
        <v>0</v>
      </c>
      <c r="AA153" s="113" t="str">
        <f t="shared" si="10"/>
        <v>no</v>
      </c>
      <c r="AB153" s="115">
        <f t="shared" si="11"/>
        <v>0</v>
      </c>
      <c r="AC153" s="113">
        <f t="shared" si="35"/>
        <v>0</v>
      </c>
      <c r="AD153" s="116">
        <f t="shared" si="12"/>
        <v>0</v>
      </c>
      <c r="AE153" s="113">
        <f t="shared" si="13"/>
        <v>0</v>
      </c>
      <c r="AF153" s="116">
        <f t="shared" si="14"/>
        <v>0</v>
      </c>
      <c r="AG153" s="113">
        <f t="shared" si="15"/>
        <v>0</v>
      </c>
      <c r="AH153" s="113" t="str">
        <f t="shared" si="16"/>
        <v>no</v>
      </c>
      <c r="AI153" s="115">
        <f t="shared" si="17"/>
        <v>0</v>
      </c>
      <c r="AJ153" s="113">
        <f t="shared" si="36"/>
        <v>0</v>
      </c>
      <c r="AK153" s="116">
        <f t="shared" si="18"/>
        <v>0</v>
      </c>
      <c r="AL153" s="113">
        <f t="shared" si="19"/>
        <v>0</v>
      </c>
      <c r="AM153" s="115">
        <f t="shared" si="20"/>
        <v>0</v>
      </c>
      <c r="AN153" s="85">
        <f t="shared" si="21"/>
        <v>0</v>
      </c>
      <c r="AO153" s="113" t="str">
        <f t="shared" si="22"/>
        <v>yes</v>
      </c>
      <c r="AP153" s="115">
        <f t="shared" si="23"/>
        <v>0</v>
      </c>
      <c r="AQ153" s="113">
        <f t="shared" si="37"/>
        <v>0</v>
      </c>
      <c r="AR153" s="116">
        <f t="shared" si="24"/>
        <v>0.1422819931</v>
      </c>
      <c r="AS153" s="114">
        <f t="shared" si="25"/>
        <v>12293.16421</v>
      </c>
      <c r="AT153" s="116">
        <f t="shared" si="26"/>
        <v>0.1430654202</v>
      </c>
      <c r="AU153" s="114">
        <f t="shared" si="27"/>
        <v>12360.8523</v>
      </c>
      <c r="AV153" s="113" t="str">
        <f t="shared" si="28"/>
        <v>no</v>
      </c>
      <c r="AW153" s="115">
        <f t="shared" si="29"/>
        <v>0</v>
      </c>
      <c r="AX153" s="85">
        <f t="shared" si="38"/>
        <v>0</v>
      </c>
      <c r="AY153" s="116">
        <f t="shared" si="30"/>
        <v>0</v>
      </c>
      <c r="AZ153" s="113">
        <f t="shared" si="31"/>
        <v>0</v>
      </c>
      <c r="BA153" s="116">
        <f t="shared" si="32"/>
        <v>0</v>
      </c>
      <c r="BB153" s="113">
        <f t="shared" si="33"/>
        <v>0</v>
      </c>
      <c r="BC153" s="112">
        <v>0.9920956479897451</v>
      </c>
      <c r="BD153" s="113" t="str">
        <f>ifs(BC153&lt;='Range Tables'!$G$81,'Range Tables'!$B$81,BC153&lt;='Range Tables'!$G$82,'Range Tables'!$B$82)</f>
        <v>Offline*</v>
      </c>
      <c r="BE153" s="112">
        <v>0.22434788336903855</v>
      </c>
      <c r="BF153" s="112" t="str">
        <f>ifs(BE153&lt;='Range Tables'!$G$95,'Range Tables'!$B$95,BE153&lt;='Range Tables'!$G$96,'Range Tables'!$B$96,BE153&lt;='Range Tables'!$G$97,'Range Tables'!$B$97,BE153&lt;='Range Tables'!$G$98,'Range Tables'!$B$98,BE153&lt;='Range Tables'!$G$99,'Range Tables'!$B$99,BE153&lt;='Range Tables'!$G$100,'Range Tables'!$B$100,BE153&lt;='Range Tables'!$G$101,'Range Tables'!$B$101,BE153&lt;='Range Tables'!$G$102,'Range Tables'!$B$102,BE153&lt;='Range Tables'!$G$103,'Range Tables'!$B$103)</f>
        <v>Jammu</v>
      </c>
      <c r="BG153" s="112">
        <v>0.7771744053342451</v>
      </c>
      <c r="BH153" s="113" t="str">
        <f>ifs(BG153&lt;='Range Tables'!$G$112,'Range Tables'!$B$112,BG153&lt;='Range Tables'!$G$113,'Range Tables'!$B$113,BG153&lt;='Range Tables'!$G$114,'Range Tables'!$B$114)</f>
        <v>1-5</v>
      </c>
      <c r="BI153" s="117">
        <v>0.07936801539565597</v>
      </c>
      <c r="BJ153" s="113" t="str">
        <f>ifs(BI153&lt;='Range Tables'!$G$118,'Range Tables'!$B$118,BI153&lt;='Range Tables'!$G$119,'Range Tables'!$B$119)</f>
        <v>Valid</v>
      </c>
    </row>
    <row r="154">
      <c r="A154" s="85">
        <v>151.0</v>
      </c>
      <c r="B154" s="112">
        <v>0.11966527666783289</v>
      </c>
      <c r="C154" s="113" t="str">
        <f>ifs(B154&lt;='Range Tables'!$G$54,'Range Tables'!$B$54,B154&lt;='Range Tables'!$G$55,'Range Tables'!$B$55,B154&lt;='Range Tables'!$G$56,'Range Tables'!$B$56,B154&lt;='Range Tables'!$G$57,'Range Tables'!$B$57,B154&lt;='Range Tables'!$G$58,'Range Tables'!$B$58,B154&lt;='Range Tables'!$G$59,'Range Tables'!$B$59,B154&lt;='Range Tables'!$G$60,'Range Tables'!$B$60,B154&lt;='Range Tables'!$G$61,'Range Tables'!$B$61,B154&lt;='Range Tables'!$G$63,'Range Tables'!$B$63,B154&lt;='Range Tables'!$G$64,'Range Tables'!$B$64,B154&lt;='Range Tables'!$G$66,'Range Tables'!$B$66)</f>
        <v>0 - 30</v>
      </c>
      <c r="D154" s="113">
        <f>IFERROR(__xludf.DUMMYFUNCTION("SPLIT(C154,""-"")"),0.0)</f>
        <v>0</v>
      </c>
      <c r="E154" s="113">
        <f>IFERROR(__xludf.DUMMYFUNCTION("""COMPUTED_VALUE"""),30.0)</f>
        <v>30</v>
      </c>
      <c r="F154" s="114">
        <f t="shared" si="40"/>
        <v>3.5899583</v>
      </c>
      <c r="G154" s="112">
        <v>0.15504547991067863</v>
      </c>
      <c r="H154" s="113" t="str">
        <f>ifs(G154&lt;='Range Tables'!$G$86,'Range Tables'!$B$86,G154&lt;='Range Tables'!$G$87,'Range Tables'!$B$87,G154&lt;='Range Tables'!$G$88,'Range Tables'!$B$88,G154&lt;='Range Tables'!$G$89,'Range Tables'!$B$89,G154&lt;='Range Tables'!$G$90,'Range Tables'!$B$90,G154&lt;='Range Tables'!$G$91,'Range Tables'!$B$91)</f>
        <v>Car</v>
      </c>
      <c r="I154" s="112">
        <v>0.9393474930107143</v>
      </c>
      <c r="J154" s="113" t="str">
        <f>IFS(
  H154="Car", IF(I154&lt;='Range Tables'!$G$19, 'Range Tables'!$B$19, 'Range Tables'!$B$20), 
  H154="Bike", IF(I154&lt;='Range Tables'!$G$25, 'Range Tables'!$B$25, 'Range Tables'!$B$26), 
  H154="Scooter", IF(I154&lt;='Range Tables'!$G$31, 'Range Tables'!$B$31, 'Range Tables'!$B$32), 
  H154="Auto", IF(I154&lt;='Range Tables'!$G$37, 'Range Tables'!$B$37, 'Range Tables'!$B$38), 
  H154="Carriers*", IF(I154&lt;='Range Tables'!$G$43, 'Range Tables'!$B$43, 'Range Tables'!$B$44), 
  H154="Van*", IF(I154&lt;='Range Tables'!$G$50, 'Range Tables'!$B$50, 'Range Tables'!$B$49)
)</f>
        <v>Diesel</v>
      </c>
      <c r="K154" s="112">
        <v>0.37718867193051997</v>
      </c>
      <c r="L154" s="113">
        <f>if(J154="Petrol",ifs(K154&lt;='Range Tables'!$G$5,'Range Tables'!$B$5,K154&lt;='Range Tables'!$G$6,'Range Tables'!$B$6,K154&lt;='Range Tables'!$G$7,'Range Tables'!$B$7),ifs(K154&lt;='Range Tables'!$G$13,'Range Tables'!$B$13,K154&lt;='Range Tables'!$G$14,'Range Tables'!$B$14))</f>
        <v>1</v>
      </c>
      <c r="M154" s="112">
        <v>0.7247983229600394</v>
      </c>
      <c r="N154" s="113" t="str">
        <f>ifs(H154="Car",ifs(M154&lt;='Range Tables'!$G$125,'Range Tables'!$B$125,M154&lt;='Range Tables'!$G$126,'Range Tables'!$B$126,M154&lt;='Range Tables'!$G$127,'Range Tables'!$B$127,M154&lt;='Range Tables'!$G$128,'Range Tables'!$B$128,M154&lt;='Range Tables'!$G$129,'Range Tables'!$B$129,'Range Tables'!$G$131,'Range Tables'!$B$131),H154="Bike",ifs(M154&lt;='Range Tables'!$G$136,'Range Tables'!$B$136,M154&lt;='Range Tables'!$G$137,'Range Tables'!$B$137,M154&lt;='Range Tables'!$G$138,'Range Tables'!$B$138,M154&lt;='Range Tables'!$G$142,'Range Tables'!$B$142),H154="Scooter",ifs(M154&lt;='Range Tables'!$G$148,'Range Tables'!$B$148,M154&lt;='Range Tables'!$G$149,'Range Tables'!$B$149,M154&lt;='Range Tables'!$G$150,'Range Tables'!$B$150,M154&lt;='Range Tables'!$G$151,'Range Tables'!$B$151),H154="Auto",ifs(M154&lt;='Range Tables'!$G$161,'Range Tables'!$B$161,M154&lt;='Range Tables'!$G$162,'Range Tables'!$B$162,M154&lt;='Range Tables'!$G$163,'Range Tables'!$B$163,M154&lt;='Range Tables'!$G$164,'Range Tables'!$B$164),H154="Carriers*",ifs(M154&lt;='Range Tables'!$G$173,'Range Tables'!$B$173,M154&lt;='Range Tables'!$G$174,'Range Tables'!$B$174,M154&lt;='Range Tables'!$G$175,'Range Tables'!$B$175,M154&lt;='Range Tables'!$G$176,'Range Tables'!$B$176,M154&lt;='Range Tables'!$G$177,'Range Tables'!$B$177,M154&lt;='Range Tables'!$G$179,'Range Tables'!$B$179),H154="Van*",ifs(M154&lt;='Range Tables'!$G$186,'Range Tables'!$B$186))</f>
        <v>120 - 180</v>
      </c>
      <c r="O154" s="113">
        <f>IFERROR(__xludf.DUMMYFUNCTION("SPLIT(N154,""-"")"),120.0)</f>
        <v>120</v>
      </c>
      <c r="P154" s="113">
        <f>IFERROR(__xludf.DUMMYFUNCTION("""COMPUTED_VALUE"""),180.0)</f>
        <v>180</v>
      </c>
      <c r="Q154" s="114">
        <f t="shared" si="2"/>
        <v>163.4878994</v>
      </c>
      <c r="R154" s="115">
        <f t="shared" si="3"/>
        <v>0.1422995385</v>
      </c>
      <c r="S154" s="114">
        <f t="shared" si="39"/>
        <v>12294.68013</v>
      </c>
      <c r="T154" s="113" t="str">
        <f t="shared" si="4"/>
        <v>yes</v>
      </c>
      <c r="U154" s="115">
        <f t="shared" si="5"/>
        <v>0</v>
      </c>
      <c r="V154" s="113">
        <f t="shared" si="34"/>
        <v>0</v>
      </c>
      <c r="W154" s="115">
        <f t="shared" si="6"/>
        <v>0.1422995385</v>
      </c>
      <c r="X154" s="118">
        <f t="shared" si="7"/>
        <v>12294.68013</v>
      </c>
      <c r="Y154" s="116">
        <f t="shared" si="8"/>
        <v>0.1441917595</v>
      </c>
      <c r="Z154" s="114">
        <f t="shared" si="9"/>
        <v>12458.16802</v>
      </c>
      <c r="AA154" s="113" t="str">
        <f t="shared" si="10"/>
        <v>no</v>
      </c>
      <c r="AB154" s="115">
        <f t="shared" si="11"/>
        <v>0</v>
      </c>
      <c r="AC154" s="113">
        <f t="shared" si="35"/>
        <v>0</v>
      </c>
      <c r="AD154" s="116">
        <f t="shared" si="12"/>
        <v>0</v>
      </c>
      <c r="AE154" s="113">
        <f t="shared" si="13"/>
        <v>0</v>
      </c>
      <c r="AF154" s="116">
        <f t="shared" si="14"/>
        <v>0</v>
      </c>
      <c r="AG154" s="113">
        <f t="shared" si="15"/>
        <v>0</v>
      </c>
      <c r="AH154" s="113" t="str">
        <f t="shared" si="16"/>
        <v>no</v>
      </c>
      <c r="AI154" s="115">
        <f t="shared" si="17"/>
        <v>0</v>
      </c>
      <c r="AJ154" s="113">
        <f t="shared" si="36"/>
        <v>0</v>
      </c>
      <c r="AK154" s="116">
        <f t="shared" si="18"/>
        <v>0</v>
      </c>
      <c r="AL154" s="113">
        <f t="shared" si="19"/>
        <v>0</v>
      </c>
      <c r="AM154" s="115">
        <f t="shared" si="20"/>
        <v>0</v>
      </c>
      <c r="AN154" s="85">
        <f t="shared" si="21"/>
        <v>0</v>
      </c>
      <c r="AO154" s="113" t="str">
        <f t="shared" si="22"/>
        <v>no</v>
      </c>
      <c r="AP154" s="115">
        <f t="shared" si="23"/>
        <v>0</v>
      </c>
      <c r="AQ154" s="113">
        <f t="shared" si="37"/>
        <v>0</v>
      </c>
      <c r="AR154" s="116">
        <f t="shared" si="24"/>
        <v>0</v>
      </c>
      <c r="AS154" s="113">
        <f t="shared" si="25"/>
        <v>0</v>
      </c>
      <c r="AT154" s="116">
        <f t="shared" si="26"/>
        <v>0</v>
      </c>
      <c r="AU154" s="113">
        <f t="shared" si="27"/>
        <v>0</v>
      </c>
      <c r="AV154" s="113" t="str">
        <f t="shared" si="28"/>
        <v>no</v>
      </c>
      <c r="AW154" s="115">
        <f t="shared" si="29"/>
        <v>0</v>
      </c>
      <c r="AX154" s="85">
        <f t="shared" si="38"/>
        <v>0</v>
      </c>
      <c r="AY154" s="116">
        <f t="shared" si="30"/>
        <v>0</v>
      </c>
      <c r="AZ154" s="113">
        <f t="shared" si="31"/>
        <v>0</v>
      </c>
      <c r="BA154" s="116">
        <f t="shared" si="32"/>
        <v>0</v>
      </c>
      <c r="BB154" s="113">
        <f t="shared" si="33"/>
        <v>0</v>
      </c>
      <c r="BC154" s="112">
        <v>0.14515662044693323</v>
      </c>
      <c r="BD154" s="113" t="str">
        <f>ifs(BC154&lt;='Range Tables'!$G$81,'Range Tables'!$B$81,BC154&lt;='Range Tables'!$G$82,'Range Tables'!$B$82)</f>
        <v>Online*</v>
      </c>
      <c r="BE154" s="112">
        <v>0.32581123293188274</v>
      </c>
      <c r="BF154" s="112" t="str">
        <f>ifs(BE154&lt;='Range Tables'!$G$95,'Range Tables'!$B$95,BE154&lt;='Range Tables'!$G$96,'Range Tables'!$B$96,BE154&lt;='Range Tables'!$G$97,'Range Tables'!$B$97,BE154&lt;='Range Tables'!$G$98,'Range Tables'!$B$98,BE154&lt;='Range Tables'!$G$99,'Range Tables'!$B$99,BE154&lt;='Range Tables'!$G$100,'Range Tables'!$B$100,BE154&lt;='Range Tables'!$G$101,'Range Tables'!$B$101,BE154&lt;='Range Tables'!$G$102,'Range Tables'!$B$102,BE154&lt;='Range Tables'!$G$103,'Range Tables'!$B$103)</f>
        <v>Jammu</v>
      </c>
      <c r="BG154" s="112">
        <v>0.38512658505022646</v>
      </c>
      <c r="BH154" s="113" t="str">
        <f>ifs(BG154&lt;='Range Tables'!$G$112,'Range Tables'!$B$112,BG154&lt;='Range Tables'!$G$113,'Range Tables'!$B$113,BG154&lt;='Range Tables'!$G$114,'Range Tables'!$B$114)</f>
        <v>0</v>
      </c>
      <c r="BI154" s="117">
        <v>0.3971154436232417</v>
      </c>
      <c r="BJ154" s="113" t="str">
        <f>ifs(BI154&lt;='Range Tables'!$G$118,'Range Tables'!$B$118,BI154&lt;='Range Tables'!$G$119,'Range Tables'!$B$119)</f>
        <v>Valid</v>
      </c>
    </row>
    <row r="155">
      <c r="A155" s="85">
        <v>152.0</v>
      </c>
      <c r="B155" s="112">
        <v>0.5266002426494376</v>
      </c>
      <c r="C155" s="113" t="str">
        <f>ifs(B155&lt;='Range Tables'!$G$54,'Range Tables'!$B$54,B155&lt;='Range Tables'!$G$55,'Range Tables'!$B$55,B155&lt;='Range Tables'!$G$56,'Range Tables'!$B$56,B155&lt;='Range Tables'!$G$57,'Range Tables'!$B$57,B155&lt;='Range Tables'!$G$58,'Range Tables'!$B$58,B155&lt;='Range Tables'!$G$59,'Range Tables'!$B$59,B155&lt;='Range Tables'!$G$60,'Range Tables'!$B$60,B155&lt;='Range Tables'!$G$61,'Range Tables'!$B$61,B155&lt;='Range Tables'!$G$63,'Range Tables'!$B$63,B155&lt;='Range Tables'!$G$64,'Range Tables'!$B$64,B155&lt;='Range Tables'!$G$66,'Range Tables'!$B$66)</f>
        <v>30 - 60 </v>
      </c>
      <c r="D155" s="113">
        <f>IFERROR(__xludf.DUMMYFUNCTION("SPLIT(C155,""-"")"),30.0)</f>
        <v>30</v>
      </c>
      <c r="E155" s="113">
        <f>IFERROR(__xludf.DUMMYFUNCTION("""COMPUTED_VALUE"""),60.0)</f>
        <v>60</v>
      </c>
      <c r="F155" s="114">
        <f t="shared" si="40"/>
        <v>45.79800728</v>
      </c>
      <c r="G155" s="112">
        <v>0.9837060413822906</v>
      </c>
      <c r="H155" s="113" t="str">
        <f>ifs(G155&lt;='Range Tables'!$G$86,'Range Tables'!$B$86,G155&lt;='Range Tables'!$G$87,'Range Tables'!$B$87,G155&lt;='Range Tables'!$G$88,'Range Tables'!$B$88,G155&lt;='Range Tables'!$G$89,'Range Tables'!$B$89,G155&lt;='Range Tables'!$G$90,'Range Tables'!$B$90,G155&lt;='Range Tables'!$G$91,'Range Tables'!$B$91)</f>
        <v>Van*</v>
      </c>
      <c r="I155" s="112">
        <v>0.06085105319498996</v>
      </c>
      <c r="J155" s="113" t="str">
        <f>IFS(
  H155="Car", IF(I155&lt;='Range Tables'!$G$19, 'Range Tables'!$B$19, 'Range Tables'!$B$20), 
  H155="Bike", IF(I155&lt;='Range Tables'!$G$25, 'Range Tables'!$B$25, 'Range Tables'!$B$26), 
  H155="Scooter", IF(I155&lt;='Range Tables'!$G$31, 'Range Tables'!$B$31, 'Range Tables'!$B$32), 
  H155="Auto", IF(I155&lt;='Range Tables'!$G$37, 'Range Tables'!$B$37, 'Range Tables'!$B$38), 
  H155="Carriers*", IF(I155&lt;='Range Tables'!$G$43, 'Range Tables'!$B$43, 'Range Tables'!$B$44), 
  H155="Van*", IF(I155&lt;='Range Tables'!$G$50, 'Range Tables'!$B$50, 'Range Tables'!$B$49)
)</f>
        <v>Diesel</v>
      </c>
      <c r="K155" s="112">
        <v>0.19141691076663148</v>
      </c>
      <c r="L155" s="113">
        <f>if(J155="Petrol",ifs(K155&lt;='Range Tables'!$G$5,'Range Tables'!$B$5,K155&lt;='Range Tables'!$G$6,'Range Tables'!$B$6,K155&lt;='Range Tables'!$G$7,'Range Tables'!$B$7),ifs(K155&lt;='Range Tables'!$G$13,'Range Tables'!$B$13,K155&lt;='Range Tables'!$G$14,'Range Tables'!$B$14))</f>
        <v>1</v>
      </c>
      <c r="M155" s="112">
        <v>0.9815625037600602</v>
      </c>
      <c r="N155" s="113" t="str">
        <f>ifs(H155="Car",ifs(M155&lt;='Range Tables'!$G$125,'Range Tables'!$B$125,M155&lt;='Range Tables'!$G$126,'Range Tables'!$B$126,M155&lt;='Range Tables'!$G$127,'Range Tables'!$B$127,M155&lt;='Range Tables'!$G$128,'Range Tables'!$B$128,M155&lt;='Range Tables'!$G$129,'Range Tables'!$B$129,'Range Tables'!$G$131,'Range Tables'!$B$131),H155="Bike",ifs(M155&lt;='Range Tables'!$G$136,'Range Tables'!$B$136,M155&lt;='Range Tables'!$G$137,'Range Tables'!$B$137,M155&lt;='Range Tables'!$G$138,'Range Tables'!$B$138,M155&lt;='Range Tables'!$G$142,'Range Tables'!$B$142),H155="Scooter",ifs(M155&lt;='Range Tables'!$G$148,'Range Tables'!$B$148,M155&lt;='Range Tables'!$G$149,'Range Tables'!$B$149,M155&lt;='Range Tables'!$G$150,'Range Tables'!$B$150,M155&lt;='Range Tables'!$G$151,'Range Tables'!$B$151),H155="Auto",ifs(M155&lt;='Range Tables'!$G$161,'Range Tables'!$B$161,M155&lt;='Range Tables'!$G$162,'Range Tables'!$B$162,M155&lt;='Range Tables'!$G$163,'Range Tables'!$B$163,M155&lt;='Range Tables'!$G$164,'Range Tables'!$B$164),H155="Carriers*",ifs(M155&lt;='Range Tables'!$G$173,'Range Tables'!$B$173,M155&lt;='Range Tables'!$G$174,'Range Tables'!$B$174,M155&lt;='Range Tables'!$G$175,'Range Tables'!$B$175,M155&lt;='Range Tables'!$G$176,'Range Tables'!$B$176,M155&lt;='Range Tables'!$G$177,'Range Tables'!$B$177,M155&lt;='Range Tables'!$G$179,'Range Tables'!$B$179),H155="Van*",ifs(M155&lt;='Range Tables'!$G$186,'Range Tables'!$B$186))</f>
        <v>120 - 180</v>
      </c>
      <c r="O155" s="113">
        <f>IFERROR(__xludf.DUMMYFUNCTION("SPLIT(N155,""-"")"),120.0)</f>
        <v>120</v>
      </c>
      <c r="P155" s="113">
        <f>IFERROR(__xludf.DUMMYFUNCTION("""COMPUTED_VALUE"""),180.0)</f>
        <v>180</v>
      </c>
      <c r="Q155" s="114">
        <f t="shared" si="2"/>
        <v>178.8937502</v>
      </c>
      <c r="R155" s="115">
        <f t="shared" si="3"/>
        <v>0.1423410889</v>
      </c>
      <c r="S155" s="114">
        <f t="shared" si="39"/>
        <v>12298.27008</v>
      </c>
      <c r="T155" s="113" t="str">
        <f t="shared" si="4"/>
        <v>yes</v>
      </c>
      <c r="U155" s="115">
        <f t="shared" si="5"/>
        <v>0.001850670614</v>
      </c>
      <c r="V155" s="114">
        <f t="shared" si="34"/>
        <v>159.8979411</v>
      </c>
      <c r="W155" s="115">
        <f t="shared" si="6"/>
        <v>0.1441917595</v>
      </c>
      <c r="X155" s="118">
        <f t="shared" si="7"/>
        <v>12458.16802</v>
      </c>
      <c r="Y155" s="116">
        <f t="shared" si="8"/>
        <v>0.1462622891</v>
      </c>
      <c r="Z155" s="114">
        <f t="shared" si="9"/>
        <v>12637.06177</v>
      </c>
      <c r="AA155" s="113" t="str">
        <f t="shared" si="10"/>
        <v>no</v>
      </c>
      <c r="AB155" s="115">
        <f t="shared" si="11"/>
        <v>0</v>
      </c>
      <c r="AC155" s="113">
        <f t="shared" si="35"/>
        <v>0</v>
      </c>
      <c r="AD155" s="116">
        <f t="shared" si="12"/>
        <v>0</v>
      </c>
      <c r="AE155" s="113">
        <f t="shared" si="13"/>
        <v>0</v>
      </c>
      <c r="AF155" s="116">
        <f t="shared" si="14"/>
        <v>0</v>
      </c>
      <c r="AG155" s="113">
        <f t="shared" si="15"/>
        <v>0</v>
      </c>
      <c r="AH155" s="113" t="str">
        <f t="shared" si="16"/>
        <v>no</v>
      </c>
      <c r="AI155" s="115">
        <f t="shared" si="17"/>
        <v>0</v>
      </c>
      <c r="AJ155" s="113">
        <f t="shared" si="36"/>
        <v>0</v>
      </c>
      <c r="AK155" s="116">
        <f t="shared" si="18"/>
        <v>0</v>
      </c>
      <c r="AL155" s="113">
        <f t="shared" si="19"/>
        <v>0</v>
      </c>
      <c r="AM155" s="115">
        <f t="shared" si="20"/>
        <v>0</v>
      </c>
      <c r="AN155" s="85">
        <f t="shared" si="21"/>
        <v>0</v>
      </c>
      <c r="AO155" s="113" t="str">
        <f t="shared" si="22"/>
        <v>no</v>
      </c>
      <c r="AP155" s="115">
        <f t="shared" si="23"/>
        <v>0</v>
      </c>
      <c r="AQ155" s="113">
        <f t="shared" si="37"/>
        <v>0</v>
      </c>
      <c r="AR155" s="116">
        <f t="shared" si="24"/>
        <v>0</v>
      </c>
      <c r="AS155" s="113">
        <f t="shared" si="25"/>
        <v>0</v>
      </c>
      <c r="AT155" s="116">
        <f t="shared" si="26"/>
        <v>0</v>
      </c>
      <c r="AU155" s="113">
        <f t="shared" si="27"/>
        <v>0</v>
      </c>
      <c r="AV155" s="113" t="str">
        <f t="shared" si="28"/>
        <v>no</v>
      </c>
      <c r="AW155" s="115">
        <f t="shared" si="29"/>
        <v>0</v>
      </c>
      <c r="AX155" s="85">
        <f t="shared" si="38"/>
        <v>0</v>
      </c>
      <c r="AY155" s="116">
        <f t="shared" si="30"/>
        <v>0</v>
      </c>
      <c r="AZ155" s="113">
        <f t="shared" si="31"/>
        <v>0</v>
      </c>
      <c r="BA155" s="116">
        <f t="shared" si="32"/>
        <v>0</v>
      </c>
      <c r="BB155" s="113">
        <f t="shared" si="33"/>
        <v>0</v>
      </c>
      <c r="BC155" s="112">
        <v>0.9843013954248443</v>
      </c>
      <c r="BD155" s="113" t="str">
        <f>ifs(BC155&lt;='Range Tables'!$G$81,'Range Tables'!$B$81,BC155&lt;='Range Tables'!$G$82,'Range Tables'!$B$82)</f>
        <v>Offline*</v>
      </c>
      <c r="BE155" s="112">
        <v>0.40953960199274886</v>
      </c>
      <c r="BF155" s="112" t="str">
        <f>ifs(BE155&lt;='Range Tables'!$G$95,'Range Tables'!$B$95,BE155&lt;='Range Tables'!$G$96,'Range Tables'!$B$96,BE155&lt;='Range Tables'!$G$97,'Range Tables'!$B$97,BE155&lt;='Range Tables'!$G$98,'Range Tables'!$B$98,BE155&lt;='Range Tables'!$G$99,'Range Tables'!$B$99,BE155&lt;='Range Tables'!$G$100,'Range Tables'!$B$100,BE155&lt;='Range Tables'!$G$101,'Range Tables'!$B$101,BE155&lt;='Range Tables'!$G$102,'Range Tables'!$B$102,BE155&lt;='Range Tables'!$G$103,'Range Tables'!$B$103)</f>
        <v>Jammu</v>
      </c>
      <c r="BG155" s="112">
        <v>0.41932013868591</v>
      </c>
      <c r="BH155" s="113" t="str">
        <f>ifs(BG155&lt;='Range Tables'!$G$112,'Range Tables'!$B$112,BG155&lt;='Range Tables'!$G$113,'Range Tables'!$B$113,BG155&lt;='Range Tables'!$G$114,'Range Tables'!$B$114)</f>
        <v>0</v>
      </c>
      <c r="BI155" s="117">
        <v>0.6871076767966046</v>
      </c>
      <c r="BJ155" s="113" t="str">
        <f>ifs(BI155&lt;='Range Tables'!$G$118,'Range Tables'!$B$118,BI155&lt;='Range Tables'!$G$119,'Range Tables'!$B$119)</f>
        <v>Expired</v>
      </c>
    </row>
    <row r="156">
      <c r="A156" s="85">
        <v>153.0</v>
      </c>
      <c r="B156" s="112">
        <v>0.7405798548356866</v>
      </c>
      <c r="C156" s="113" t="str">
        <f>ifs(B156&lt;='Range Tables'!$G$54,'Range Tables'!$B$54,B156&lt;='Range Tables'!$G$55,'Range Tables'!$B$55,B156&lt;='Range Tables'!$G$56,'Range Tables'!$B$56,B156&lt;='Range Tables'!$G$57,'Range Tables'!$B$57,B156&lt;='Range Tables'!$G$58,'Range Tables'!$B$58,B156&lt;='Range Tables'!$G$59,'Range Tables'!$B$59,B156&lt;='Range Tables'!$G$60,'Range Tables'!$B$60,B156&lt;='Range Tables'!$G$61,'Range Tables'!$B$61,B156&lt;='Range Tables'!$G$63,'Range Tables'!$B$63,B156&lt;='Range Tables'!$G$64,'Range Tables'!$B$64,B156&lt;='Range Tables'!$G$66,'Range Tables'!$B$66)</f>
        <v>90 - 120</v>
      </c>
      <c r="D156" s="113">
        <f>IFERROR(__xludf.DUMMYFUNCTION("SPLIT(C156,""-"")"),90.0)</f>
        <v>90</v>
      </c>
      <c r="E156" s="113">
        <f>IFERROR(__xludf.DUMMYFUNCTION("""COMPUTED_VALUE"""),120.0)</f>
        <v>120</v>
      </c>
      <c r="F156" s="114">
        <f t="shared" si="40"/>
        <v>112.2173956</v>
      </c>
      <c r="G156" s="112">
        <v>0.8288281207846243</v>
      </c>
      <c r="H156" s="113" t="str">
        <f>ifs(G156&lt;='Range Tables'!$G$86,'Range Tables'!$B$86,G156&lt;='Range Tables'!$G$87,'Range Tables'!$B$87,G156&lt;='Range Tables'!$G$88,'Range Tables'!$B$88,G156&lt;='Range Tables'!$G$89,'Range Tables'!$B$89,G156&lt;='Range Tables'!$G$90,'Range Tables'!$B$90,G156&lt;='Range Tables'!$G$91,'Range Tables'!$B$91)</f>
        <v>Scooter</v>
      </c>
      <c r="I156" s="112">
        <v>0.7963688411567234</v>
      </c>
      <c r="J156" s="113" t="str">
        <f>IFS(
  H156="Car", IF(I156&lt;='Range Tables'!$G$19, 'Range Tables'!$B$19, 'Range Tables'!$B$20), 
  H156="Bike", IF(I156&lt;='Range Tables'!$G$25, 'Range Tables'!$B$25, 'Range Tables'!$B$26), 
  H156="Scooter", IF(I156&lt;='Range Tables'!$G$31, 'Range Tables'!$B$31, 'Range Tables'!$B$32), 
  H156="Auto", IF(I156&lt;='Range Tables'!$G$37, 'Range Tables'!$B$37, 'Range Tables'!$B$38), 
  H156="Carriers*", IF(I156&lt;='Range Tables'!$G$43, 'Range Tables'!$B$43, 'Range Tables'!$B$44), 
  H156="Van*", IF(I156&lt;='Range Tables'!$G$50, 'Range Tables'!$B$50, 'Range Tables'!$B$49)
)</f>
        <v>Petrol</v>
      </c>
      <c r="K156" s="112">
        <v>0.5881738645270617</v>
      </c>
      <c r="L156" s="113">
        <f>if(J156="Petrol",ifs(K156&lt;='Range Tables'!$G$5,'Range Tables'!$B$5,K156&lt;='Range Tables'!$G$6,'Range Tables'!$B$6,K156&lt;='Range Tables'!$G$7,'Range Tables'!$B$7),ifs(K156&lt;='Range Tables'!$G$13,'Range Tables'!$B$13,K156&lt;='Range Tables'!$G$14,'Range Tables'!$B$14))</f>
        <v>3</v>
      </c>
      <c r="M156" s="112">
        <v>0.7264948786271679</v>
      </c>
      <c r="N156" s="113" t="str">
        <f>ifs(H156="Car",ifs(M156&lt;='Range Tables'!$G$125,'Range Tables'!$B$125,M156&lt;='Range Tables'!$G$126,'Range Tables'!$B$126,M156&lt;='Range Tables'!$G$127,'Range Tables'!$B$127,M156&lt;='Range Tables'!$G$128,'Range Tables'!$B$128,M156&lt;='Range Tables'!$G$129,'Range Tables'!$B$129,'Range Tables'!$G$131,'Range Tables'!$B$131),H156="Bike",ifs(M156&lt;='Range Tables'!$G$136,'Range Tables'!$B$136,M156&lt;='Range Tables'!$G$137,'Range Tables'!$B$137,M156&lt;='Range Tables'!$G$138,'Range Tables'!$B$138,M156&lt;='Range Tables'!$G$142,'Range Tables'!$B$142),H156="Scooter",ifs(M156&lt;='Range Tables'!$G$148,'Range Tables'!$B$148,M156&lt;='Range Tables'!$G$149,'Range Tables'!$B$149,M156&lt;='Range Tables'!$G$150,'Range Tables'!$B$150,M156&lt;='Range Tables'!$G$151,'Range Tables'!$B$151),H156="Auto",ifs(M156&lt;='Range Tables'!$G$161,'Range Tables'!$B$161,M156&lt;='Range Tables'!$G$162,'Range Tables'!$B$162,M156&lt;='Range Tables'!$G$163,'Range Tables'!$B$163,M156&lt;='Range Tables'!$G$164,'Range Tables'!$B$164),H156="Carriers*",ifs(M156&lt;='Range Tables'!$G$173,'Range Tables'!$B$173,M156&lt;='Range Tables'!$G$174,'Range Tables'!$B$174,M156&lt;='Range Tables'!$G$175,'Range Tables'!$B$175,M156&lt;='Range Tables'!$G$176,'Range Tables'!$B$176,M156&lt;='Range Tables'!$G$177,'Range Tables'!$B$177,M156&lt;='Range Tables'!$G$179,'Range Tables'!$B$179),H156="Van*",ifs(M156&lt;='Range Tables'!$G$186,'Range Tables'!$B$186))</f>
        <v>180 - 240</v>
      </c>
      <c r="O156" s="113">
        <f>IFERROR(__xludf.DUMMYFUNCTION("SPLIT(N156,""-"")"),180.0)</f>
        <v>180</v>
      </c>
      <c r="P156" s="113">
        <f>IFERROR(__xludf.DUMMYFUNCTION("""COMPUTED_VALUE"""),240.0)</f>
        <v>240</v>
      </c>
      <c r="Q156" s="114">
        <f t="shared" si="2"/>
        <v>223.5896927</v>
      </c>
      <c r="R156" s="115">
        <f t="shared" si="3"/>
        <v>0.1428711585</v>
      </c>
      <c r="S156" s="114">
        <f t="shared" si="39"/>
        <v>12344.06809</v>
      </c>
      <c r="T156" s="113" t="str">
        <f t="shared" si="4"/>
        <v>no</v>
      </c>
      <c r="U156" s="115">
        <f t="shared" si="5"/>
        <v>0</v>
      </c>
      <c r="V156" s="113">
        <f t="shared" si="34"/>
        <v>0</v>
      </c>
      <c r="W156" s="115">
        <f t="shared" si="6"/>
        <v>0</v>
      </c>
      <c r="X156" s="85">
        <f t="shared" si="7"/>
        <v>0</v>
      </c>
      <c r="Y156" s="116">
        <f t="shared" si="8"/>
        <v>0</v>
      </c>
      <c r="Z156" s="113">
        <f t="shared" si="9"/>
        <v>0</v>
      </c>
      <c r="AA156" s="113" t="str">
        <f t="shared" si="10"/>
        <v>no</v>
      </c>
      <c r="AB156" s="115">
        <f t="shared" si="11"/>
        <v>0</v>
      </c>
      <c r="AC156" s="113">
        <f t="shared" si="35"/>
        <v>0</v>
      </c>
      <c r="AD156" s="116">
        <f t="shared" si="12"/>
        <v>0</v>
      </c>
      <c r="AE156" s="113">
        <f t="shared" si="13"/>
        <v>0</v>
      </c>
      <c r="AF156" s="116">
        <f t="shared" si="14"/>
        <v>0</v>
      </c>
      <c r="AG156" s="113">
        <f t="shared" si="15"/>
        <v>0</v>
      </c>
      <c r="AH156" s="113" t="str">
        <f t="shared" si="16"/>
        <v>yes</v>
      </c>
      <c r="AI156" s="115">
        <f t="shared" si="17"/>
        <v>0</v>
      </c>
      <c r="AJ156" s="113">
        <f t="shared" si="36"/>
        <v>0</v>
      </c>
      <c r="AK156" s="116">
        <f t="shared" si="18"/>
        <v>0.1428711585</v>
      </c>
      <c r="AL156" s="114">
        <f t="shared" si="19"/>
        <v>12344.06809</v>
      </c>
      <c r="AM156" s="115">
        <f t="shared" si="20"/>
        <v>0.1454590021</v>
      </c>
      <c r="AN156" s="118">
        <f t="shared" si="21"/>
        <v>12567.65778</v>
      </c>
      <c r="AO156" s="113" t="str">
        <f t="shared" si="22"/>
        <v>no</v>
      </c>
      <c r="AP156" s="115">
        <f t="shared" si="23"/>
        <v>0</v>
      </c>
      <c r="AQ156" s="113">
        <f t="shared" si="37"/>
        <v>0</v>
      </c>
      <c r="AR156" s="116">
        <f t="shared" si="24"/>
        <v>0</v>
      </c>
      <c r="AS156" s="113">
        <f t="shared" si="25"/>
        <v>0</v>
      </c>
      <c r="AT156" s="116">
        <f t="shared" si="26"/>
        <v>0</v>
      </c>
      <c r="AU156" s="113">
        <f t="shared" si="27"/>
        <v>0</v>
      </c>
      <c r="AV156" s="113" t="str">
        <f t="shared" si="28"/>
        <v>no</v>
      </c>
      <c r="AW156" s="115">
        <f t="shared" si="29"/>
        <v>0</v>
      </c>
      <c r="AX156" s="85">
        <f t="shared" si="38"/>
        <v>0</v>
      </c>
      <c r="AY156" s="116">
        <f t="shared" si="30"/>
        <v>0</v>
      </c>
      <c r="AZ156" s="113">
        <f t="shared" si="31"/>
        <v>0</v>
      </c>
      <c r="BA156" s="116">
        <f t="shared" si="32"/>
        <v>0</v>
      </c>
      <c r="BB156" s="113">
        <f t="shared" si="33"/>
        <v>0</v>
      </c>
      <c r="BC156" s="112">
        <v>0.1298686674468118</v>
      </c>
      <c r="BD156" s="113" t="str">
        <f>ifs(BC156&lt;='Range Tables'!$G$81,'Range Tables'!$B$81,BC156&lt;='Range Tables'!$G$82,'Range Tables'!$B$82)</f>
        <v>Online*</v>
      </c>
      <c r="BE156" s="112">
        <v>0.4621511928726624</v>
      </c>
      <c r="BF156" s="112" t="str">
        <f>ifs(BE156&lt;='Range Tables'!$G$95,'Range Tables'!$B$95,BE156&lt;='Range Tables'!$G$96,'Range Tables'!$B$96,BE156&lt;='Range Tables'!$G$97,'Range Tables'!$B$97,BE156&lt;='Range Tables'!$G$98,'Range Tables'!$B$98,BE156&lt;='Range Tables'!$G$99,'Range Tables'!$B$99,BE156&lt;='Range Tables'!$G$100,'Range Tables'!$B$100,BE156&lt;='Range Tables'!$G$101,'Range Tables'!$B$101,BE156&lt;='Range Tables'!$G$102,'Range Tables'!$B$102,BE156&lt;='Range Tables'!$G$103,'Range Tables'!$B$103)</f>
        <v>Jammu</v>
      </c>
      <c r="BG156" s="112">
        <v>0.025184519957744844</v>
      </c>
      <c r="BH156" s="113" t="str">
        <f>ifs(BG156&lt;='Range Tables'!$G$112,'Range Tables'!$B$112,BG156&lt;='Range Tables'!$G$113,'Range Tables'!$B$113,BG156&lt;='Range Tables'!$G$114,'Range Tables'!$B$114)</f>
        <v>0</v>
      </c>
      <c r="BI156" s="117">
        <v>0.05297433976337684</v>
      </c>
      <c r="BJ156" s="113" t="str">
        <f>ifs(BI156&lt;='Range Tables'!$G$118,'Range Tables'!$B$118,BI156&lt;='Range Tables'!$G$119,'Range Tables'!$B$119)</f>
        <v>Valid</v>
      </c>
    </row>
    <row r="157">
      <c r="A157" s="85">
        <v>154.0</v>
      </c>
      <c r="B157" s="112">
        <v>0.6955072463238131</v>
      </c>
      <c r="C157" s="113" t="str">
        <f>ifs(B157&lt;='Range Tables'!$G$54,'Range Tables'!$B$54,B157&lt;='Range Tables'!$G$55,'Range Tables'!$B$55,B157&lt;='Range Tables'!$G$56,'Range Tables'!$B$56,B157&lt;='Range Tables'!$G$57,'Range Tables'!$B$57,B157&lt;='Range Tables'!$G$58,'Range Tables'!$B$58,B157&lt;='Range Tables'!$G$59,'Range Tables'!$B$59,B157&lt;='Range Tables'!$G$60,'Range Tables'!$B$60,B157&lt;='Range Tables'!$G$61,'Range Tables'!$B$61,B157&lt;='Range Tables'!$G$63,'Range Tables'!$B$63,B157&lt;='Range Tables'!$G$64,'Range Tables'!$B$64,B157&lt;='Range Tables'!$G$66,'Range Tables'!$B$66)</f>
        <v>60 - 90</v>
      </c>
      <c r="D157" s="113">
        <f>IFERROR(__xludf.DUMMYFUNCTION("SPLIT(C157,""-"")"),60.0)</f>
        <v>60</v>
      </c>
      <c r="E157" s="113">
        <f>IFERROR(__xludf.DUMMYFUNCTION("""COMPUTED_VALUE"""),90.0)</f>
        <v>90</v>
      </c>
      <c r="F157" s="114">
        <f t="shared" si="40"/>
        <v>80.86521739</v>
      </c>
      <c r="G157" s="112">
        <v>0.6008419876680613</v>
      </c>
      <c r="H157" s="113" t="str">
        <f>ifs(G157&lt;='Range Tables'!$G$86,'Range Tables'!$B$86,G157&lt;='Range Tables'!$G$87,'Range Tables'!$B$87,G157&lt;='Range Tables'!$G$88,'Range Tables'!$B$88,G157&lt;='Range Tables'!$G$89,'Range Tables'!$B$89,G157&lt;='Range Tables'!$G$90,'Range Tables'!$B$90,G157&lt;='Range Tables'!$G$91,'Range Tables'!$B$91)</f>
        <v>Bike</v>
      </c>
      <c r="I157" s="112">
        <v>0.3727178561424668</v>
      </c>
      <c r="J157" s="113" t="str">
        <f>IFS(
  H157="Car", IF(I157&lt;='Range Tables'!$G$19, 'Range Tables'!$B$19, 'Range Tables'!$B$20), 
  H157="Bike", IF(I157&lt;='Range Tables'!$G$25, 'Range Tables'!$B$25, 'Range Tables'!$B$26), 
  H157="Scooter", IF(I157&lt;='Range Tables'!$G$31, 'Range Tables'!$B$31, 'Range Tables'!$B$32), 
  H157="Auto", IF(I157&lt;='Range Tables'!$G$37, 'Range Tables'!$B$37, 'Range Tables'!$B$38), 
  H157="Carriers*", IF(I157&lt;='Range Tables'!$G$43, 'Range Tables'!$B$43, 'Range Tables'!$B$44), 
  H157="Van*", IF(I157&lt;='Range Tables'!$G$50, 'Range Tables'!$B$50, 'Range Tables'!$B$49)
)</f>
        <v>Petrol</v>
      </c>
      <c r="K157" s="112">
        <v>0.21745005498468772</v>
      </c>
      <c r="L157" s="113">
        <f>if(J157="Petrol",ifs(K157&lt;='Range Tables'!$G$5,'Range Tables'!$B$5,K157&lt;='Range Tables'!$G$6,'Range Tables'!$B$6,K157&lt;='Range Tables'!$G$7,'Range Tables'!$B$7),ifs(K157&lt;='Range Tables'!$G$13,'Range Tables'!$B$13,K157&lt;='Range Tables'!$G$14,'Range Tables'!$B$14))</f>
        <v>2</v>
      </c>
      <c r="M157" s="112">
        <v>0.36776755153466323</v>
      </c>
      <c r="N157" s="113" t="str">
        <f>ifs(H157="Car",ifs(M157&lt;='Range Tables'!$G$125,'Range Tables'!$B$125,M157&lt;='Range Tables'!$G$126,'Range Tables'!$B$126,M157&lt;='Range Tables'!$G$127,'Range Tables'!$B$127,M157&lt;='Range Tables'!$G$128,'Range Tables'!$B$128,M157&lt;='Range Tables'!$G$129,'Range Tables'!$B$129,'Range Tables'!$G$131,'Range Tables'!$B$131),H157="Bike",ifs(M157&lt;='Range Tables'!$G$136,'Range Tables'!$B$136,M157&lt;='Range Tables'!$G$137,'Range Tables'!$B$137,M157&lt;='Range Tables'!$G$138,'Range Tables'!$B$138,M157&lt;='Range Tables'!$G$142,'Range Tables'!$B$142),H157="Scooter",ifs(M157&lt;='Range Tables'!$G$148,'Range Tables'!$B$148,M157&lt;='Range Tables'!$G$149,'Range Tables'!$B$149,M157&lt;='Range Tables'!$G$150,'Range Tables'!$B$150,M157&lt;='Range Tables'!$G$151,'Range Tables'!$B$151),H157="Auto",ifs(M157&lt;='Range Tables'!$G$161,'Range Tables'!$B$161,M157&lt;='Range Tables'!$G$162,'Range Tables'!$B$162,M157&lt;='Range Tables'!$G$163,'Range Tables'!$B$163,M157&lt;='Range Tables'!$G$164,'Range Tables'!$B$164),H157="Carriers*",ifs(M157&lt;='Range Tables'!$G$173,'Range Tables'!$B$173,M157&lt;='Range Tables'!$G$174,'Range Tables'!$B$174,M157&lt;='Range Tables'!$G$175,'Range Tables'!$B$175,M157&lt;='Range Tables'!$G$176,'Range Tables'!$B$176,M157&lt;='Range Tables'!$G$177,'Range Tables'!$B$177,M157&lt;='Range Tables'!$G$179,'Range Tables'!$B$179),H157="Van*",ifs(M157&lt;='Range Tables'!$G$186,'Range Tables'!$B$186))</f>
        <v>60 - 120</v>
      </c>
      <c r="O157" s="113">
        <f>IFERROR(__xludf.DUMMYFUNCTION("SPLIT(N157,""-"")"),60.0)</f>
        <v>60</v>
      </c>
      <c r="P157" s="113">
        <f>IFERROR(__xludf.DUMMYFUNCTION("""COMPUTED_VALUE"""),120.0)</f>
        <v>120</v>
      </c>
      <c r="Q157" s="114">
        <f t="shared" si="2"/>
        <v>82.06605309</v>
      </c>
      <c r="R157" s="115">
        <f t="shared" si="3"/>
        <v>0.1441699709</v>
      </c>
      <c r="S157" s="114">
        <f t="shared" si="39"/>
        <v>12456.28549</v>
      </c>
      <c r="T157" s="113" t="str">
        <f t="shared" si="4"/>
        <v>no</v>
      </c>
      <c r="U157" s="115">
        <f t="shared" si="5"/>
        <v>0</v>
      </c>
      <c r="V157" s="113">
        <f t="shared" si="34"/>
        <v>0</v>
      </c>
      <c r="W157" s="115">
        <f t="shared" si="6"/>
        <v>0</v>
      </c>
      <c r="X157" s="85">
        <f t="shared" si="7"/>
        <v>0</v>
      </c>
      <c r="Y157" s="116">
        <f t="shared" si="8"/>
        <v>0</v>
      </c>
      <c r="Z157" s="113">
        <f t="shared" si="9"/>
        <v>0</v>
      </c>
      <c r="AA157" s="113" t="str">
        <f t="shared" si="10"/>
        <v>yes</v>
      </c>
      <c r="AB157" s="115">
        <f t="shared" si="11"/>
        <v>0</v>
      </c>
      <c r="AC157" s="113">
        <f t="shared" si="35"/>
        <v>0</v>
      </c>
      <c r="AD157" s="116">
        <f t="shared" si="12"/>
        <v>0.1441699709</v>
      </c>
      <c r="AE157" s="114">
        <f t="shared" si="13"/>
        <v>12456.28549</v>
      </c>
      <c r="AF157" s="116">
        <f t="shared" si="14"/>
        <v>0.1451198095</v>
      </c>
      <c r="AG157" s="114">
        <f t="shared" si="15"/>
        <v>12538.35154</v>
      </c>
      <c r="AH157" s="113" t="str">
        <f t="shared" si="16"/>
        <v>no</v>
      </c>
      <c r="AI157" s="115">
        <f t="shared" si="17"/>
        <v>0</v>
      </c>
      <c r="AJ157" s="113">
        <f t="shared" si="36"/>
        <v>0</v>
      </c>
      <c r="AK157" s="116">
        <f t="shared" si="18"/>
        <v>0</v>
      </c>
      <c r="AL157" s="113">
        <f t="shared" si="19"/>
        <v>0</v>
      </c>
      <c r="AM157" s="115">
        <f t="shared" si="20"/>
        <v>0</v>
      </c>
      <c r="AN157" s="85">
        <f t="shared" si="21"/>
        <v>0</v>
      </c>
      <c r="AO157" s="113" t="str">
        <f t="shared" si="22"/>
        <v>no</v>
      </c>
      <c r="AP157" s="115">
        <f t="shared" si="23"/>
        <v>0</v>
      </c>
      <c r="AQ157" s="113">
        <f t="shared" si="37"/>
        <v>0</v>
      </c>
      <c r="AR157" s="116">
        <f t="shared" si="24"/>
        <v>0</v>
      </c>
      <c r="AS157" s="113">
        <f t="shared" si="25"/>
        <v>0</v>
      </c>
      <c r="AT157" s="116">
        <f t="shared" si="26"/>
        <v>0</v>
      </c>
      <c r="AU157" s="113">
        <f t="shared" si="27"/>
        <v>0</v>
      </c>
      <c r="AV157" s="113" t="str">
        <f t="shared" si="28"/>
        <v>no</v>
      </c>
      <c r="AW157" s="115">
        <f t="shared" si="29"/>
        <v>0</v>
      </c>
      <c r="AX157" s="85">
        <f t="shared" si="38"/>
        <v>0</v>
      </c>
      <c r="AY157" s="116">
        <f t="shared" si="30"/>
        <v>0</v>
      </c>
      <c r="AZ157" s="113">
        <f t="shared" si="31"/>
        <v>0</v>
      </c>
      <c r="BA157" s="116">
        <f t="shared" si="32"/>
        <v>0</v>
      </c>
      <c r="BB157" s="113">
        <f t="shared" si="33"/>
        <v>0</v>
      </c>
      <c r="BC157" s="112">
        <v>0.23926669716324256</v>
      </c>
      <c r="BD157" s="113" t="str">
        <f>ifs(BC157&lt;='Range Tables'!$G$81,'Range Tables'!$B$81,BC157&lt;='Range Tables'!$G$82,'Range Tables'!$B$82)</f>
        <v>Online*</v>
      </c>
      <c r="BE157" s="112">
        <v>0.6313270950206687</v>
      </c>
      <c r="BF157" s="112" t="str">
        <f>ifs(BE157&lt;='Range Tables'!$G$95,'Range Tables'!$B$95,BE157&lt;='Range Tables'!$G$96,'Range Tables'!$B$96,BE157&lt;='Range Tables'!$G$97,'Range Tables'!$B$97,BE157&lt;='Range Tables'!$G$98,'Range Tables'!$B$98,BE157&lt;='Range Tables'!$G$99,'Range Tables'!$B$99,BE157&lt;='Range Tables'!$G$100,'Range Tables'!$B$100,BE157&lt;='Range Tables'!$G$101,'Range Tables'!$B$101,BE157&lt;='Range Tables'!$G$102,'Range Tables'!$B$102,BE157&lt;='Range Tables'!$G$103,'Range Tables'!$B$103)</f>
        <v>Jammu</v>
      </c>
      <c r="BG157" s="112">
        <v>0.7323995161474337</v>
      </c>
      <c r="BH157" s="113" t="str">
        <f>ifs(BG157&lt;='Range Tables'!$G$112,'Range Tables'!$B$112,BG157&lt;='Range Tables'!$G$113,'Range Tables'!$B$113,BG157&lt;='Range Tables'!$G$114,'Range Tables'!$B$114)</f>
        <v>0</v>
      </c>
      <c r="BI157" s="117">
        <v>0.7288118131272947</v>
      </c>
      <c r="BJ157" s="113" t="str">
        <f>ifs(BI157&lt;='Range Tables'!$G$118,'Range Tables'!$B$118,BI157&lt;='Range Tables'!$G$119,'Range Tables'!$B$119)</f>
        <v>Expired</v>
      </c>
    </row>
    <row r="158">
      <c r="A158" s="85">
        <v>155.0</v>
      </c>
      <c r="B158" s="112">
        <v>0.5924718341649815</v>
      </c>
      <c r="C158" s="113" t="str">
        <f>ifs(B158&lt;='Range Tables'!$G$54,'Range Tables'!$B$54,B158&lt;='Range Tables'!$G$55,'Range Tables'!$B$55,B158&lt;='Range Tables'!$G$56,'Range Tables'!$B$56,B158&lt;='Range Tables'!$G$57,'Range Tables'!$B$57,B158&lt;='Range Tables'!$G$58,'Range Tables'!$B$58,B158&lt;='Range Tables'!$G$59,'Range Tables'!$B$59,B158&lt;='Range Tables'!$G$60,'Range Tables'!$B$60,B158&lt;='Range Tables'!$G$61,'Range Tables'!$B$61,B158&lt;='Range Tables'!$G$63,'Range Tables'!$B$63,B158&lt;='Range Tables'!$G$64,'Range Tables'!$B$64,B158&lt;='Range Tables'!$G$66,'Range Tables'!$B$66)</f>
        <v>60 - 90</v>
      </c>
      <c r="D158" s="113">
        <f>IFERROR(__xludf.DUMMYFUNCTION("SPLIT(C158,""-"")"),60.0)</f>
        <v>60</v>
      </c>
      <c r="E158" s="113">
        <f>IFERROR(__xludf.DUMMYFUNCTION("""COMPUTED_VALUE"""),90.0)</f>
        <v>90</v>
      </c>
      <c r="F158" s="114">
        <f t="shared" si="40"/>
        <v>77.77415502</v>
      </c>
      <c r="G158" s="112">
        <v>0.3628649535532116</v>
      </c>
      <c r="H158" s="113" t="str">
        <f>ifs(G158&lt;='Range Tables'!$G$86,'Range Tables'!$B$86,G158&lt;='Range Tables'!$G$87,'Range Tables'!$B$87,G158&lt;='Range Tables'!$G$88,'Range Tables'!$B$88,G158&lt;='Range Tables'!$G$89,'Range Tables'!$B$89,G158&lt;='Range Tables'!$G$90,'Range Tables'!$B$90,G158&lt;='Range Tables'!$G$91,'Range Tables'!$B$91)</f>
        <v>Car</v>
      </c>
      <c r="I158" s="112">
        <v>0.6518565346694031</v>
      </c>
      <c r="J158" s="113" t="str">
        <f>IFS(
  H158="Car", IF(I158&lt;='Range Tables'!$G$19, 'Range Tables'!$B$19, 'Range Tables'!$B$20), 
  H158="Bike", IF(I158&lt;='Range Tables'!$G$25, 'Range Tables'!$B$25, 'Range Tables'!$B$26), 
  H158="Scooter", IF(I158&lt;='Range Tables'!$G$31, 'Range Tables'!$B$31, 'Range Tables'!$B$32), 
  H158="Auto", IF(I158&lt;='Range Tables'!$G$37, 'Range Tables'!$B$37, 'Range Tables'!$B$38), 
  H158="Carriers*", IF(I158&lt;='Range Tables'!$G$43, 'Range Tables'!$B$43, 'Range Tables'!$B$44), 
  H158="Van*", IF(I158&lt;='Range Tables'!$G$50, 'Range Tables'!$B$50, 'Range Tables'!$B$49)
)</f>
        <v>Petrol</v>
      </c>
      <c r="K158" s="112">
        <v>0.44010205729266705</v>
      </c>
      <c r="L158" s="113">
        <f>if(J158="Petrol",ifs(K158&lt;='Range Tables'!$G$5,'Range Tables'!$B$5,K158&lt;='Range Tables'!$G$6,'Range Tables'!$B$6,K158&lt;='Range Tables'!$G$7,'Range Tables'!$B$7),ifs(K158&lt;='Range Tables'!$G$13,'Range Tables'!$B$13,K158&lt;='Range Tables'!$G$14,'Range Tables'!$B$14))</f>
        <v>2</v>
      </c>
      <c r="M158" s="112">
        <v>0.2564218733672107</v>
      </c>
      <c r="N158" s="113" t="str">
        <f>ifs(H158="Car",ifs(M158&lt;='Range Tables'!$G$125,'Range Tables'!$B$125,M158&lt;='Range Tables'!$G$126,'Range Tables'!$B$126,M158&lt;='Range Tables'!$G$127,'Range Tables'!$B$127,M158&lt;='Range Tables'!$G$128,'Range Tables'!$B$128,M158&lt;='Range Tables'!$G$129,'Range Tables'!$B$129,'Range Tables'!$G$131,'Range Tables'!$B$131),H158="Bike",ifs(M158&lt;='Range Tables'!$G$136,'Range Tables'!$B$136,M158&lt;='Range Tables'!$G$137,'Range Tables'!$B$137,M158&lt;='Range Tables'!$G$138,'Range Tables'!$B$138,M158&lt;='Range Tables'!$G$142,'Range Tables'!$B$142),H158="Scooter",ifs(M158&lt;='Range Tables'!$G$148,'Range Tables'!$B$148,M158&lt;='Range Tables'!$G$149,'Range Tables'!$B$149,M158&lt;='Range Tables'!$G$150,'Range Tables'!$B$150,M158&lt;='Range Tables'!$G$151,'Range Tables'!$B$151),H158="Auto",ifs(M158&lt;='Range Tables'!$G$161,'Range Tables'!$B$161,M158&lt;='Range Tables'!$G$162,'Range Tables'!$B$162,M158&lt;='Range Tables'!$G$163,'Range Tables'!$B$163,M158&lt;='Range Tables'!$G$164,'Range Tables'!$B$164),H158="Carriers*",ifs(M158&lt;='Range Tables'!$G$173,'Range Tables'!$B$173,M158&lt;='Range Tables'!$G$174,'Range Tables'!$B$174,M158&lt;='Range Tables'!$G$175,'Range Tables'!$B$175,M158&lt;='Range Tables'!$G$176,'Range Tables'!$B$176,M158&lt;='Range Tables'!$G$177,'Range Tables'!$B$177,M158&lt;='Range Tables'!$G$179,'Range Tables'!$B$179),H158="Van*",ifs(M158&lt;='Range Tables'!$G$186,'Range Tables'!$B$186))</f>
        <v>60 - 120</v>
      </c>
      <c r="O158" s="113">
        <f>IFERROR(__xludf.DUMMYFUNCTION("SPLIT(N158,""-"")"),60.0)</f>
        <v>60</v>
      </c>
      <c r="P158" s="113">
        <f>IFERROR(__xludf.DUMMYFUNCTION("""COMPUTED_VALUE"""),120.0)</f>
        <v>120</v>
      </c>
      <c r="Q158" s="114">
        <f t="shared" si="2"/>
        <v>75.3853124</v>
      </c>
      <c r="R158" s="115">
        <f t="shared" si="3"/>
        <v>0.1451059109</v>
      </c>
      <c r="S158" s="114">
        <f t="shared" si="39"/>
        <v>12537.1507</v>
      </c>
      <c r="T158" s="113" t="str">
        <f t="shared" si="4"/>
        <v>no</v>
      </c>
      <c r="U158" s="115">
        <f t="shared" si="5"/>
        <v>0</v>
      </c>
      <c r="V158" s="113">
        <f t="shared" si="34"/>
        <v>0</v>
      </c>
      <c r="W158" s="115">
        <f t="shared" si="6"/>
        <v>0</v>
      </c>
      <c r="X158" s="85">
        <f t="shared" si="7"/>
        <v>0</v>
      </c>
      <c r="Y158" s="116">
        <f t="shared" si="8"/>
        <v>0</v>
      </c>
      <c r="Z158" s="113">
        <f t="shared" si="9"/>
        <v>0</v>
      </c>
      <c r="AA158" s="113" t="str">
        <f t="shared" si="10"/>
        <v>yes</v>
      </c>
      <c r="AB158" s="115">
        <f t="shared" si="11"/>
        <v>0.00001389856137</v>
      </c>
      <c r="AC158" s="114">
        <f t="shared" si="35"/>
        <v>1.200835702</v>
      </c>
      <c r="AD158" s="116">
        <f t="shared" si="12"/>
        <v>0.1451198095</v>
      </c>
      <c r="AE158" s="114">
        <f t="shared" si="13"/>
        <v>12538.35154</v>
      </c>
      <c r="AF158" s="116">
        <f t="shared" si="14"/>
        <v>0.1459923247</v>
      </c>
      <c r="AG158" s="114">
        <f t="shared" si="15"/>
        <v>12613.73685</v>
      </c>
      <c r="AH158" s="113" t="str">
        <f t="shared" si="16"/>
        <v>no</v>
      </c>
      <c r="AI158" s="115">
        <f t="shared" si="17"/>
        <v>0</v>
      </c>
      <c r="AJ158" s="113">
        <f t="shared" si="36"/>
        <v>0</v>
      </c>
      <c r="AK158" s="116">
        <f t="shared" si="18"/>
        <v>0</v>
      </c>
      <c r="AL158" s="113">
        <f t="shared" si="19"/>
        <v>0</v>
      </c>
      <c r="AM158" s="115">
        <f t="shared" si="20"/>
        <v>0</v>
      </c>
      <c r="AN158" s="85">
        <f t="shared" si="21"/>
        <v>0</v>
      </c>
      <c r="AO158" s="113" t="str">
        <f t="shared" si="22"/>
        <v>no</v>
      </c>
      <c r="AP158" s="115">
        <f t="shared" si="23"/>
        <v>0</v>
      </c>
      <c r="AQ158" s="113">
        <f t="shared" si="37"/>
        <v>0</v>
      </c>
      <c r="AR158" s="116">
        <f t="shared" si="24"/>
        <v>0</v>
      </c>
      <c r="AS158" s="113">
        <f t="shared" si="25"/>
        <v>0</v>
      </c>
      <c r="AT158" s="116">
        <f t="shared" si="26"/>
        <v>0</v>
      </c>
      <c r="AU158" s="113">
        <f t="shared" si="27"/>
        <v>0</v>
      </c>
      <c r="AV158" s="113" t="str">
        <f t="shared" si="28"/>
        <v>no</v>
      </c>
      <c r="AW158" s="115">
        <f t="shared" si="29"/>
        <v>0</v>
      </c>
      <c r="AX158" s="85">
        <f t="shared" si="38"/>
        <v>0</v>
      </c>
      <c r="AY158" s="116">
        <f t="shared" si="30"/>
        <v>0</v>
      </c>
      <c r="AZ158" s="113">
        <f t="shared" si="31"/>
        <v>0</v>
      </c>
      <c r="BA158" s="116">
        <f t="shared" si="32"/>
        <v>0</v>
      </c>
      <c r="BB158" s="113">
        <f t="shared" si="33"/>
        <v>0</v>
      </c>
      <c r="BC158" s="112">
        <v>0.3644255773806532</v>
      </c>
      <c r="BD158" s="113" t="str">
        <f>ifs(BC158&lt;='Range Tables'!$G$81,'Range Tables'!$B$81,BC158&lt;='Range Tables'!$G$82,'Range Tables'!$B$82)</f>
        <v>Offline*</v>
      </c>
      <c r="BE158" s="112">
        <v>0.8500520900256454</v>
      </c>
      <c r="BF158" s="112" t="str">
        <f>ifs(BE158&lt;='Range Tables'!$G$95,'Range Tables'!$B$95,BE158&lt;='Range Tables'!$G$96,'Range Tables'!$B$96,BE158&lt;='Range Tables'!$G$97,'Range Tables'!$B$97,BE158&lt;='Range Tables'!$G$98,'Range Tables'!$B$98,BE158&lt;='Range Tables'!$G$99,'Range Tables'!$B$99,BE158&lt;='Range Tables'!$G$100,'Range Tables'!$B$100,BE158&lt;='Range Tables'!$G$101,'Range Tables'!$B$101,BE158&lt;='Range Tables'!$G$102,'Range Tables'!$B$102,BE158&lt;='Range Tables'!$G$103,'Range Tables'!$B$103)</f>
        <v>Udhampur</v>
      </c>
      <c r="BG158" s="112">
        <v>0.05107676092314639</v>
      </c>
      <c r="BH158" s="113" t="str">
        <f>ifs(BG158&lt;='Range Tables'!$G$112,'Range Tables'!$B$112,BG158&lt;='Range Tables'!$G$113,'Range Tables'!$B$113,BG158&lt;='Range Tables'!$G$114,'Range Tables'!$B$114)</f>
        <v>0</v>
      </c>
      <c r="BI158" s="117">
        <v>0.5019511981336269</v>
      </c>
      <c r="BJ158" s="113" t="str">
        <f>ifs(BI158&lt;='Range Tables'!$G$118,'Range Tables'!$B$118,BI158&lt;='Range Tables'!$G$119,'Range Tables'!$B$119)</f>
        <v>Valid</v>
      </c>
    </row>
    <row r="159">
      <c r="A159" s="85">
        <v>156.0</v>
      </c>
      <c r="B159" s="112">
        <v>0.7804808049609216</v>
      </c>
      <c r="C159" s="113" t="str">
        <f>ifs(B159&lt;='Range Tables'!$G$54,'Range Tables'!$B$54,B159&lt;='Range Tables'!$G$55,'Range Tables'!$B$55,B159&lt;='Range Tables'!$G$56,'Range Tables'!$B$56,B159&lt;='Range Tables'!$G$57,'Range Tables'!$B$57,B159&lt;='Range Tables'!$G$58,'Range Tables'!$B$58,B159&lt;='Range Tables'!$G$59,'Range Tables'!$B$59,B159&lt;='Range Tables'!$G$60,'Range Tables'!$B$60,B159&lt;='Range Tables'!$G$61,'Range Tables'!$B$61,B159&lt;='Range Tables'!$G$63,'Range Tables'!$B$63,B159&lt;='Range Tables'!$G$64,'Range Tables'!$B$64,B159&lt;='Range Tables'!$G$66,'Range Tables'!$B$66)</f>
        <v>120 - 150</v>
      </c>
      <c r="D159" s="113">
        <f>IFERROR(__xludf.DUMMYFUNCTION("SPLIT(C159,""-"")"),120.0)</f>
        <v>120</v>
      </c>
      <c r="E159" s="113">
        <f>IFERROR(__xludf.DUMMYFUNCTION("""COMPUTED_VALUE"""),150.0)</f>
        <v>150</v>
      </c>
      <c r="F159" s="114">
        <f t="shared" si="40"/>
        <v>143.4144241</v>
      </c>
      <c r="G159" s="112">
        <v>0.21154934326685992</v>
      </c>
      <c r="H159" s="113" t="str">
        <f>ifs(G159&lt;='Range Tables'!$G$86,'Range Tables'!$B$86,G159&lt;='Range Tables'!$G$87,'Range Tables'!$B$87,G159&lt;='Range Tables'!$G$88,'Range Tables'!$B$88,G159&lt;='Range Tables'!$G$89,'Range Tables'!$B$89,G159&lt;='Range Tables'!$G$90,'Range Tables'!$B$90,G159&lt;='Range Tables'!$G$91,'Range Tables'!$B$91)</f>
        <v>Car</v>
      </c>
      <c r="I159" s="112">
        <v>0.6440676631536906</v>
      </c>
      <c r="J159" s="113" t="str">
        <f>IFS(
  H159="Car", IF(I159&lt;='Range Tables'!$G$19, 'Range Tables'!$B$19, 'Range Tables'!$B$20), 
  H159="Bike", IF(I159&lt;='Range Tables'!$G$25, 'Range Tables'!$B$25, 'Range Tables'!$B$26), 
  H159="Scooter", IF(I159&lt;='Range Tables'!$G$31, 'Range Tables'!$B$31, 'Range Tables'!$B$32), 
  H159="Auto", IF(I159&lt;='Range Tables'!$G$37, 'Range Tables'!$B$37, 'Range Tables'!$B$38), 
  H159="Carriers*", IF(I159&lt;='Range Tables'!$G$43, 'Range Tables'!$B$43, 'Range Tables'!$B$44), 
  H159="Van*", IF(I159&lt;='Range Tables'!$G$50, 'Range Tables'!$B$50, 'Range Tables'!$B$49)
)</f>
        <v>Petrol</v>
      </c>
      <c r="K159" s="112">
        <v>0.5940773196628535</v>
      </c>
      <c r="L159" s="113">
        <f>if(J159="Petrol",ifs(K159&lt;='Range Tables'!$G$5,'Range Tables'!$B$5,K159&lt;='Range Tables'!$G$6,'Range Tables'!$B$6,K159&lt;='Range Tables'!$G$7,'Range Tables'!$B$7),ifs(K159&lt;='Range Tables'!$G$13,'Range Tables'!$B$13,K159&lt;='Range Tables'!$G$14,'Range Tables'!$B$14))</f>
        <v>3</v>
      </c>
      <c r="M159" s="112">
        <v>0.5011395141881326</v>
      </c>
      <c r="N159" s="113" t="str">
        <f>ifs(H159="Car",ifs(M159&lt;='Range Tables'!$G$125,'Range Tables'!$B$125,M159&lt;='Range Tables'!$G$126,'Range Tables'!$B$126,M159&lt;='Range Tables'!$G$127,'Range Tables'!$B$127,M159&lt;='Range Tables'!$G$128,'Range Tables'!$B$128,M159&lt;='Range Tables'!$G$129,'Range Tables'!$B$129,'Range Tables'!$G$131,'Range Tables'!$B$131),H159="Bike",ifs(M159&lt;='Range Tables'!$G$136,'Range Tables'!$B$136,M159&lt;='Range Tables'!$G$137,'Range Tables'!$B$137,M159&lt;='Range Tables'!$G$138,'Range Tables'!$B$138,M159&lt;='Range Tables'!$G$142,'Range Tables'!$B$142),H159="Scooter",ifs(M159&lt;='Range Tables'!$G$148,'Range Tables'!$B$148,M159&lt;='Range Tables'!$G$149,'Range Tables'!$B$149,M159&lt;='Range Tables'!$G$150,'Range Tables'!$B$150,M159&lt;='Range Tables'!$G$151,'Range Tables'!$B$151),H159="Auto",ifs(M159&lt;='Range Tables'!$G$161,'Range Tables'!$B$161,M159&lt;='Range Tables'!$G$162,'Range Tables'!$B$162,M159&lt;='Range Tables'!$G$163,'Range Tables'!$B$163,M159&lt;='Range Tables'!$G$164,'Range Tables'!$B$164),H159="Carriers*",ifs(M159&lt;='Range Tables'!$G$173,'Range Tables'!$B$173,M159&lt;='Range Tables'!$G$174,'Range Tables'!$B$174,M159&lt;='Range Tables'!$G$175,'Range Tables'!$B$175,M159&lt;='Range Tables'!$G$176,'Range Tables'!$B$176,M159&lt;='Range Tables'!$G$177,'Range Tables'!$B$177,M159&lt;='Range Tables'!$G$179,'Range Tables'!$B$179),H159="Van*",ifs(M159&lt;='Range Tables'!$G$186,'Range Tables'!$B$186))</f>
        <v>120 - 180</v>
      </c>
      <c r="O159" s="113">
        <f>IFERROR(__xludf.DUMMYFUNCTION("SPLIT(N159,""-"")"),120.0)</f>
        <v>120</v>
      </c>
      <c r="P159" s="113">
        <f>IFERROR(__xludf.DUMMYFUNCTION("""COMPUTED_VALUE"""),180.0)</f>
        <v>180</v>
      </c>
      <c r="Q159" s="114">
        <f t="shared" si="2"/>
        <v>150.0683709</v>
      </c>
      <c r="R159" s="115">
        <f t="shared" si="3"/>
        <v>0.1460060748</v>
      </c>
      <c r="S159" s="114">
        <f t="shared" si="39"/>
        <v>12614.92486</v>
      </c>
      <c r="T159" s="113" t="str">
        <f t="shared" si="4"/>
        <v>no</v>
      </c>
      <c r="U159" s="115">
        <f t="shared" si="5"/>
        <v>0</v>
      </c>
      <c r="V159" s="113">
        <f t="shared" si="34"/>
        <v>0</v>
      </c>
      <c r="W159" s="115">
        <f t="shared" si="6"/>
        <v>0</v>
      </c>
      <c r="X159" s="85">
        <f t="shared" si="7"/>
        <v>0</v>
      </c>
      <c r="Y159" s="116">
        <f t="shared" si="8"/>
        <v>0</v>
      </c>
      <c r="Z159" s="113">
        <f t="shared" si="9"/>
        <v>0</v>
      </c>
      <c r="AA159" s="113" t="str">
        <f t="shared" si="10"/>
        <v>no</v>
      </c>
      <c r="AB159" s="115">
        <f t="shared" si="11"/>
        <v>0</v>
      </c>
      <c r="AC159" s="113">
        <f t="shared" si="35"/>
        <v>0</v>
      </c>
      <c r="AD159" s="116">
        <f t="shared" si="12"/>
        <v>0</v>
      </c>
      <c r="AE159" s="113">
        <f t="shared" si="13"/>
        <v>0</v>
      </c>
      <c r="AF159" s="116">
        <f t="shared" si="14"/>
        <v>0</v>
      </c>
      <c r="AG159" s="113">
        <f t="shared" si="15"/>
        <v>0</v>
      </c>
      <c r="AH159" s="113" t="str">
        <f t="shared" si="16"/>
        <v>yes</v>
      </c>
      <c r="AI159" s="115">
        <f t="shared" si="17"/>
        <v>0</v>
      </c>
      <c r="AJ159" s="113">
        <f t="shared" si="36"/>
        <v>0</v>
      </c>
      <c r="AK159" s="116">
        <f t="shared" si="18"/>
        <v>0.1460060748</v>
      </c>
      <c r="AL159" s="114">
        <f t="shared" si="19"/>
        <v>12614.92486</v>
      </c>
      <c r="AM159" s="115">
        <f t="shared" si="20"/>
        <v>0.1477429772</v>
      </c>
      <c r="AN159" s="118">
        <f t="shared" si="21"/>
        <v>12764.99323</v>
      </c>
      <c r="AO159" s="113" t="str">
        <f t="shared" si="22"/>
        <v>no</v>
      </c>
      <c r="AP159" s="115">
        <f t="shared" si="23"/>
        <v>0</v>
      </c>
      <c r="AQ159" s="113">
        <f t="shared" si="37"/>
        <v>0</v>
      </c>
      <c r="AR159" s="116">
        <f t="shared" si="24"/>
        <v>0</v>
      </c>
      <c r="AS159" s="113">
        <f t="shared" si="25"/>
        <v>0</v>
      </c>
      <c r="AT159" s="116">
        <f t="shared" si="26"/>
        <v>0</v>
      </c>
      <c r="AU159" s="113">
        <f t="shared" si="27"/>
        <v>0</v>
      </c>
      <c r="AV159" s="113" t="str">
        <f t="shared" si="28"/>
        <v>no</v>
      </c>
      <c r="AW159" s="115">
        <f t="shared" si="29"/>
        <v>0</v>
      </c>
      <c r="AX159" s="85">
        <f t="shared" si="38"/>
        <v>0</v>
      </c>
      <c r="AY159" s="116">
        <f t="shared" si="30"/>
        <v>0</v>
      </c>
      <c r="AZ159" s="113">
        <f t="shared" si="31"/>
        <v>0</v>
      </c>
      <c r="BA159" s="116">
        <f t="shared" si="32"/>
        <v>0</v>
      </c>
      <c r="BB159" s="113">
        <f t="shared" si="33"/>
        <v>0</v>
      </c>
      <c r="BC159" s="112">
        <v>0.7705646479017735</v>
      </c>
      <c r="BD159" s="113" t="str">
        <f>ifs(BC159&lt;='Range Tables'!$G$81,'Range Tables'!$B$81,BC159&lt;='Range Tables'!$G$82,'Range Tables'!$B$82)</f>
        <v>Offline*</v>
      </c>
      <c r="BE159" s="112">
        <v>0.2515478154510077</v>
      </c>
      <c r="BF159" s="112" t="str">
        <f>ifs(BE159&lt;='Range Tables'!$G$95,'Range Tables'!$B$95,BE159&lt;='Range Tables'!$G$96,'Range Tables'!$B$96,BE159&lt;='Range Tables'!$G$97,'Range Tables'!$B$97,BE159&lt;='Range Tables'!$G$98,'Range Tables'!$B$98,BE159&lt;='Range Tables'!$G$99,'Range Tables'!$B$99,BE159&lt;='Range Tables'!$G$100,'Range Tables'!$B$100,BE159&lt;='Range Tables'!$G$101,'Range Tables'!$B$101,BE159&lt;='Range Tables'!$G$102,'Range Tables'!$B$102,BE159&lt;='Range Tables'!$G$103,'Range Tables'!$B$103)</f>
        <v>Jammu</v>
      </c>
      <c r="BG159" s="112">
        <v>0.8880187046364251</v>
      </c>
      <c r="BH159" s="113" t="str">
        <f>ifs(BG159&lt;='Range Tables'!$G$112,'Range Tables'!$B$112,BG159&lt;='Range Tables'!$G$113,'Range Tables'!$B$113,BG159&lt;='Range Tables'!$G$114,'Range Tables'!$B$114)</f>
        <v>1-5</v>
      </c>
      <c r="BI159" s="117">
        <v>0.6629361255709562</v>
      </c>
      <c r="BJ159" s="113" t="str">
        <f>ifs(BI159&lt;='Range Tables'!$G$118,'Range Tables'!$B$118,BI159&lt;='Range Tables'!$G$119,'Range Tables'!$B$119)</f>
        <v>Expired</v>
      </c>
    </row>
    <row r="160">
      <c r="A160" s="85">
        <v>157.0</v>
      </c>
      <c r="B160" s="112">
        <v>0.52201552846178</v>
      </c>
      <c r="C160" s="113" t="str">
        <f>ifs(B160&lt;='Range Tables'!$G$54,'Range Tables'!$B$54,B160&lt;='Range Tables'!$G$55,'Range Tables'!$B$55,B160&lt;='Range Tables'!$G$56,'Range Tables'!$B$56,B160&lt;='Range Tables'!$G$57,'Range Tables'!$B$57,B160&lt;='Range Tables'!$G$58,'Range Tables'!$B$58,B160&lt;='Range Tables'!$G$59,'Range Tables'!$B$59,B160&lt;='Range Tables'!$G$60,'Range Tables'!$B$60,B160&lt;='Range Tables'!$G$61,'Range Tables'!$B$61,B160&lt;='Range Tables'!$G$63,'Range Tables'!$B$63,B160&lt;='Range Tables'!$G$64,'Range Tables'!$B$64,B160&lt;='Range Tables'!$G$66,'Range Tables'!$B$66)</f>
        <v>30 - 60 </v>
      </c>
      <c r="D160" s="113">
        <f>IFERROR(__xludf.DUMMYFUNCTION("SPLIT(C160,""-"")"),30.0)</f>
        <v>30</v>
      </c>
      <c r="E160" s="113">
        <f>IFERROR(__xludf.DUMMYFUNCTION("""COMPUTED_VALUE"""),60.0)</f>
        <v>60</v>
      </c>
      <c r="F160" s="114">
        <f t="shared" si="40"/>
        <v>45.66046585</v>
      </c>
      <c r="G160" s="112">
        <v>0.8059894179071757</v>
      </c>
      <c r="H160" s="113" t="str">
        <f>ifs(G160&lt;='Range Tables'!$G$86,'Range Tables'!$B$86,G160&lt;='Range Tables'!$G$87,'Range Tables'!$B$87,G160&lt;='Range Tables'!$G$88,'Range Tables'!$B$88,G160&lt;='Range Tables'!$G$89,'Range Tables'!$B$89,G160&lt;='Range Tables'!$G$90,'Range Tables'!$B$90,G160&lt;='Range Tables'!$G$91,'Range Tables'!$B$91)</f>
        <v>Scooter</v>
      </c>
      <c r="I160" s="112">
        <v>0.9572022916265933</v>
      </c>
      <c r="J160" s="113" t="str">
        <f>IFS(
  H160="Car", IF(I160&lt;='Range Tables'!$G$19, 'Range Tables'!$B$19, 'Range Tables'!$B$20), 
  H160="Bike", IF(I160&lt;='Range Tables'!$G$25, 'Range Tables'!$B$25, 'Range Tables'!$B$26), 
  H160="Scooter", IF(I160&lt;='Range Tables'!$G$31, 'Range Tables'!$B$31, 'Range Tables'!$B$32), 
  H160="Auto", IF(I160&lt;='Range Tables'!$G$37, 'Range Tables'!$B$37, 'Range Tables'!$B$38), 
  H160="Carriers*", IF(I160&lt;='Range Tables'!$G$43, 'Range Tables'!$B$43, 'Range Tables'!$B$44), 
  H160="Van*", IF(I160&lt;='Range Tables'!$G$50, 'Range Tables'!$B$50, 'Range Tables'!$B$49)
)</f>
        <v>Petrol</v>
      </c>
      <c r="K160" s="112">
        <v>0.35626003011101104</v>
      </c>
      <c r="L160" s="113">
        <f>if(J160="Petrol",ifs(K160&lt;='Range Tables'!$G$5,'Range Tables'!$B$5,K160&lt;='Range Tables'!$G$6,'Range Tables'!$B$6,K160&lt;='Range Tables'!$G$7,'Range Tables'!$B$7),ifs(K160&lt;='Range Tables'!$G$13,'Range Tables'!$B$13,K160&lt;='Range Tables'!$G$14,'Range Tables'!$B$14))</f>
        <v>2</v>
      </c>
      <c r="M160" s="112">
        <v>0.7430086355865844</v>
      </c>
      <c r="N160" s="113" t="str">
        <f>ifs(H160="Car",ifs(M160&lt;='Range Tables'!$G$125,'Range Tables'!$B$125,M160&lt;='Range Tables'!$G$126,'Range Tables'!$B$126,M160&lt;='Range Tables'!$G$127,'Range Tables'!$B$127,M160&lt;='Range Tables'!$G$128,'Range Tables'!$B$128,M160&lt;='Range Tables'!$G$129,'Range Tables'!$B$129,'Range Tables'!$G$131,'Range Tables'!$B$131),H160="Bike",ifs(M160&lt;='Range Tables'!$G$136,'Range Tables'!$B$136,M160&lt;='Range Tables'!$G$137,'Range Tables'!$B$137,M160&lt;='Range Tables'!$G$138,'Range Tables'!$B$138,M160&lt;='Range Tables'!$G$142,'Range Tables'!$B$142),H160="Scooter",ifs(M160&lt;='Range Tables'!$G$148,'Range Tables'!$B$148,M160&lt;='Range Tables'!$G$149,'Range Tables'!$B$149,M160&lt;='Range Tables'!$G$150,'Range Tables'!$B$150,M160&lt;='Range Tables'!$G$151,'Range Tables'!$B$151),H160="Auto",ifs(M160&lt;='Range Tables'!$G$161,'Range Tables'!$B$161,M160&lt;='Range Tables'!$G$162,'Range Tables'!$B$162,M160&lt;='Range Tables'!$G$163,'Range Tables'!$B$163,M160&lt;='Range Tables'!$G$164,'Range Tables'!$B$164),H160="Carriers*",ifs(M160&lt;='Range Tables'!$G$173,'Range Tables'!$B$173,M160&lt;='Range Tables'!$G$174,'Range Tables'!$B$174,M160&lt;='Range Tables'!$G$175,'Range Tables'!$B$175,M160&lt;='Range Tables'!$G$176,'Range Tables'!$B$176,M160&lt;='Range Tables'!$G$177,'Range Tables'!$B$177,M160&lt;='Range Tables'!$G$179,'Range Tables'!$B$179),H160="Van*",ifs(M160&lt;='Range Tables'!$G$186,'Range Tables'!$B$186))</f>
        <v>180 - 240</v>
      </c>
      <c r="O160" s="113">
        <f>IFERROR(__xludf.DUMMYFUNCTION("SPLIT(N160,""-"")"),180.0)</f>
        <v>180</v>
      </c>
      <c r="P160" s="113">
        <f>IFERROR(__xludf.DUMMYFUNCTION("""COMPUTED_VALUE"""),240.0)</f>
        <v>240</v>
      </c>
      <c r="Q160" s="114">
        <f t="shared" si="2"/>
        <v>224.5805181</v>
      </c>
      <c r="R160" s="115">
        <f t="shared" si="3"/>
        <v>0.1476659639</v>
      </c>
      <c r="S160" s="114">
        <f t="shared" si="39"/>
        <v>12758.33928</v>
      </c>
      <c r="T160" s="113" t="str">
        <f t="shared" si="4"/>
        <v>no</v>
      </c>
      <c r="U160" s="115">
        <f t="shared" si="5"/>
        <v>0</v>
      </c>
      <c r="V160" s="113">
        <f t="shared" si="34"/>
        <v>0</v>
      </c>
      <c r="W160" s="115">
        <f t="shared" si="6"/>
        <v>0</v>
      </c>
      <c r="X160" s="85">
        <f t="shared" si="7"/>
        <v>0</v>
      </c>
      <c r="Y160" s="116">
        <f t="shared" si="8"/>
        <v>0</v>
      </c>
      <c r="Z160" s="113">
        <f t="shared" si="9"/>
        <v>0</v>
      </c>
      <c r="AA160" s="113" t="str">
        <f t="shared" si="10"/>
        <v>yes</v>
      </c>
      <c r="AB160" s="115">
        <f t="shared" si="11"/>
        <v>0</v>
      </c>
      <c r="AC160" s="113">
        <f t="shared" si="35"/>
        <v>0</v>
      </c>
      <c r="AD160" s="116">
        <f t="shared" si="12"/>
        <v>0.1476659639</v>
      </c>
      <c r="AE160" s="114">
        <f t="shared" si="13"/>
        <v>12758.33928</v>
      </c>
      <c r="AF160" s="116">
        <f t="shared" si="14"/>
        <v>0.1502652755</v>
      </c>
      <c r="AG160" s="114">
        <f t="shared" si="15"/>
        <v>12982.9198</v>
      </c>
      <c r="AH160" s="113" t="str">
        <f t="shared" si="16"/>
        <v>no</v>
      </c>
      <c r="AI160" s="115">
        <f t="shared" si="17"/>
        <v>0</v>
      </c>
      <c r="AJ160" s="113">
        <f t="shared" si="36"/>
        <v>0</v>
      </c>
      <c r="AK160" s="116">
        <f t="shared" si="18"/>
        <v>0</v>
      </c>
      <c r="AL160" s="113">
        <f t="shared" si="19"/>
        <v>0</v>
      </c>
      <c r="AM160" s="115">
        <f t="shared" si="20"/>
        <v>0</v>
      </c>
      <c r="AN160" s="85">
        <f t="shared" si="21"/>
        <v>0</v>
      </c>
      <c r="AO160" s="113" t="str">
        <f t="shared" si="22"/>
        <v>no</v>
      </c>
      <c r="AP160" s="115">
        <f t="shared" si="23"/>
        <v>0</v>
      </c>
      <c r="AQ160" s="113">
        <f t="shared" si="37"/>
        <v>0</v>
      </c>
      <c r="AR160" s="116">
        <f t="shared" si="24"/>
        <v>0</v>
      </c>
      <c r="AS160" s="113">
        <f t="shared" si="25"/>
        <v>0</v>
      </c>
      <c r="AT160" s="116">
        <f t="shared" si="26"/>
        <v>0</v>
      </c>
      <c r="AU160" s="113">
        <f t="shared" si="27"/>
        <v>0</v>
      </c>
      <c r="AV160" s="113" t="str">
        <f t="shared" si="28"/>
        <v>no</v>
      </c>
      <c r="AW160" s="115">
        <f t="shared" si="29"/>
        <v>0</v>
      </c>
      <c r="AX160" s="85">
        <f t="shared" si="38"/>
        <v>0</v>
      </c>
      <c r="AY160" s="116">
        <f t="shared" si="30"/>
        <v>0</v>
      </c>
      <c r="AZ160" s="113">
        <f t="shared" si="31"/>
        <v>0</v>
      </c>
      <c r="BA160" s="116">
        <f t="shared" si="32"/>
        <v>0</v>
      </c>
      <c r="BB160" s="113">
        <f t="shared" si="33"/>
        <v>0</v>
      </c>
      <c r="BC160" s="112">
        <v>0.08172459201501525</v>
      </c>
      <c r="BD160" s="113" t="str">
        <f>ifs(BC160&lt;='Range Tables'!$G$81,'Range Tables'!$B$81,BC160&lt;='Range Tables'!$G$82,'Range Tables'!$B$82)</f>
        <v>Online*</v>
      </c>
      <c r="BE160" s="112">
        <v>0.36955083370939934</v>
      </c>
      <c r="BF160" s="112" t="str">
        <f>ifs(BE160&lt;='Range Tables'!$G$95,'Range Tables'!$B$95,BE160&lt;='Range Tables'!$G$96,'Range Tables'!$B$96,BE160&lt;='Range Tables'!$G$97,'Range Tables'!$B$97,BE160&lt;='Range Tables'!$G$98,'Range Tables'!$B$98,BE160&lt;='Range Tables'!$G$99,'Range Tables'!$B$99,BE160&lt;='Range Tables'!$G$100,'Range Tables'!$B$100,BE160&lt;='Range Tables'!$G$101,'Range Tables'!$B$101,BE160&lt;='Range Tables'!$G$102,'Range Tables'!$B$102,BE160&lt;='Range Tables'!$G$103,'Range Tables'!$B$103)</f>
        <v>Jammu</v>
      </c>
      <c r="BG160" s="112">
        <v>0.8046727852307194</v>
      </c>
      <c r="BH160" s="113" t="str">
        <f>ifs(BG160&lt;='Range Tables'!$G$112,'Range Tables'!$B$112,BG160&lt;='Range Tables'!$G$113,'Range Tables'!$B$113,BG160&lt;='Range Tables'!$G$114,'Range Tables'!$B$114)</f>
        <v>1-5</v>
      </c>
      <c r="BI160" s="117">
        <v>0.2447582126236446</v>
      </c>
      <c r="BJ160" s="113" t="str">
        <f>ifs(BI160&lt;='Range Tables'!$G$118,'Range Tables'!$B$118,BI160&lt;='Range Tables'!$G$119,'Range Tables'!$B$119)</f>
        <v>Valid</v>
      </c>
    </row>
    <row r="161">
      <c r="A161" s="85">
        <v>158.0</v>
      </c>
      <c r="B161" s="112">
        <v>0.9386017936208536</v>
      </c>
      <c r="C161" s="113" t="str">
        <f>ifs(B161&lt;='Range Tables'!$G$54,'Range Tables'!$B$54,B161&lt;='Range Tables'!$G$55,'Range Tables'!$B$55,B161&lt;='Range Tables'!$G$56,'Range Tables'!$B$56,B161&lt;='Range Tables'!$G$57,'Range Tables'!$B$57,B161&lt;='Range Tables'!$G$58,'Range Tables'!$B$58,B161&lt;='Range Tables'!$G$59,'Range Tables'!$B$59,B161&lt;='Range Tables'!$G$60,'Range Tables'!$B$60,B161&lt;='Range Tables'!$G$61,'Range Tables'!$B$61,B161&lt;='Range Tables'!$G$63,'Range Tables'!$B$63,B161&lt;='Range Tables'!$G$64,'Range Tables'!$B$64,B161&lt;='Range Tables'!$G$66,'Range Tables'!$B$66)</f>
        <v>300 - 330</v>
      </c>
      <c r="D161" s="113">
        <f>IFERROR(__xludf.DUMMYFUNCTION("SPLIT(C161,""-"")"),300.0)</f>
        <v>300</v>
      </c>
      <c r="E161" s="113">
        <f>IFERROR(__xludf.DUMMYFUNCTION("""COMPUTED_VALUE"""),330.0)</f>
        <v>330</v>
      </c>
      <c r="F161" s="114">
        <f t="shared" si="40"/>
        <v>328.1580538</v>
      </c>
      <c r="G161" s="112">
        <v>0.5222714357955611</v>
      </c>
      <c r="H161" s="113" t="str">
        <f>ifs(G161&lt;='Range Tables'!$G$86,'Range Tables'!$B$86,G161&lt;='Range Tables'!$G$87,'Range Tables'!$B$87,G161&lt;='Range Tables'!$G$88,'Range Tables'!$B$88,G161&lt;='Range Tables'!$G$89,'Range Tables'!$B$89,G161&lt;='Range Tables'!$G$90,'Range Tables'!$B$90,G161&lt;='Range Tables'!$G$91,'Range Tables'!$B$91)</f>
        <v>Bike</v>
      </c>
      <c r="I161" s="112">
        <v>0.19478280351899213</v>
      </c>
      <c r="J161" s="113" t="str">
        <f>IFS(
  H161="Car", IF(I161&lt;='Range Tables'!$G$19, 'Range Tables'!$B$19, 'Range Tables'!$B$20), 
  H161="Bike", IF(I161&lt;='Range Tables'!$G$25, 'Range Tables'!$B$25, 'Range Tables'!$B$26), 
  H161="Scooter", IF(I161&lt;='Range Tables'!$G$31, 'Range Tables'!$B$31, 'Range Tables'!$B$32), 
  H161="Auto", IF(I161&lt;='Range Tables'!$G$37, 'Range Tables'!$B$37, 'Range Tables'!$B$38), 
  H161="Carriers*", IF(I161&lt;='Range Tables'!$G$43, 'Range Tables'!$B$43, 'Range Tables'!$B$44), 
  H161="Van*", IF(I161&lt;='Range Tables'!$G$50, 'Range Tables'!$B$50, 'Range Tables'!$B$49)
)</f>
        <v>Petrol</v>
      </c>
      <c r="K161" s="112">
        <v>0.9185518132026547</v>
      </c>
      <c r="L161" s="113">
        <f>if(J161="Petrol",ifs(K161&lt;='Range Tables'!$G$5,'Range Tables'!$B$5,K161&lt;='Range Tables'!$G$6,'Range Tables'!$B$6,K161&lt;='Range Tables'!$G$7,'Range Tables'!$B$7),ifs(K161&lt;='Range Tables'!$G$13,'Range Tables'!$B$13,K161&lt;='Range Tables'!$G$14,'Range Tables'!$B$14))</f>
        <v>4</v>
      </c>
      <c r="M161" s="112">
        <v>0.1603431593065966</v>
      </c>
      <c r="N161" s="113" t="str">
        <f>ifs(H161="Car",ifs(M161&lt;='Range Tables'!$G$125,'Range Tables'!$B$125,M161&lt;='Range Tables'!$G$126,'Range Tables'!$B$126,M161&lt;='Range Tables'!$G$127,'Range Tables'!$B$127,M161&lt;='Range Tables'!$G$128,'Range Tables'!$B$128,M161&lt;='Range Tables'!$G$129,'Range Tables'!$B$129,'Range Tables'!$G$131,'Range Tables'!$B$131),H161="Bike",ifs(M161&lt;='Range Tables'!$G$136,'Range Tables'!$B$136,M161&lt;='Range Tables'!$G$137,'Range Tables'!$B$137,M161&lt;='Range Tables'!$G$138,'Range Tables'!$B$138,M161&lt;='Range Tables'!$G$142,'Range Tables'!$B$142),H161="Scooter",ifs(M161&lt;='Range Tables'!$G$148,'Range Tables'!$B$148,M161&lt;='Range Tables'!$G$149,'Range Tables'!$B$149,M161&lt;='Range Tables'!$G$150,'Range Tables'!$B$150,M161&lt;='Range Tables'!$G$151,'Range Tables'!$B$151),H161="Auto",ifs(M161&lt;='Range Tables'!$G$161,'Range Tables'!$B$161,M161&lt;='Range Tables'!$G$162,'Range Tables'!$B$162,M161&lt;='Range Tables'!$G$163,'Range Tables'!$B$163,M161&lt;='Range Tables'!$G$164,'Range Tables'!$B$164),H161="Carriers*",ifs(M161&lt;='Range Tables'!$G$173,'Range Tables'!$B$173,M161&lt;='Range Tables'!$G$174,'Range Tables'!$B$174,M161&lt;='Range Tables'!$G$175,'Range Tables'!$B$175,M161&lt;='Range Tables'!$G$176,'Range Tables'!$B$176,M161&lt;='Range Tables'!$G$177,'Range Tables'!$B$177,M161&lt;='Range Tables'!$G$179,'Range Tables'!$B$179),H161="Van*",ifs(M161&lt;='Range Tables'!$G$186,'Range Tables'!$B$186))</f>
        <v>30 - 60</v>
      </c>
      <c r="O161" s="113">
        <f>IFERROR(__xludf.DUMMYFUNCTION("SPLIT(N161,""-"")"),30.0)</f>
        <v>30</v>
      </c>
      <c r="P161" s="113">
        <f>IFERROR(__xludf.DUMMYFUNCTION("""COMPUTED_VALUE"""),60.0)</f>
        <v>60</v>
      </c>
      <c r="Q161" s="114">
        <f t="shared" si="2"/>
        <v>34.81029478</v>
      </c>
      <c r="R161" s="115">
        <f t="shared" si="3"/>
        <v>0.1481944415</v>
      </c>
      <c r="S161" s="114">
        <f t="shared" si="39"/>
        <v>12803.99975</v>
      </c>
      <c r="T161" s="113" t="str">
        <f t="shared" si="4"/>
        <v>no</v>
      </c>
      <c r="U161" s="115">
        <f t="shared" si="5"/>
        <v>0</v>
      </c>
      <c r="V161" s="113">
        <f t="shared" si="34"/>
        <v>0</v>
      </c>
      <c r="W161" s="115">
        <f t="shared" si="6"/>
        <v>0</v>
      </c>
      <c r="X161" s="85">
        <f t="shared" si="7"/>
        <v>0</v>
      </c>
      <c r="Y161" s="116">
        <f t="shared" si="8"/>
        <v>0</v>
      </c>
      <c r="Z161" s="113">
        <f t="shared" si="9"/>
        <v>0</v>
      </c>
      <c r="AA161" s="113" t="str">
        <f t="shared" si="10"/>
        <v>no</v>
      </c>
      <c r="AB161" s="115">
        <f t="shared" si="11"/>
        <v>0</v>
      </c>
      <c r="AC161" s="113">
        <f t="shared" si="35"/>
        <v>0</v>
      </c>
      <c r="AD161" s="116">
        <f t="shared" si="12"/>
        <v>0</v>
      </c>
      <c r="AE161" s="113">
        <f t="shared" si="13"/>
        <v>0</v>
      </c>
      <c r="AF161" s="116">
        <f t="shared" si="14"/>
        <v>0</v>
      </c>
      <c r="AG161" s="113">
        <f t="shared" si="15"/>
        <v>0</v>
      </c>
      <c r="AH161" s="113" t="str">
        <f t="shared" si="16"/>
        <v>no</v>
      </c>
      <c r="AI161" s="115">
        <f t="shared" si="17"/>
        <v>0</v>
      </c>
      <c r="AJ161" s="113">
        <f t="shared" si="36"/>
        <v>0</v>
      </c>
      <c r="AK161" s="116">
        <f t="shared" si="18"/>
        <v>0</v>
      </c>
      <c r="AL161" s="113">
        <f t="shared" si="19"/>
        <v>0</v>
      </c>
      <c r="AM161" s="115">
        <f t="shared" si="20"/>
        <v>0</v>
      </c>
      <c r="AN161" s="85">
        <f t="shared" si="21"/>
        <v>0</v>
      </c>
      <c r="AO161" s="113" t="str">
        <f t="shared" si="22"/>
        <v>yes</v>
      </c>
      <c r="AP161" s="115">
        <f t="shared" si="23"/>
        <v>0</v>
      </c>
      <c r="AQ161" s="113">
        <f t="shared" si="37"/>
        <v>0</v>
      </c>
      <c r="AR161" s="116">
        <f t="shared" si="24"/>
        <v>0.1481944415</v>
      </c>
      <c r="AS161" s="114">
        <f t="shared" si="25"/>
        <v>12803.99975</v>
      </c>
      <c r="AT161" s="116">
        <f t="shared" si="26"/>
        <v>0.1485973385</v>
      </c>
      <c r="AU161" s="114">
        <f t="shared" si="27"/>
        <v>12838.81004</v>
      </c>
      <c r="AV161" s="113" t="str">
        <f t="shared" si="28"/>
        <v>no</v>
      </c>
      <c r="AW161" s="115">
        <f t="shared" si="29"/>
        <v>0</v>
      </c>
      <c r="AX161" s="85">
        <f t="shared" si="38"/>
        <v>0</v>
      </c>
      <c r="AY161" s="116">
        <f t="shared" si="30"/>
        <v>0</v>
      </c>
      <c r="AZ161" s="113">
        <f t="shared" si="31"/>
        <v>0</v>
      </c>
      <c r="BA161" s="116">
        <f t="shared" si="32"/>
        <v>0</v>
      </c>
      <c r="BB161" s="113">
        <f t="shared" si="33"/>
        <v>0</v>
      </c>
      <c r="BC161" s="112">
        <v>0.749140925909279</v>
      </c>
      <c r="BD161" s="113" t="str">
        <f>ifs(BC161&lt;='Range Tables'!$G$81,'Range Tables'!$B$81,BC161&lt;='Range Tables'!$G$82,'Range Tables'!$B$82)</f>
        <v>Offline*</v>
      </c>
      <c r="BE161" s="112">
        <v>0.9145368370713239</v>
      </c>
      <c r="BF161" s="112" t="str">
        <f>ifs(BE161&lt;='Range Tables'!$G$95,'Range Tables'!$B$95,BE161&lt;='Range Tables'!$G$96,'Range Tables'!$B$96,BE161&lt;='Range Tables'!$G$97,'Range Tables'!$B$97,BE161&lt;='Range Tables'!$G$98,'Range Tables'!$B$98,BE161&lt;='Range Tables'!$G$99,'Range Tables'!$B$99,BE161&lt;='Range Tables'!$G$100,'Range Tables'!$B$100,BE161&lt;='Range Tables'!$G$101,'Range Tables'!$B$101,BE161&lt;='Range Tables'!$G$102,'Range Tables'!$B$102,BE161&lt;='Range Tables'!$G$103,'Range Tables'!$B$103)</f>
        <v>Resai</v>
      </c>
      <c r="BG161" s="112">
        <v>0.3651798938010683</v>
      </c>
      <c r="BH161" s="113" t="str">
        <f>ifs(BG161&lt;='Range Tables'!$G$112,'Range Tables'!$B$112,BG161&lt;='Range Tables'!$G$113,'Range Tables'!$B$113,BG161&lt;='Range Tables'!$G$114,'Range Tables'!$B$114)</f>
        <v>0</v>
      </c>
      <c r="BI161" s="117">
        <v>0.7481617432309866</v>
      </c>
      <c r="BJ161" s="113" t="str">
        <f>ifs(BI161&lt;='Range Tables'!$G$118,'Range Tables'!$B$118,BI161&lt;='Range Tables'!$G$119,'Range Tables'!$B$119)</f>
        <v>Expired</v>
      </c>
    </row>
    <row r="162">
      <c r="A162" s="85">
        <v>159.0</v>
      </c>
      <c r="B162" s="112">
        <v>0.3127684120424431</v>
      </c>
      <c r="C162" s="113" t="str">
        <f>ifs(B162&lt;='Range Tables'!$G$54,'Range Tables'!$B$54,B162&lt;='Range Tables'!$G$55,'Range Tables'!$B$55,B162&lt;='Range Tables'!$G$56,'Range Tables'!$B$56,B162&lt;='Range Tables'!$G$57,'Range Tables'!$B$57,B162&lt;='Range Tables'!$G$58,'Range Tables'!$B$58,B162&lt;='Range Tables'!$G$59,'Range Tables'!$B$59,B162&lt;='Range Tables'!$G$60,'Range Tables'!$B$60,B162&lt;='Range Tables'!$G$61,'Range Tables'!$B$61,B162&lt;='Range Tables'!$G$63,'Range Tables'!$B$63,B162&lt;='Range Tables'!$G$64,'Range Tables'!$B$64,B162&lt;='Range Tables'!$G$66,'Range Tables'!$B$66)</f>
        <v>30 - 60 </v>
      </c>
      <c r="D162" s="113">
        <f>IFERROR(__xludf.DUMMYFUNCTION("SPLIT(C162,""-"")"),30.0)</f>
        <v>30</v>
      </c>
      <c r="E162" s="113">
        <f>IFERROR(__xludf.DUMMYFUNCTION("""COMPUTED_VALUE"""),60.0)</f>
        <v>60</v>
      </c>
      <c r="F162" s="114">
        <f t="shared" si="40"/>
        <v>39.38305236</v>
      </c>
      <c r="G162" s="112">
        <v>0.2727646155093306</v>
      </c>
      <c r="H162" s="113" t="str">
        <f>ifs(G162&lt;='Range Tables'!$G$86,'Range Tables'!$B$86,G162&lt;='Range Tables'!$G$87,'Range Tables'!$B$87,G162&lt;='Range Tables'!$G$88,'Range Tables'!$B$88,G162&lt;='Range Tables'!$G$89,'Range Tables'!$B$89,G162&lt;='Range Tables'!$G$90,'Range Tables'!$B$90,G162&lt;='Range Tables'!$G$91,'Range Tables'!$B$91)</f>
        <v>Car</v>
      </c>
      <c r="I162" s="112">
        <v>0.06048459754084634</v>
      </c>
      <c r="J162" s="113" t="str">
        <f>IFS(
  H162="Car", IF(I162&lt;='Range Tables'!$G$19, 'Range Tables'!$B$19, 'Range Tables'!$B$20), 
  H162="Bike", IF(I162&lt;='Range Tables'!$G$25, 'Range Tables'!$B$25, 'Range Tables'!$B$26), 
  H162="Scooter", IF(I162&lt;='Range Tables'!$G$31, 'Range Tables'!$B$31, 'Range Tables'!$B$32), 
  H162="Auto", IF(I162&lt;='Range Tables'!$G$37, 'Range Tables'!$B$37, 'Range Tables'!$B$38), 
  H162="Carriers*", IF(I162&lt;='Range Tables'!$G$43, 'Range Tables'!$B$43, 'Range Tables'!$B$44), 
  H162="Van*", IF(I162&lt;='Range Tables'!$G$50, 'Range Tables'!$B$50, 'Range Tables'!$B$49)
)</f>
        <v>Petrol</v>
      </c>
      <c r="K162" s="112">
        <v>0.1574819800086762</v>
      </c>
      <c r="L162" s="113">
        <f>if(J162="Petrol",ifs(K162&lt;='Range Tables'!$G$5,'Range Tables'!$B$5,K162&lt;='Range Tables'!$G$6,'Range Tables'!$B$6,K162&lt;='Range Tables'!$G$7,'Range Tables'!$B$7),ifs(K162&lt;='Range Tables'!$G$13,'Range Tables'!$B$13,K162&lt;='Range Tables'!$G$14,'Range Tables'!$B$14))</f>
        <v>2</v>
      </c>
      <c r="M162" s="112">
        <v>0.857682715327133</v>
      </c>
      <c r="N162" s="113" t="str">
        <f>ifs(H162="Car",ifs(M162&lt;='Range Tables'!$G$125,'Range Tables'!$B$125,M162&lt;='Range Tables'!$G$126,'Range Tables'!$B$126,M162&lt;='Range Tables'!$G$127,'Range Tables'!$B$127,M162&lt;='Range Tables'!$G$128,'Range Tables'!$B$128,M162&lt;='Range Tables'!$G$129,'Range Tables'!$B$129,'Range Tables'!$G$131,'Range Tables'!$B$131),H162="Bike",ifs(M162&lt;='Range Tables'!$G$136,'Range Tables'!$B$136,M162&lt;='Range Tables'!$G$137,'Range Tables'!$B$137,M162&lt;='Range Tables'!$G$138,'Range Tables'!$B$138,M162&lt;='Range Tables'!$G$142,'Range Tables'!$B$142),H162="Scooter",ifs(M162&lt;='Range Tables'!$G$148,'Range Tables'!$B$148,M162&lt;='Range Tables'!$G$149,'Range Tables'!$B$149,M162&lt;='Range Tables'!$G$150,'Range Tables'!$B$150,M162&lt;='Range Tables'!$G$151,'Range Tables'!$B$151),H162="Auto",ifs(M162&lt;='Range Tables'!$G$161,'Range Tables'!$B$161,M162&lt;='Range Tables'!$G$162,'Range Tables'!$B$162,M162&lt;='Range Tables'!$G$163,'Range Tables'!$B$163,M162&lt;='Range Tables'!$G$164,'Range Tables'!$B$164),H162="Carriers*",ifs(M162&lt;='Range Tables'!$G$173,'Range Tables'!$B$173,M162&lt;='Range Tables'!$G$174,'Range Tables'!$B$174,M162&lt;='Range Tables'!$G$175,'Range Tables'!$B$175,M162&lt;='Range Tables'!$G$176,'Range Tables'!$B$176,M162&lt;='Range Tables'!$G$177,'Range Tables'!$B$177,M162&lt;='Range Tables'!$G$179,'Range Tables'!$B$179),H162="Van*",ifs(M162&lt;='Range Tables'!$G$186,'Range Tables'!$B$186))</f>
        <v>180 - 240</v>
      </c>
      <c r="O162" s="113">
        <f>IFERROR(__xludf.DUMMYFUNCTION("SPLIT(N162,""-"")"),180.0)</f>
        <v>180</v>
      </c>
      <c r="P162" s="113">
        <f>IFERROR(__xludf.DUMMYFUNCTION("""COMPUTED_VALUE"""),240.0)</f>
        <v>240</v>
      </c>
      <c r="Q162" s="114">
        <f t="shared" si="2"/>
        <v>231.4609629</v>
      </c>
      <c r="R162" s="115">
        <f t="shared" si="3"/>
        <v>0.1519925672</v>
      </c>
      <c r="S162" s="114">
        <f t="shared" si="39"/>
        <v>13132.1578</v>
      </c>
      <c r="T162" s="113" t="str">
        <f t="shared" si="4"/>
        <v>no</v>
      </c>
      <c r="U162" s="115">
        <f t="shared" si="5"/>
        <v>0</v>
      </c>
      <c r="V162" s="113">
        <f t="shared" si="34"/>
        <v>0</v>
      </c>
      <c r="W162" s="115">
        <f t="shared" si="6"/>
        <v>0</v>
      </c>
      <c r="X162" s="85">
        <f t="shared" si="7"/>
        <v>0</v>
      </c>
      <c r="Y162" s="116">
        <f t="shared" si="8"/>
        <v>0</v>
      </c>
      <c r="Z162" s="113">
        <f t="shared" si="9"/>
        <v>0</v>
      </c>
      <c r="AA162" s="113" t="str">
        <f t="shared" si="10"/>
        <v>yes</v>
      </c>
      <c r="AB162" s="115">
        <f t="shared" si="11"/>
        <v>0</v>
      </c>
      <c r="AC162" s="113">
        <f t="shared" si="35"/>
        <v>0</v>
      </c>
      <c r="AD162" s="116">
        <f t="shared" si="12"/>
        <v>0.1519925672</v>
      </c>
      <c r="AE162" s="114">
        <f t="shared" si="13"/>
        <v>13132.1578</v>
      </c>
      <c r="AF162" s="116">
        <f t="shared" si="14"/>
        <v>0.1546715135</v>
      </c>
      <c r="AG162" s="114">
        <f t="shared" si="15"/>
        <v>13363.61877</v>
      </c>
      <c r="AH162" s="113" t="str">
        <f t="shared" si="16"/>
        <v>no</v>
      </c>
      <c r="AI162" s="115">
        <f t="shared" si="17"/>
        <v>0</v>
      </c>
      <c r="AJ162" s="113">
        <f t="shared" si="36"/>
        <v>0</v>
      </c>
      <c r="AK162" s="116">
        <f t="shared" si="18"/>
        <v>0</v>
      </c>
      <c r="AL162" s="113">
        <f t="shared" si="19"/>
        <v>0</v>
      </c>
      <c r="AM162" s="115">
        <f t="shared" si="20"/>
        <v>0</v>
      </c>
      <c r="AN162" s="85">
        <f t="shared" si="21"/>
        <v>0</v>
      </c>
      <c r="AO162" s="113" t="str">
        <f t="shared" si="22"/>
        <v>no</v>
      </c>
      <c r="AP162" s="115">
        <f t="shared" si="23"/>
        <v>0</v>
      </c>
      <c r="AQ162" s="113">
        <f t="shared" si="37"/>
        <v>0</v>
      </c>
      <c r="AR162" s="116">
        <f t="shared" si="24"/>
        <v>0</v>
      </c>
      <c r="AS162" s="113">
        <f t="shared" si="25"/>
        <v>0</v>
      </c>
      <c r="AT162" s="116">
        <f t="shared" si="26"/>
        <v>0</v>
      </c>
      <c r="AU162" s="113">
        <f t="shared" si="27"/>
        <v>0</v>
      </c>
      <c r="AV162" s="113" t="str">
        <f t="shared" si="28"/>
        <v>no</v>
      </c>
      <c r="AW162" s="115">
        <f t="shared" si="29"/>
        <v>0</v>
      </c>
      <c r="AX162" s="85">
        <f t="shared" si="38"/>
        <v>0</v>
      </c>
      <c r="AY162" s="116">
        <f t="shared" si="30"/>
        <v>0</v>
      </c>
      <c r="AZ162" s="113">
        <f t="shared" si="31"/>
        <v>0</v>
      </c>
      <c r="BA162" s="116">
        <f t="shared" si="32"/>
        <v>0</v>
      </c>
      <c r="BB162" s="113">
        <f t="shared" si="33"/>
        <v>0</v>
      </c>
      <c r="BC162" s="112">
        <v>0.6810776847271538</v>
      </c>
      <c r="BD162" s="113" t="str">
        <f>ifs(BC162&lt;='Range Tables'!$G$81,'Range Tables'!$B$81,BC162&lt;='Range Tables'!$G$82,'Range Tables'!$B$82)</f>
        <v>Offline*</v>
      </c>
      <c r="BE162" s="112">
        <v>0.5907498167370303</v>
      </c>
      <c r="BF162" s="112" t="str">
        <f>ifs(BE162&lt;='Range Tables'!$G$95,'Range Tables'!$B$95,BE162&lt;='Range Tables'!$G$96,'Range Tables'!$B$96,BE162&lt;='Range Tables'!$G$97,'Range Tables'!$B$97,BE162&lt;='Range Tables'!$G$98,'Range Tables'!$B$98,BE162&lt;='Range Tables'!$G$99,'Range Tables'!$B$99,BE162&lt;='Range Tables'!$G$100,'Range Tables'!$B$100,BE162&lt;='Range Tables'!$G$101,'Range Tables'!$B$101,BE162&lt;='Range Tables'!$G$102,'Range Tables'!$B$102,BE162&lt;='Range Tables'!$G$103,'Range Tables'!$B$103)</f>
        <v>Jammu</v>
      </c>
      <c r="BG162" s="112">
        <v>0.41325798335629893</v>
      </c>
      <c r="BH162" s="113" t="str">
        <f>ifs(BG162&lt;='Range Tables'!$G$112,'Range Tables'!$B$112,BG162&lt;='Range Tables'!$G$113,'Range Tables'!$B$113,BG162&lt;='Range Tables'!$G$114,'Range Tables'!$B$114)</f>
        <v>0</v>
      </c>
      <c r="BI162" s="117">
        <v>0.540388707480662</v>
      </c>
      <c r="BJ162" s="113" t="str">
        <f>ifs(BI162&lt;='Range Tables'!$G$118,'Range Tables'!$B$118,BI162&lt;='Range Tables'!$G$119,'Range Tables'!$B$119)</f>
        <v>Valid</v>
      </c>
    </row>
    <row r="163">
      <c r="A163" s="85">
        <v>160.0</v>
      </c>
      <c r="B163" s="112">
        <v>0.87282224724204</v>
      </c>
      <c r="C163" s="113" t="str">
        <f>ifs(B163&lt;='Range Tables'!$G$54,'Range Tables'!$B$54,B163&lt;='Range Tables'!$G$55,'Range Tables'!$B$55,B163&lt;='Range Tables'!$G$56,'Range Tables'!$B$56,B163&lt;='Range Tables'!$G$57,'Range Tables'!$B$57,B163&lt;='Range Tables'!$G$58,'Range Tables'!$B$58,B163&lt;='Range Tables'!$G$59,'Range Tables'!$B$59,B163&lt;='Range Tables'!$G$60,'Range Tables'!$B$60,B163&lt;='Range Tables'!$G$61,'Range Tables'!$B$61,B163&lt;='Range Tables'!$G$63,'Range Tables'!$B$63,B163&lt;='Range Tables'!$G$64,'Range Tables'!$B$64,B163&lt;='Range Tables'!$G$66,'Range Tables'!$B$66)</f>
        <v>180 - 210</v>
      </c>
      <c r="D163" s="113">
        <f>IFERROR(__xludf.DUMMYFUNCTION("SPLIT(C163,""-"")"),180.0)</f>
        <v>180</v>
      </c>
      <c r="E163" s="113">
        <f>IFERROR(__xludf.DUMMYFUNCTION("""COMPUTED_VALUE"""),210.0)</f>
        <v>210</v>
      </c>
      <c r="F163" s="114">
        <f t="shared" si="40"/>
        <v>206.1846674</v>
      </c>
      <c r="G163" s="112">
        <v>0.8066328470396066</v>
      </c>
      <c r="H163" s="113" t="str">
        <f>ifs(G163&lt;='Range Tables'!$G$86,'Range Tables'!$B$86,G163&lt;='Range Tables'!$G$87,'Range Tables'!$B$87,G163&lt;='Range Tables'!$G$88,'Range Tables'!$B$88,G163&lt;='Range Tables'!$G$89,'Range Tables'!$B$89,G163&lt;='Range Tables'!$G$90,'Range Tables'!$B$90,G163&lt;='Range Tables'!$G$91,'Range Tables'!$B$91)</f>
        <v>Scooter</v>
      </c>
      <c r="I163" s="112">
        <v>0.4557303178862443</v>
      </c>
      <c r="J163" s="113" t="str">
        <f>IFS(
  H163="Car", IF(I163&lt;='Range Tables'!$G$19, 'Range Tables'!$B$19, 'Range Tables'!$B$20), 
  H163="Bike", IF(I163&lt;='Range Tables'!$G$25, 'Range Tables'!$B$25, 'Range Tables'!$B$26), 
  H163="Scooter", IF(I163&lt;='Range Tables'!$G$31, 'Range Tables'!$B$31, 'Range Tables'!$B$32), 
  H163="Auto", IF(I163&lt;='Range Tables'!$G$37, 'Range Tables'!$B$37, 'Range Tables'!$B$38), 
  H163="Carriers*", IF(I163&lt;='Range Tables'!$G$43, 'Range Tables'!$B$43, 'Range Tables'!$B$44), 
  H163="Van*", IF(I163&lt;='Range Tables'!$G$50, 'Range Tables'!$B$50, 'Range Tables'!$B$49)
)</f>
        <v>Petrol</v>
      </c>
      <c r="K163" s="112">
        <v>0.4113065712440168</v>
      </c>
      <c r="L163" s="113">
        <f>if(J163="Petrol",ifs(K163&lt;='Range Tables'!$G$5,'Range Tables'!$B$5,K163&lt;='Range Tables'!$G$6,'Range Tables'!$B$6,K163&lt;='Range Tables'!$G$7,'Range Tables'!$B$7),ifs(K163&lt;='Range Tables'!$G$13,'Range Tables'!$B$13,K163&lt;='Range Tables'!$G$14,'Range Tables'!$B$14))</f>
        <v>2</v>
      </c>
      <c r="M163" s="112">
        <v>0.5567966745237763</v>
      </c>
      <c r="N163" s="113" t="str">
        <f>ifs(H163="Car",ifs(M163&lt;='Range Tables'!$G$125,'Range Tables'!$B$125,M163&lt;='Range Tables'!$G$126,'Range Tables'!$B$126,M163&lt;='Range Tables'!$G$127,'Range Tables'!$B$127,M163&lt;='Range Tables'!$G$128,'Range Tables'!$B$128,M163&lt;='Range Tables'!$G$129,'Range Tables'!$B$129,'Range Tables'!$G$131,'Range Tables'!$B$131),H163="Bike",ifs(M163&lt;='Range Tables'!$G$136,'Range Tables'!$B$136,M163&lt;='Range Tables'!$G$137,'Range Tables'!$B$137,M163&lt;='Range Tables'!$G$138,'Range Tables'!$B$138,M163&lt;='Range Tables'!$G$142,'Range Tables'!$B$142),H163="Scooter",ifs(M163&lt;='Range Tables'!$G$148,'Range Tables'!$B$148,M163&lt;='Range Tables'!$G$149,'Range Tables'!$B$149,M163&lt;='Range Tables'!$G$150,'Range Tables'!$B$150,M163&lt;='Range Tables'!$G$151,'Range Tables'!$B$151),H163="Auto",ifs(M163&lt;='Range Tables'!$G$161,'Range Tables'!$B$161,M163&lt;='Range Tables'!$G$162,'Range Tables'!$B$162,M163&lt;='Range Tables'!$G$163,'Range Tables'!$B$163,M163&lt;='Range Tables'!$G$164,'Range Tables'!$B$164),H163="Carriers*",ifs(M163&lt;='Range Tables'!$G$173,'Range Tables'!$B$173,M163&lt;='Range Tables'!$G$174,'Range Tables'!$B$174,M163&lt;='Range Tables'!$G$175,'Range Tables'!$B$175,M163&lt;='Range Tables'!$G$176,'Range Tables'!$B$176,M163&lt;='Range Tables'!$G$177,'Range Tables'!$B$177,M163&lt;='Range Tables'!$G$179,'Range Tables'!$B$179),H163="Van*",ifs(M163&lt;='Range Tables'!$G$186,'Range Tables'!$B$186))</f>
        <v>120 - 180</v>
      </c>
      <c r="O163" s="113">
        <f>IFERROR(__xludf.DUMMYFUNCTION("SPLIT(N163,""-"")"),120.0)</f>
        <v>120</v>
      </c>
      <c r="P163" s="113">
        <f>IFERROR(__xludf.DUMMYFUNCTION("""COMPUTED_VALUE"""),180.0)</f>
        <v>180</v>
      </c>
      <c r="Q163" s="114">
        <f t="shared" si="2"/>
        <v>153.4078005</v>
      </c>
      <c r="R163" s="115">
        <f t="shared" si="3"/>
        <v>0.1524483895</v>
      </c>
      <c r="S163" s="114">
        <f t="shared" si="39"/>
        <v>13171.54085</v>
      </c>
      <c r="T163" s="113" t="str">
        <f t="shared" si="4"/>
        <v>no</v>
      </c>
      <c r="U163" s="115">
        <f t="shared" si="5"/>
        <v>0</v>
      </c>
      <c r="V163" s="113">
        <f t="shared" si="34"/>
        <v>0</v>
      </c>
      <c r="W163" s="115">
        <f t="shared" si="6"/>
        <v>0</v>
      </c>
      <c r="X163" s="85">
        <f t="shared" si="7"/>
        <v>0</v>
      </c>
      <c r="Y163" s="116">
        <f t="shared" si="8"/>
        <v>0</v>
      </c>
      <c r="Z163" s="113">
        <f t="shared" si="9"/>
        <v>0</v>
      </c>
      <c r="AA163" s="113" t="str">
        <f t="shared" si="10"/>
        <v>yes</v>
      </c>
      <c r="AB163" s="115">
        <f t="shared" si="11"/>
        <v>0.002223123965</v>
      </c>
      <c r="AC163" s="114">
        <f t="shared" si="35"/>
        <v>192.0779106</v>
      </c>
      <c r="AD163" s="116">
        <f t="shared" si="12"/>
        <v>0.1546715135</v>
      </c>
      <c r="AE163" s="114">
        <f t="shared" si="13"/>
        <v>13363.61877</v>
      </c>
      <c r="AF163" s="116">
        <f t="shared" si="14"/>
        <v>0.1564470667</v>
      </c>
      <c r="AG163" s="114">
        <f t="shared" si="15"/>
        <v>13517.02657</v>
      </c>
      <c r="AH163" s="113" t="str">
        <f t="shared" si="16"/>
        <v>no</v>
      </c>
      <c r="AI163" s="115">
        <f t="shared" si="17"/>
        <v>0</v>
      </c>
      <c r="AJ163" s="113">
        <f t="shared" si="36"/>
        <v>0</v>
      </c>
      <c r="AK163" s="116">
        <f t="shared" si="18"/>
        <v>0</v>
      </c>
      <c r="AL163" s="113">
        <f t="shared" si="19"/>
        <v>0</v>
      </c>
      <c r="AM163" s="115">
        <f t="shared" si="20"/>
        <v>0</v>
      </c>
      <c r="AN163" s="85">
        <f t="shared" si="21"/>
        <v>0</v>
      </c>
      <c r="AO163" s="113" t="str">
        <f t="shared" si="22"/>
        <v>no</v>
      </c>
      <c r="AP163" s="115">
        <f t="shared" si="23"/>
        <v>0</v>
      </c>
      <c r="AQ163" s="113">
        <f t="shared" si="37"/>
        <v>0</v>
      </c>
      <c r="AR163" s="116">
        <f t="shared" si="24"/>
        <v>0</v>
      </c>
      <c r="AS163" s="113">
        <f t="shared" si="25"/>
        <v>0</v>
      </c>
      <c r="AT163" s="116">
        <f t="shared" si="26"/>
        <v>0</v>
      </c>
      <c r="AU163" s="113">
        <f t="shared" si="27"/>
        <v>0</v>
      </c>
      <c r="AV163" s="113" t="str">
        <f t="shared" si="28"/>
        <v>no</v>
      </c>
      <c r="AW163" s="115">
        <f t="shared" si="29"/>
        <v>0</v>
      </c>
      <c r="AX163" s="85">
        <f t="shared" si="38"/>
        <v>0</v>
      </c>
      <c r="AY163" s="116">
        <f t="shared" si="30"/>
        <v>0</v>
      </c>
      <c r="AZ163" s="113">
        <f t="shared" si="31"/>
        <v>0</v>
      </c>
      <c r="BA163" s="116">
        <f t="shared" si="32"/>
        <v>0</v>
      </c>
      <c r="BB163" s="113">
        <f t="shared" si="33"/>
        <v>0</v>
      </c>
      <c r="BC163" s="112">
        <v>0.7140335774923667</v>
      </c>
      <c r="BD163" s="113" t="str">
        <f>ifs(BC163&lt;='Range Tables'!$G$81,'Range Tables'!$B$81,BC163&lt;='Range Tables'!$G$82,'Range Tables'!$B$82)</f>
        <v>Offline*</v>
      </c>
      <c r="BE163" s="112">
        <v>0.532536895024965</v>
      </c>
      <c r="BF163" s="112" t="str">
        <f>ifs(BE163&lt;='Range Tables'!$G$95,'Range Tables'!$B$95,BE163&lt;='Range Tables'!$G$96,'Range Tables'!$B$96,BE163&lt;='Range Tables'!$G$97,'Range Tables'!$B$97,BE163&lt;='Range Tables'!$G$98,'Range Tables'!$B$98,BE163&lt;='Range Tables'!$G$99,'Range Tables'!$B$99,BE163&lt;='Range Tables'!$G$100,'Range Tables'!$B$100,BE163&lt;='Range Tables'!$G$101,'Range Tables'!$B$101,BE163&lt;='Range Tables'!$G$102,'Range Tables'!$B$102,BE163&lt;='Range Tables'!$G$103,'Range Tables'!$B$103)</f>
        <v>Jammu</v>
      </c>
      <c r="BG163" s="112">
        <v>0.34652424831089945</v>
      </c>
      <c r="BH163" s="113" t="str">
        <f>ifs(BG163&lt;='Range Tables'!$G$112,'Range Tables'!$B$112,BG163&lt;='Range Tables'!$G$113,'Range Tables'!$B$113,BG163&lt;='Range Tables'!$G$114,'Range Tables'!$B$114)</f>
        <v>0</v>
      </c>
      <c r="BI163" s="117">
        <v>0.04725750314480026</v>
      </c>
      <c r="BJ163" s="113" t="str">
        <f>ifs(BI163&lt;='Range Tables'!$G$118,'Range Tables'!$B$118,BI163&lt;='Range Tables'!$G$119,'Range Tables'!$B$119)</f>
        <v>Valid</v>
      </c>
    </row>
    <row r="164">
      <c r="A164" s="85">
        <v>161.0</v>
      </c>
      <c r="B164" s="112">
        <v>0.4259708798569364</v>
      </c>
      <c r="C164" s="113" t="str">
        <f>ifs(B164&lt;='Range Tables'!$G$54,'Range Tables'!$B$54,B164&lt;='Range Tables'!$G$55,'Range Tables'!$B$55,B164&lt;='Range Tables'!$G$56,'Range Tables'!$B$56,B164&lt;='Range Tables'!$G$57,'Range Tables'!$B$57,B164&lt;='Range Tables'!$G$58,'Range Tables'!$B$58,B164&lt;='Range Tables'!$G$59,'Range Tables'!$B$59,B164&lt;='Range Tables'!$G$60,'Range Tables'!$B$60,B164&lt;='Range Tables'!$G$61,'Range Tables'!$B$61,B164&lt;='Range Tables'!$G$63,'Range Tables'!$B$63,B164&lt;='Range Tables'!$G$64,'Range Tables'!$B$64,B164&lt;='Range Tables'!$G$66,'Range Tables'!$B$66)</f>
        <v>30 - 60 </v>
      </c>
      <c r="D164" s="113">
        <f>IFERROR(__xludf.DUMMYFUNCTION("SPLIT(C164,""-"")"),30.0)</f>
        <v>30</v>
      </c>
      <c r="E164" s="113">
        <f>IFERROR(__xludf.DUMMYFUNCTION("""COMPUTED_VALUE"""),60.0)</f>
        <v>60</v>
      </c>
      <c r="F164" s="114">
        <f t="shared" si="40"/>
        <v>42.7791264</v>
      </c>
      <c r="G164" s="112">
        <v>0.6252275717886215</v>
      </c>
      <c r="H164" s="113" t="str">
        <f>ifs(G164&lt;='Range Tables'!$G$86,'Range Tables'!$B$86,G164&lt;='Range Tables'!$G$87,'Range Tables'!$B$87,G164&lt;='Range Tables'!$G$88,'Range Tables'!$B$88,G164&lt;='Range Tables'!$G$89,'Range Tables'!$B$89,G164&lt;='Range Tables'!$G$90,'Range Tables'!$B$90,G164&lt;='Range Tables'!$G$91,'Range Tables'!$B$91)</f>
        <v>Bike</v>
      </c>
      <c r="I164" s="112">
        <v>0.8053419608890628</v>
      </c>
      <c r="J164" s="113" t="str">
        <f>IFS(
  H164="Car", IF(I164&lt;='Range Tables'!$G$19, 'Range Tables'!$B$19, 'Range Tables'!$B$20), 
  H164="Bike", IF(I164&lt;='Range Tables'!$G$25, 'Range Tables'!$B$25, 'Range Tables'!$B$26), 
  H164="Scooter", IF(I164&lt;='Range Tables'!$G$31, 'Range Tables'!$B$31, 'Range Tables'!$B$32), 
  H164="Auto", IF(I164&lt;='Range Tables'!$G$37, 'Range Tables'!$B$37, 'Range Tables'!$B$38), 
  H164="Carriers*", IF(I164&lt;='Range Tables'!$G$43, 'Range Tables'!$B$43, 'Range Tables'!$B$44), 
  H164="Van*", IF(I164&lt;='Range Tables'!$G$50, 'Range Tables'!$B$50, 'Range Tables'!$B$49)
)</f>
        <v>Petrol</v>
      </c>
      <c r="K164" s="112">
        <v>0.32772892356074945</v>
      </c>
      <c r="L164" s="113">
        <f>if(J164="Petrol",ifs(K164&lt;='Range Tables'!$G$5,'Range Tables'!$B$5,K164&lt;='Range Tables'!$G$6,'Range Tables'!$B$6,K164&lt;='Range Tables'!$G$7,'Range Tables'!$B$7),ifs(K164&lt;='Range Tables'!$G$13,'Range Tables'!$B$13,K164&lt;='Range Tables'!$G$14,'Range Tables'!$B$14))</f>
        <v>2</v>
      </c>
      <c r="M164" s="112">
        <v>0.22554946688807498</v>
      </c>
      <c r="N164" s="113" t="str">
        <f>ifs(H164="Car",ifs(M164&lt;='Range Tables'!$G$125,'Range Tables'!$B$125,M164&lt;='Range Tables'!$G$126,'Range Tables'!$B$126,M164&lt;='Range Tables'!$G$127,'Range Tables'!$B$127,M164&lt;='Range Tables'!$G$128,'Range Tables'!$B$128,M164&lt;='Range Tables'!$G$129,'Range Tables'!$B$129,'Range Tables'!$G$131,'Range Tables'!$B$131),H164="Bike",ifs(M164&lt;='Range Tables'!$G$136,'Range Tables'!$B$136,M164&lt;='Range Tables'!$G$137,'Range Tables'!$B$137,M164&lt;='Range Tables'!$G$138,'Range Tables'!$B$138,M164&lt;='Range Tables'!$G$142,'Range Tables'!$B$142),H164="Scooter",ifs(M164&lt;='Range Tables'!$G$148,'Range Tables'!$B$148,M164&lt;='Range Tables'!$G$149,'Range Tables'!$B$149,M164&lt;='Range Tables'!$G$150,'Range Tables'!$B$150,M164&lt;='Range Tables'!$G$151,'Range Tables'!$B$151),H164="Auto",ifs(M164&lt;='Range Tables'!$G$161,'Range Tables'!$B$161,M164&lt;='Range Tables'!$G$162,'Range Tables'!$B$162,M164&lt;='Range Tables'!$G$163,'Range Tables'!$B$163,M164&lt;='Range Tables'!$G$164,'Range Tables'!$B$164),H164="Carriers*",ifs(M164&lt;='Range Tables'!$G$173,'Range Tables'!$B$173,M164&lt;='Range Tables'!$G$174,'Range Tables'!$B$174,M164&lt;='Range Tables'!$G$175,'Range Tables'!$B$175,M164&lt;='Range Tables'!$G$176,'Range Tables'!$B$176,M164&lt;='Range Tables'!$G$177,'Range Tables'!$B$177,M164&lt;='Range Tables'!$G$179,'Range Tables'!$B$179),H164="Van*",ifs(M164&lt;='Range Tables'!$G$186,'Range Tables'!$B$186))</f>
        <v>60 - 120</v>
      </c>
      <c r="O164" s="113">
        <f>IFERROR(__xludf.DUMMYFUNCTION("SPLIT(N164,""-"")"),60.0)</f>
        <v>60</v>
      </c>
      <c r="P164" s="113">
        <f>IFERROR(__xludf.DUMMYFUNCTION("""COMPUTED_VALUE"""),120.0)</f>
        <v>120</v>
      </c>
      <c r="Q164" s="114">
        <f t="shared" si="2"/>
        <v>73.53296801</v>
      </c>
      <c r="R164" s="115">
        <f t="shared" si="3"/>
        <v>0.1548347861</v>
      </c>
      <c r="S164" s="114">
        <f t="shared" si="39"/>
        <v>13377.72552</v>
      </c>
      <c r="T164" s="113" t="str">
        <f t="shared" si="4"/>
        <v>no</v>
      </c>
      <c r="U164" s="115">
        <f t="shared" si="5"/>
        <v>0</v>
      </c>
      <c r="V164" s="113">
        <f t="shared" si="34"/>
        <v>0</v>
      </c>
      <c r="W164" s="115">
        <f t="shared" si="6"/>
        <v>0</v>
      </c>
      <c r="X164" s="85">
        <f t="shared" si="7"/>
        <v>0</v>
      </c>
      <c r="Y164" s="116">
        <f t="shared" si="8"/>
        <v>0</v>
      </c>
      <c r="Z164" s="113">
        <f t="shared" si="9"/>
        <v>0</v>
      </c>
      <c r="AA164" s="113" t="str">
        <f t="shared" si="10"/>
        <v>yes</v>
      </c>
      <c r="AB164" s="115">
        <f t="shared" si="11"/>
        <v>0.001612280597</v>
      </c>
      <c r="AC164" s="114">
        <f t="shared" si="35"/>
        <v>139.3010436</v>
      </c>
      <c r="AD164" s="116">
        <f t="shared" si="12"/>
        <v>0.1564470667</v>
      </c>
      <c r="AE164" s="114">
        <f t="shared" si="13"/>
        <v>13517.02657</v>
      </c>
      <c r="AF164" s="116">
        <f t="shared" si="14"/>
        <v>0.1572981428</v>
      </c>
      <c r="AG164" s="114">
        <f t="shared" si="15"/>
        <v>13590.55953</v>
      </c>
      <c r="AH164" s="113" t="str">
        <f t="shared" si="16"/>
        <v>no</v>
      </c>
      <c r="AI164" s="115">
        <f t="shared" si="17"/>
        <v>0</v>
      </c>
      <c r="AJ164" s="113">
        <f t="shared" si="36"/>
        <v>0</v>
      </c>
      <c r="AK164" s="116">
        <f t="shared" si="18"/>
        <v>0</v>
      </c>
      <c r="AL164" s="113">
        <f t="shared" si="19"/>
        <v>0</v>
      </c>
      <c r="AM164" s="115">
        <f t="shared" si="20"/>
        <v>0</v>
      </c>
      <c r="AN164" s="85">
        <f t="shared" si="21"/>
        <v>0</v>
      </c>
      <c r="AO164" s="113" t="str">
        <f t="shared" si="22"/>
        <v>no</v>
      </c>
      <c r="AP164" s="115">
        <f t="shared" si="23"/>
        <v>0</v>
      </c>
      <c r="AQ164" s="113">
        <f t="shared" si="37"/>
        <v>0</v>
      </c>
      <c r="AR164" s="116">
        <f t="shared" si="24"/>
        <v>0</v>
      </c>
      <c r="AS164" s="113">
        <f t="shared" si="25"/>
        <v>0</v>
      </c>
      <c r="AT164" s="116">
        <f t="shared" si="26"/>
        <v>0</v>
      </c>
      <c r="AU164" s="113">
        <f t="shared" si="27"/>
        <v>0</v>
      </c>
      <c r="AV164" s="113" t="str">
        <f t="shared" si="28"/>
        <v>no</v>
      </c>
      <c r="AW164" s="115">
        <f t="shared" si="29"/>
        <v>0</v>
      </c>
      <c r="AX164" s="85">
        <f t="shared" si="38"/>
        <v>0</v>
      </c>
      <c r="AY164" s="116">
        <f t="shared" si="30"/>
        <v>0</v>
      </c>
      <c r="AZ164" s="113">
        <f t="shared" si="31"/>
        <v>0</v>
      </c>
      <c r="BA164" s="116">
        <f t="shared" si="32"/>
        <v>0</v>
      </c>
      <c r="BB164" s="113">
        <f t="shared" si="33"/>
        <v>0</v>
      </c>
      <c r="BC164" s="112">
        <v>0.8725078996293477</v>
      </c>
      <c r="BD164" s="113" t="str">
        <f>ifs(BC164&lt;='Range Tables'!$G$81,'Range Tables'!$B$81,BC164&lt;='Range Tables'!$G$82,'Range Tables'!$B$82)</f>
        <v>Offline*</v>
      </c>
      <c r="BE164" s="112">
        <v>0.764579121163295</v>
      </c>
      <c r="BF164" s="112" t="str">
        <f>ifs(BE164&lt;='Range Tables'!$G$95,'Range Tables'!$B$95,BE164&lt;='Range Tables'!$G$96,'Range Tables'!$B$96,BE164&lt;='Range Tables'!$G$97,'Range Tables'!$B$97,BE164&lt;='Range Tables'!$G$98,'Range Tables'!$B$98,BE164&lt;='Range Tables'!$G$99,'Range Tables'!$B$99,BE164&lt;='Range Tables'!$G$100,'Range Tables'!$B$100,BE164&lt;='Range Tables'!$G$101,'Range Tables'!$B$101,BE164&lt;='Range Tables'!$G$102,'Range Tables'!$B$102,BE164&lt;='Range Tables'!$G$103,'Range Tables'!$B$103)</f>
        <v>Other State Cities</v>
      </c>
      <c r="BG164" s="112">
        <v>0.759559080111517</v>
      </c>
      <c r="BH164" s="113" t="str">
        <f>ifs(BG164&lt;='Range Tables'!$G$112,'Range Tables'!$B$112,BG164&lt;='Range Tables'!$G$113,'Range Tables'!$B$113,BG164&lt;='Range Tables'!$G$114,'Range Tables'!$B$114)</f>
        <v>0</v>
      </c>
      <c r="BI164" s="117">
        <v>0.8770398728057622</v>
      </c>
      <c r="BJ164" s="113" t="str">
        <f>ifs(BI164&lt;='Range Tables'!$G$118,'Range Tables'!$B$118,BI164&lt;='Range Tables'!$G$119,'Range Tables'!$B$119)</f>
        <v>Expired</v>
      </c>
    </row>
    <row r="165">
      <c r="A165" s="85">
        <v>162.0</v>
      </c>
      <c r="B165" s="112">
        <v>0.5069121604779684</v>
      </c>
      <c r="C165" s="113" t="str">
        <f>ifs(B165&lt;='Range Tables'!$G$54,'Range Tables'!$B$54,B165&lt;='Range Tables'!$G$55,'Range Tables'!$B$55,B165&lt;='Range Tables'!$G$56,'Range Tables'!$B$56,B165&lt;='Range Tables'!$G$57,'Range Tables'!$B$57,B165&lt;='Range Tables'!$G$58,'Range Tables'!$B$58,B165&lt;='Range Tables'!$G$59,'Range Tables'!$B$59,B165&lt;='Range Tables'!$G$60,'Range Tables'!$B$60,B165&lt;='Range Tables'!$G$61,'Range Tables'!$B$61,B165&lt;='Range Tables'!$G$63,'Range Tables'!$B$63,B165&lt;='Range Tables'!$G$64,'Range Tables'!$B$64,B165&lt;='Range Tables'!$G$66,'Range Tables'!$B$66)</f>
        <v>30 - 60 </v>
      </c>
      <c r="D165" s="113">
        <f>IFERROR(__xludf.DUMMYFUNCTION("SPLIT(C165,""-"")"),30.0)</f>
        <v>30</v>
      </c>
      <c r="E165" s="113">
        <f>IFERROR(__xludf.DUMMYFUNCTION("""COMPUTED_VALUE"""),60.0)</f>
        <v>60</v>
      </c>
      <c r="F165" s="114">
        <f t="shared" si="40"/>
        <v>45.20736481</v>
      </c>
      <c r="G165" s="112">
        <v>0.2758824735892973</v>
      </c>
      <c r="H165" s="113" t="str">
        <f>ifs(G165&lt;='Range Tables'!$G$86,'Range Tables'!$B$86,G165&lt;='Range Tables'!$G$87,'Range Tables'!$B$87,G165&lt;='Range Tables'!$G$88,'Range Tables'!$B$88,G165&lt;='Range Tables'!$G$89,'Range Tables'!$B$89,G165&lt;='Range Tables'!$G$90,'Range Tables'!$B$90,G165&lt;='Range Tables'!$G$91,'Range Tables'!$B$91)</f>
        <v>Car</v>
      </c>
      <c r="I165" s="112">
        <v>0.17504008693423834</v>
      </c>
      <c r="J165" s="113" t="str">
        <f>IFS(
  H165="Car", IF(I165&lt;='Range Tables'!$G$19, 'Range Tables'!$B$19, 'Range Tables'!$B$20), 
  H165="Bike", IF(I165&lt;='Range Tables'!$G$25, 'Range Tables'!$B$25, 'Range Tables'!$B$26), 
  H165="Scooter", IF(I165&lt;='Range Tables'!$G$31, 'Range Tables'!$B$31, 'Range Tables'!$B$32), 
  H165="Auto", IF(I165&lt;='Range Tables'!$G$37, 'Range Tables'!$B$37, 'Range Tables'!$B$38), 
  H165="Carriers*", IF(I165&lt;='Range Tables'!$G$43, 'Range Tables'!$B$43, 'Range Tables'!$B$44), 
  H165="Van*", IF(I165&lt;='Range Tables'!$G$50, 'Range Tables'!$B$50, 'Range Tables'!$B$49)
)</f>
        <v>Petrol</v>
      </c>
      <c r="K165" s="112">
        <v>0.5108691225438604</v>
      </c>
      <c r="L165" s="113">
        <f>if(J165="Petrol",ifs(K165&lt;='Range Tables'!$G$5,'Range Tables'!$B$5,K165&lt;='Range Tables'!$G$6,'Range Tables'!$B$6,K165&lt;='Range Tables'!$G$7,'Range Tables'!$B$7),ifs(K165&lt;='Range Tables'!$G$13,'Range Tables'!$B$13,K165&lt;='Range Tables'!$G$14,'Range Tables'!$B$14))</f>
        <v>2</v>
      </c>
      <c r="M165" s="112">
        <v>0.059802659933682834</v>
      </c>
      <c r="N165" s="113" t="str">
        <f>ifs(H165="Car",ifs(M165&lt;='Range Tables'!$G$125,'Range Tables'!$B$125,M165&lt;='Range Tables'!$G$126,'Range Tables'!$B$126,M165&lt;='Range Tables'!$G$127,'Range Tables'!$B$127,M165&lt;='Range Tables'!$G$128,'Range Tables'!$B$128,M165&lt;='Range Tables'!$G$129,'Range Tables'!$B$129,'Range Tables'!$G$131,'Range Tables'!$B$131),H165="Bike",ifs(M165&lt;='Range Tables'!$G$136,'Range Tables'!$B$136,M165&lt;='Range Tables'!$G$137,'Range Tables'!$B$137,M165&lt;='Range Tables'!$G$138,'Range Tables'!$B$138,M165&lt;='Range Tables'!$G$142,'Range Tables'!$B$142),H165="Scooter",ifs(M165&lt;='Range Tables'!$G$148,'Range Tables'!$B$148,M165&lt;='Range Tables'!$G$149,'Range Tables'!$B$149,M165&lt;='Range Tables'!$G$150,'Range Tables'!$B$150,M165&lt;='Range Tables'!$G$151,'Range Tables'!$B$151),H165="Auto",ifs(M165&lt;='Range Tables'!$G$161,'Range Tables'!$B$161,M165&lt;='Range Tables'!$G$162,'Range Tables'!$B$162,M165&lt;='Range Tables'!$G$163,'Range Tables'!$B$163,M165&lt;='Range Tables'!$G$164,'Range Tables'!$B$164),H165="Carriers*",ifs(M165&lt;='Range Tables'!$G$173,'Range Tables'!$B$173,M165&lt;='Range Tables'!$G$174,'Range Tables'!$B$174,M165&lt;='Range Tables'!$G$175,'Range Tables'!$B$175,M165&lt;='Range Tables'!$G$176,'Range Tables'!$B$176,M165&lt;='Range Tables'!$G$177,'Range Tables'!$B$177,M165&lt;='Range Tables'!$G$179,'Range Tables'!$B$179),H165="Van*",ifs(M165&lt;='Range Tables'!$G$186,'Range Tables'!$B$186))</f>
        <v>60 - 120</v>
      </c>
      <c r="O165" s="113">
        <f>IFERROR(__xludf.DUMMYFUNCTION("SPLIT(N165,""-"")"),60.0)</f>
        <v>60</v>
      </c>
      <c r="P165" s="113">
        <f>IFERROR(__xludf.DUMMYFUNCTION("""COMPUTED_VALUE"""),120.0)</f>
        <v>120</v>
      </c>
      <c r="Q165" s="114">
        <f t="shared" si="2"/>
        <v>63.5881596</v>
      </c>
      <c r="R165" s="115">
        <f t="shared" si="3"/>
        <v>0.1553299149</v>
      </c>
      <c r="S165" s="114">
        <f t="shared" si="39"/>
        <v>13420.50465</v>
      </c>
      <c r="T165" s="113" t="str">
        <f t="shared" si="4"/>
        <v>no</v>
      </c>
      <c r="U165" s="115">
        <f t="shared" si="5"/>
        <v>0</v>
      </c>
      <c r="V165" s="113">
        <f t="shared" si="34"/>
        <v>0</v>
      </c>
      <c r="W165" s="115">
        <f t="shared" si="6"/>
        <v>0</v>
      </c>
      <c r="X165" s="85">
        <f t="shared" si="7"/>
        <v>0</v>
      </c>
      <c r="Y165" s="116">
        <f t="shared" si="8"/>
        <v>0</v>
      </c>
      <c r="Z165" s="113">
        <f t="shared" si="9"/>
        <v>0</v>
      </c>
      <c r="AA165" s="113" t="str">
        <f t="shared" si="10"/>
        <v>yes</v>
      </c>
      <c r="AB165" s="115">
        <f t="shared" si="11"/>
        <v>0.001968227838</v>
      </c>
      <c r="AC165" s="114">
        <f t="shared" si="35"/>
        <v>170.0548852</v>
      </c>
      <c r="AD165" s="116">
        <f t="shared" si="12"/>
        <v>0.1572981428</v>
      </c>
      <c r="AE165" s="114">
        <f t="shared" si="13"/>
        <v>13590.55953</v>
      </c>
      <c r="AF165" s="116">
        <f t="shared" si="14"/>
        <v>0.1580341168</v>
      </c>
      <c r="AG165" s="114">
        <f t="shared" si="15"/>
        <v>13654.14769</v>
      </c>
      <c r="AH165" s="113" t="str">
        <f t="shared" si="16"/>
        <v>no</v>
      </c>
      <c r="AI165" s="115">
        <f t="shared" si="17"/>
        <v>0</v>
      </c>
      <c r="AJ165" s="113">
        <f t="shared" si="36"/>
        <v>0</v>
      </c>
      <c r="AK165" s="116">
        <f t="shared" si="18"/>
        <v>0</v>
      </c>
      <c r="AL165" s="113">
        <f t="shared" si="19"/>
        <v>0</v>
      </c>
      <c r="AM165" s="115">
        <f t="shared" si="20"/>
        <v>0</v>
      </c>
      <c r="AN165" s="85">
        <f t="shared" si="21"/>
        <v>0</v>
      </c>
      <c r="AO165" s="113" t="str">
        <f t="shared" si="22"/>
        <v>no</v>
      </c>
      <c r="AP165" s="115">
        <f t="shared" si="23"/>
        <v>0</v>
      </c>
      <c r="AQ165" s="113">
        <f t="shared" si="37"/>
        <v>0</v>
      </c>
      <c r="AR165" s="116">
        <f t="shared" si="24"/>
        <v>0</v>
      </c>
      <c r="AS165" s="113">
        <f t="shared" si="25"/>
        <v>0</v>
      </c>
      <c r="AT165" s="116">
        <f t="shared" si="26"/>
        <v>0</v>
      </c>
      <c r="AU165" s="113">
        <f t="shared" si="27"/>
        <v>0</v>
      </c>
      <c r="AV165" s="113" t="str">
        <f t="shared" si="28"/>
        <v>no</v>
      </c>
      <c r="AW165" s="115">
        <f t="shared" si="29"/>
        <v>0</v>
      </c>
      <c r="AX165" s="85">
        <f t="shared" si="38"/>
        <v>0</v>
      </c>
      <c r="AY165" s="116">
        <f t="shared" si="30"/>
        <v>0</v>
      </c>
      <c r="AZ165" s="113">
        <f t="shared" si="31"/>
        <v>0</v>
      </c>
      <c r="BA165" s="116">
        <f t="shared" si="32"/>
        <v>0</v>
      </c>
      <c r="BB165" s="113">
        <f t="shared" si="33"/>
        <v>0</v>
      </c>
      <c r="BC165" s="112">
        <v>0.6203190966123706</v>
      </c>
      <c r="BD165" s="113" t="str">
        <f>ifs(BC165&lt;='Range Tables'!$G$81,'Range Tables'!$B$81,BC165&lt;='Range Tables'!$G$82,'Range Tables'!$B$82)</f>
        <v>Offline*</v>
      </c>
      <c r="BE165" s="112">
        <v>0.3361715346284485</v>
      </c>
      <c r="BF165" s="112" t="str">
        <f>ifs(BE165&lt;='Range Tables'!$G$95,'Range Tables'!$B$95,BE165&lt;='Range Tables'!$G$96,'Range Tables'!$B$96,BE165&lt;='Range Tables'!$G$97,'Range Tables'!$B$97,BE165&lt;='Range Tables'!$G$98,'Range Tables'!$B$98,BE165&lt;='Range Tables'!$G$99,'Range Tables'!$B$99,BE165&lt;='Range Tables'!$G$100,'Range Tables'!$B$100,BE165&lt;='Range Tables'!$G$101,'Range Tables'!$B$101,BE165&lt;='Range Tables'!$G$102,'Range Tables'!$B$102,BE165&lt;='Range Tables'!$G$103,'Range Tables'!$B$103)</f>
        <v>Jammu</v>
      </c>
      <c r="BG165" s="112">
        <v>0.9903066454613454</v>
      </c>
      <c r="BH165" s="113" t="str">
        <f>ifs(BG165&lt;='Range Tables'!$G$112,'Range Tables'!$B$112,BG165&lt;='Range Tables'!$G$113,'Range Tables'!$B$113,BG165&lt;='Range Tables'!$G$114,'Range Tables'!$B$114)</f>
        <v>6+</v>
      </c>
      <c r="BI165" s="117">
        <v>0.0979320793148416</v>
      </c>
      <c r="BJ165" s="113" t="str">
        <f>ifs(BI165&lt;='Range Tables'!$G$118,'Range Tables'!$B$118,BI165&lt;='Range Tables'!$G$119,'Range Tables'!$B$119)</f>
        <v>Valid</v>
      </c>
    </row>
    <row r="166">
      <c r="A166" s="85">
        <v>163.0</v>
      </c>
      <c r="B166" s="112">
        <v>0.28656443318369096</v>
      </c>
      <c r="C166" s="113" t="str">
        <f>ifs(B166&lt;='Range Tables'!$G$54,'Range Tables'!$B$54,B166&lt;='Range Tables'!$G$55,'Range Tables'!$B$55,B166&lt;='Range Tables'!$G$56,'Range Tables'!$B$56,B166&lt;='Range Tables'!$G$57,'Range Tables'!$B$57,B166&lt;='Range Tables'!$G$58,'Range Tables'!$B$58,B166&lt;='Range Tables'!$G$59,'Range Tables'!$B$59,B166&lt;='Range Tables'!$G$60,'Range Tables'!$B$60,B166&lt;='Range Tables'!$G$61,'Range Tables'!$B$61,B166&lt;='Range Tables'!$G$63,'Range Tables'!$B$63,B166&lt;='Range Tables'!$G$64,'Range Tables'!$B$64,B166&lt;='Range Tables'!$G$66,'Range Tables'!$B$66)</f>
        <v>0 - 30</v>
      </c>
      <c r="D166" s="113">
        <f>IFERROR(__xludf.DUMMYFUNCTION("SPLIT(C166,""-"")"),0.0)</f>
        <v>0</v>
      </c>
      <c r="E166" s="113">
        <f>IFERROR(__xludf.DUMMYFUNCTION("""COMPUTED_VALUE"""),30.0)</f>
        <v>30</v>
      </c>
      <c r="F166" s="114">
        <f t="shared" si="40"/>
        <v>8.596932996</v>
      </c>
      <c r="G166" s="112">
        <v>0.45938974335312244</v>
      </c>
      <c r="H166" s="113" t="str">
        <f>ifs(G166&lt;='Range Tables'!$G$86,'Range Tables'!$B$86,G166&lt;='Range Tables'!$G$87,'Range Tables'!$B$87,G166&lt;='Range Tables'!$G$88,'Range Tables'!$B$88,G166&lt;='Range Tables'!$G$89,'Range Tables'!$B$89,G166&lt;='Range Tables'!$G$90,'Range Tables'!$B$90,G166&lt;='Range Tables'!$G$91,'Range Tables'!$B$91)</f>
        <v>Car</v>
      </c>
      <c r="I166" s="112">
        <v>0.205274356563096</v>
      </c>
      <c r="J166" s="113" t="str">
        <f>IFS(
  H166="Car", IF(I166&lt;='Range Tables'!$G$19, 'Range Tables'!$B$19, 'Range Tables'!$B$20), 
  H166="Bike", IF(I166&lt;='Range Tables'!$G$25, 'Range Tables'!$B$25, 'Range Tables'!$B$26), 
  H166="Scooter", IF(I166&lt;='Range Tables'!$G$31, 'Range Tables'!$B$31, 'Range Tables'!$B$32), 
  H166="Auto", IF(I166&lt;='Range Tables'!$G$37, 'Range Tables'!$B$37, 'Range Tables'!$B$38), 
  H166="Carriers*", IF(I166&lt;='Range Tables'!$G$43, 'Range Tables'!$B$43, 'Range Tables'!$B$44), 
  H166="Van*", IF(I166&lt;='Range Tables'!$G$50, 'Range Tables'!$B$50, 'Range Tables'!$B$49)
)</f>
        <v>Petrol</v>
      </c>
      <c r="K166" s="112">
        <v>0.20939876537587387</v>
      </c>
      <c r="L166" s="113">
        <f>if(J166="Petrol",ifs(K166&lt;='Range Tables'!$G$5,'Range Tables'!$B$5,K166&lt;='Range Tables'!$G$6,'Range Tables'!$B$6,K166&lt;='Range Tables'!$G$7,'Range Tables'!$B$7),ifs(K166&lt;='Range Tables'!$G$13,'Range Tables'!$B$13,K166&lt;='Range Tables'!$G$14,'Range Tables'!$B$14))</f>
        <v>2</v>
      </c>
      <c r="M166" s="112">
        <v>0.08519906519792697</v>
      </c>
      <c r="N166" s="113" t="str">
        <f>ifs(H166="Car",ifs(M166&lt;='Range Tables'!$G$125,'Range Tables'!$B$125,M166&lt;='Range Tables'!$G$126,'Range Tables'!$B$126,M166&lt;='Range Tables'!$G$127,'Range Tables'!$B$127,M166&lt;='Range Tables'!$G$128,'Range Tables'!$B$128,M166&lt;='Range Tables'!$G$129,'Range Tables'!$B$129,'Range Tables'!$G$131,'Range Tables'!$B$131),H166="Bike",ifs(M166&lt;='Range Tables'!$G$136,'Range Tables'!$B$136,M166&lt;='Range Tables'!$G$137,'Range Tables'!$B$137,M166&lt;='Range Tables'!$G$138,'Range Tables'!$B$138,M166&lt;='Range Tables'!$G$142,'Range Tables'!$B$142),H166="Scooter",ifs(M166&lt;='Range Tables'!$G$148,'Range Tables'!$B$148,M166&lt;='Range Tables'!$G$149,'Range Tables'!$B$149,M166&lt;='Range Tables'!$G$150,'Range Tables'!$B$150,M166&lt;='Range Tables'!$G$151,'Range Tables'!$B$151),H166="Auto",ifs(M166&lt;='Range Tables'!$G$161,'Range Tables'!$B$161,M166&lt;='Range Tables'!$G$162,'Range Tables'!$B$162,M166&lt;='Range Tables'!$G$163,'Range Tables'!$B$163,M166&lt;='Range Tables'!$G$164,'Range Tables'!$B$164),H166="Carriers*",ifs(M166&lt;='Range Tables'!$G$173,'Range Tables'!$B$173,M166&lt;='Range Tables'!$G$174,'Range Tables'!$B$174,M166&lt;='Range Tables'!$G$175,'Range Tables'!$B$175,M166&lt;='Range Tables'!$G$176,'Range Tables'!$B$176,M166&lt;='Range Tables'!$G$177,'Range Tables'!$B$177,M166&lt;='Range Tables'!$G$179,'Range Tables'!$B$179),H166="Van*",ifs(M166&lt;='Range Tables'!$G$186,'Range Tables'!$B$186))</f>
        <v>60 - 120</v>
      </c>
      <c r="O166" s="113">
        <f>IFERROR(__xludf.DUMMYFUNCTION("SPLIT(N166,""-"")"),60.0)</f>
        <v>60</v>
      </c>
      <c r="P166" s="113">
        <f>IFERROR(__xludf.DUMMYFUNCTION("""COMPUTED_VALUE"""),120.0)</f>
        <v>120</v>
      </c>
      <c r="Q166" s="114">
        <f t="shared" si="2"/>
        <v>65.11194391</v>
      </c>
      <c r="R166" s="115">
        <f t="shared" si="3"/>
        <v>0.1558531483</v>
      </c>
      <c r="S166" s="114">
        <f t="shared" si="39"/>
        <v>13465.71201</v>
      </c>
      <c r="T166" s="113" t="str">
        <f t="shared" si="4"/>
        <v>no</v>
      </c>
      <c r="U166" s="115">
        <f t="shared" si="5"/>
        <v>0</v>
      </c>
      <c r="V166" s="113">
        <f t="shared" si="34"/>
        <v>0</v>
      </c>
      <c r="W166" s="115">
        <f t="shared" si="6"/>
        <v>0</v>
      </c>
      <c r="X166" s="85">
        <f t="shared" si="7"/>
        <v>0</v>
      </c>
      <c r="Y166" s="116">
        <f t="shared" si="8"/>
        <v>0</v>
      </c>
      <c r="Z166" s="113">
        <f t="shared" si="9"/>
        <v>0</v>
      </c>
      <c r="AA166" s="113" t="str">
        <f t="shared" si="10"/>
        <v>yes</v>
      </c>
      <c r="AB166" s="115">
        <f t="shared" si="11"/>
        <v>0.002180968519</v>
      </c>
      <c r="AC166" s="114">
        <f t="shared" si="35"/>
        <v>188.43568</v>
      </c>
      <c r="AD166" s="116">
        <f t="shared" si="12"/>
        <v>0.1580341168</v>
      </c>
      <c r="AE166" s="114">
        <f t="shared" si="13"/>
        <v>13654.14769</v>
      </c>
      <c r="AF166" s="116">
        <f t="shared" si="14"/>
        <v>0.1587877273</v>
      </c>
      <c r="AG166" s="114">
        <f t="shared" si="15"/>
        <v>13719.25964</v>
      </c>
      <c r="AH166" s="113" t="str">
        <f t="shared" si="16"/>
        <v>no</v>
      </c>
      <c r="AI166" s="115">
        <f t="shared" si="17"/>
        <v>0</v>
      </c>
      <c r="AJ166" s="113">
        <f t="shared" si="36"/>
        <v>0</v>
      </c>
      <c r="AK166" s="116">
        <f t="shared" si="18"/>
        <v>0</v>
      </c>
      <c r="AL166" s="113">
        <f t="shared" si="19"/>
        <v>0</v>
      </c>
      <c r="AM166" s="115">
        <f t="shared" si="20"/>
        <v>0</v>
      </c>
      <c r="AN166" s="85">
        <f t="shared" si="21"/>
        <v>0</v>
      </c>
      <c r="AO166" s="113" t="str">
        <f t="shared" si="22"/>
        <v>no</v>
      </c>
      <c r="AP166" s="115">
        <f t="shared" si="23"/>
        <v>0</v>
      </c>
      <c r="AQ166" s="113">
        <f t="shared" si="37"/>
        <v>0</v>
      </c>
      <c r="AR166" s="116">
        <f t="shared" si="24"/>
        <v>0</v>
      </c>
      <c r="AS166" s="113">
        <f t="shared" si="25"/>
        <v>0</v>
      </c>
      <c r="AT166" s="116">
        <f t="shared" si="26"/>
        <v>0</v>
      </c>
      <c r="AU166" s="113">
        <f t="shared" si="27"/>
        <v>0</v>
      </c>
      <c r="AV166" s="113" t="str">
        <f t="shared" si="28"/>
        <v>no</v>
      </c>
      <c r="AW166" s="115">
        <f t="shared" si="29"/>
        <v>0</v>
      </c>
      <c r="AX166" s="85">
        <f t="shared" si="38"/>
        <v>0</v>
      </c>
      <c r="AY166" s="116">
        <f t="shared" si="30"/>
        <v>0</v>
      </c>
      <c r="AZ166" s="113">
        <f t="shared" si="31"/>
        <v>0</v>
      </c>
      <c r="BA166" s="116">
        <f t="shared" si="32"/>
        <v>0</v>
      </c>
      <c r="BB166" s="113">
        <f t="shared" si="33"/>
        <v>0</v>
      </c>
      <c r="BC166" s="112">
        <v>0.7480082170640391</v>
      </c>
      <c r="BD166" s="113" t="str">
        <f>ifs(BC166&lt;='Range Tables'!$G$81,'Range Tables'!$B$81,BC166&lt;='Range Tables'!$G$82,'Range Tables'!$B$82)</f>
        <v>Offline*</v>
      </c>
      <c r="BE166" s="112">
        <v>0.6754010339768958</v>
      </c>
      <c r="BF166" s="112" t="str">
        <f>ifs(BE166&lt;='Range Tables'!$G$95,'Range Tables'!$B$95,BE166&lt;='Range Tables'!$G$96,'Range Tables'!$B$96,BE166&lt;='Range Tables'!$G$97,'Range Tables'!$B$97,BE166&lt;='Range Tables'!$G$98,'Range Tables'!$B$98,BE166&lt;='Range Tables'!$G$99,'Range Tables'!$B$99,BE166&lt;='Range Tables'!$G$100,'Range Tables'!$B$100,BE166&lt;='Range Tables'!$G$101,'Range Tables'!$B$101,BE166&lt;='Range Tables'!$G$102,'Range Tables'!$B$102,BE166&lt;='Range Tables'!$G$103,'Range Tables'!$B$103)</f>
        <v>Jammu</v>
      </c>
      <c r="BG166" s="112">
        <v>0.49539857581217617</v>
      </c>
      <c r="BH166" s="113" t="str">
        <f>ifs(BG166&lt;='Range Tables'!$G$112,'Range Tables'!$B$112,BG166&lt;='Range Tables'!$G$113,'Range Tables'!$B$113,BG166&lt;='Range Tables'!$G$114,'Range Tables'!$B$114)</f>
        <v>0</v>
      </c>
      <c r="BI166" s="117">
        <v>0.3143330416001553</v>
      </c>
      <c r="BJ166" s="113" t="str">
        <f>ifs(BI166&lt;='Range Tables'!$G$118,'Range Tables'!$B$118,BI166&lt;='Range Tables'!$G$119,'Range Tables'!$B$119)</f>
        <v>Valid</v>
      </c>
    </row>
    <row r="167">
      <c r="A167" s="85">
        <v>164.0</v>
      </c>
      <c r="B167" s="112">
        <v>0.2607771719768023</v>
      </c>
      <c r="C167" s="113" t="str">
        <f>ifs(B167&lt;='Range Tables'!$G$54,'Range Tables'!$B$54,B167&lt;='Range Tables'!$G$55,'Range Tables'!$B$55,B167&lt;='Range Tables'!$G$56,'Range Tables'!$B$56,B167&lt;='Range Tables'!$G$57,'Range Tables'!$B$57,B167&lt;='Range Tables'!$G$58,'Range Tables'!$B$58,B167&lt;='Range Tables'!$G$59,'Range Tables'!$B$59,B167&lt;='Range Tables'!$G$60,'Range Tables'!$B$60,B167&lt;='Range Tables'!$G$61,'Range Tables'!$B$61,B167&lt;='Range Tables'!$G$63,'Range Tables'!$B$63,B167&lt;='Range Tables'!$G$64,'Range Tables'!$B$64,B167&lt;='Range Tables'!$G$66,'Range Tables'!$B$66)</f>
        <v>0 - 30</v>
      </c>
      <c r="D167" s="113">
        <f>IFERROR(__xludf.DUMMYFUNCTION("SPLIT(C167,""-"")"),0.0)</f>
        <v>0</v>
      </c>
      <c r="E167" s="113">
        <f>IFERROR(__xludf.DUMMYFUNCTION("""COMPUTED_VALUE"""),30.0)</f>
        <v>30</v>
      </c>
      <c r="F167" s="114">
        <f t="shared" si="40"/>
        <v>7.823315159</v>
      </c>
      <c r="G167" s="112">
        <v>0.46735171308319234</v>
      </c>
      <c r="H167" s="113" t="str">
        <f>ifs(G167&lt;='Range Tables'!$G$86,'Range Tables'!$B$86,G167&lt;='Range Tables'!$G$87,'Range Tables'!$B$87,G167&lt;='Range Tables'!$G$88,'Range Tables'!$B$88,G167&lt;='Range Tables'!$G$89,'Range Tables'!$B$89,G167&lt;='Range Tables'!$G$90,'Range Tables'!$B$90,G167&lt;='Range Tables'!$G$91,'Range Tables'!$B$91)</f>
        <v>Car</v>
      </c>
      <c r="I167" s="112">
        <v>0.48413436595415116</v>
      </c>
      <c r="J167" s="113" t="str">
        <f>IFS(
  H167="Car", IF(I167&lt;='Range Tables'!$G$19, 'Range Tables'!$B$19, 'Range Tables'!$B$20), 
  H167="Bike", IF(I167&lt;='Range Tables'!$G$25, 'Range Tables'!$B$25, 'Range Tables'!$B$26), 
  H167="Scooter", IF(I167&lt;='Range Tables'!$G$31, 'Range Tables'!$B$31, 'Range Tables'!$B$32), 
  H167="Auto", IF(I167&lt;='Range Tables'!$G$37, 'Range Tables'!$B$37, 'Range Tables'!$B$38), 
  H167="Carriers*", IF(I167&lt;='Range Tables'!$G$43, 'Range Tables'!$B$43, 'Range Tables'!$B$44), 
  H167="Van*", IF(I167&lt;='Range Tables'!$G$50, 'Range Tables'!$B$50, 'Range Tables'!$B$49)
)</f>
        <v>Petrol</v>
      </c>
      <c r="K167" s="112">
        <v>0.9202346150009333</v>
      </c>
      <c r="L167" s="113">
        <f>if(J167="Petrol",ifs(K167&lt;='Range Tables'!$G$5,'Range Tables'!$B$5,K167&lt;='Range Tables'!$G$6,'Range Tables'!$B$6,K167&lt;='Range Tables'!$G$7,'Range Tables'!$B$7),ifs(K167&lt;='Range Tables'!$G$13,'Range Tables'!$B$13,K167&lt;='Range Tables'!$G$14,'Range Tables'!$B$14))</f>
        <v>4</v>
      </c>
      <c r="M167" s="112">
        <v>0.06429082402916664</v>
      </c>
      <c r="N167" s="113" t="str">
        <f>ifs(H167="Car",ifs(M167&lt;='Range Tables'!$G$125,'Range Tables'!$B$125,M167&lt;='Range Tables'!$G$126,'Range Tables'!$B$126,M167&lt;='Range Tables'!$G$127,'Range Tables'!$B$127,M167&lt;='Range Tables'!$G$128,'Range Tables'!$B$128,M167&lt;='Range Tables'!$G$129,'Range Tables'!$B$129,'Range Tables'!$G$131,'Range Tables'!$B$131),H167="Bike",ifs(M167&lt;='Range Tables'!$G$136,'Range Tables'!$B$136,M167&lt;='Range Tables'!$G$137,'Range Tables'!$B$137,M167&lt;='Range Tables'!$G$138,'Range Tables'!$B$138,M167&lt;='Range Tables'!$G$142,'Range Tables'!$B$142),H167="Scooter",ifs(M167&lt;='Range Tables'!$G$148,'Range Tables'!$B$148,M167&lt;='Range Tables'!$G$149,'Range Tables'!$B$149,M167&lt;='Range Tables'!$G$150,'Range Tables'!$B$150,M167&lt;='Range Tables'!$G$151,'Range Tables'!$B$151),H167="Auto",ifs(M167&lt;='Range Tables'!$G$161,'Range Tables'!$B$161,M167&lt;='Range Tables'!$G$162,'Range Tables'!$B$162,M167&lt;='Range Tables'!$G$163,'Range Tables'!$B$163,M167&lt;='Range Tables'!$G$164,'Range Tables'!$B$164),H167="Carriers*",ifs(M167&lt;='Range Tables'!$G$173,'Range Tables'!$B$173,M167&lt;='Range Tables'!$G$174,'Range Tables'!$B$174,M167&lt;='Range Tables'!$G$175,'Range Tables'!$B$175,M167&lt;='Range Tables'!$G$176,'Range Tables'!$B$176,M167&lt;='Range Tables'!$G$177,'Range Tables'!$B$177,M167&lt;='Range Tables'!$G$179,'Range Tables'!$B$179),H167="Van*",ifs(M167&lt;='Range Tables'!$G$186,'Range Tables'!$B$186))</f>
        <v>60 - 120</v>
      </c>
      <c r="O167" s="113">
        <f>IFERROR(__xludf.DUMMYFUNCTION("SPLIT(N167,""-"")"),60.0)</f>
        <v>60</v>
      </c>
      <c r="P167" s="113">
        <f>IFERROR(__xludf.DUMMYFUNCTION("""COMPUTED_VALUE"""),120.0)</f>
        <v>120</v>
      </c>
      <c r="Q167" s="114">
        <f t="shared" si="2"/>
        <v>63.85744944</v>
      </c>
      <c r="R167" s="115">
        <f t="shared" si="3"/>
        <v>0.1559526498</v>
      </c>
      <c r="S167" s="114">
        <f t="shared" si="39"/>
        <v>13474.30895</v>
      </c>
      <c r="T167" s="113" t="str">
        <f t="shared" si="4"/>
        <v>no</v>
      </c>
      <c r="U167" s="115">
        <f t="shared" si="5"/>
        <v>0</v>
      </c>
      <c r="V167" s="113">
        <f t="shared" si="34"/>
        <v>0</v>
      </c>
      <c r="W167" s="115">
        <f t="shared" si="6"/>
        <v>0</v>
      </c>
      <c r="X167" s="85">
        <f t="shared" si="7"/>
        <v>0</v>
      </c>
      <c r="Y167" s="116">
        <f t="shared" si="8"/>
        <v>0</v>
      </c>
      <c r="Z167" s="113">
        <f t="shared" si="9"/>
        <v>0</v>
      </c>
      <c r="AA167" s="113" t="str">
        <f t="shared" si="10"/>
        <v>no</v>
      </c>
      <c r="AB167" s="115">
        <f t="shared" si="11"/>
        <v>0</v>
      </c>
      <c r="AC167" s="113">
        <f t="shared" si="35"/>
        <v>0</v>
      </c>
      <c r="AD167" s="116">
        <f t="shared" si="12"/>
        <v>0</v>
      </c>
      <c r="AE167" s="113">
        <f t="shared" si="13"/>
        <v>0</v>
      </c>
      <c r="AF167" s="116">
        <f t="shared" si="14"/>
        <v>0</v>
      </c>
      <c r="AG167" s="113">
        <f t="shared" si="15"/>
        <v>0</v>
      </c>
      <c r="AH167" s="113" t="str">
        <f t="shared" si="16"/>
        <v>no</v>
      </c>
      <c r="AI167" s="115">
        <f t="shared" si="17"/>
        <v>0</v>
      </c>
      <c r="AJ167" s="113">
        <f t="shared" si="36"/>
        <v>0</v>
      </c>
      <c r="AK167" s="116">
        <f t="shared" si="18"/>
        <v>0</v>
      </c>
      <c r="AL167" s="113">
        <f t="shared" si="19"/>
        <v>0</v>
      </c>
      <c r="AM167" s="115">
        <f t="shared" si="20"/>
        <v>0</v>
      </c>
      <c r="AN167" s="85">
        <f t="shared" si="21"/>
        <v>0</v>
      </c>
      <c r="AO167" s="113" t="str">
        <f t="shared" si="22"/>
        <v>yes</v>
      </c>
      <c r="AP167" s="115">
        <f t="shared" si="23"/>
        <v>0</v>
      </c>
      <c r="AQ167" s="113">
        <f t="shared" si="37"/>
        <v>0</v>
      </c>
      <c r="AR167" s="116">
        <f t="shared" si="24"/>
        <v>0.1559526498</v>
      </c>
      <c r="AS167" s="114">
        <f t="shared" si="25"/>
        <v>13474.30895</v>
      </c>
      <c r="AT167" s="116">
        <f t="shared" si="26"/>
        <v>0.1566917407</v>
      </c>
      <c r="AU167" s="114">
        <f t="shared" si="27"/>
        <v>13538.1664</v>
      </c>
      <c r="AV167" s="113" t="str">
        <f t="shared" si="28"/>
        <v>no</v>
      </c>
      <c r="AW167" s="115">
        <f t="shared" si="29"/>
        <v>0</v>
      </c>
      <c r="AX167" s="85">
        <f t="shared" si="38"/>
        <v>0</v>
      </c>
      <c r="AY167" s="116">
        <f t="shared" si="30"/>
        <v>0</v>
      </c>
      <c r="AZ167" s="113">
        <f t="shared" si="31"/>
        <v>0</v>
      </c>
      <c r="BA167" s="116">
        <f t="shared" si="32"/>
        <v>0</v>
      </c>
      <c r="BB167" s="113">
        <f t="shared" si="33"/>
        <v>0</v>
      </c>
      <c r="BC167" s="112">
        <v>0.7107381365913028</v>
      </c>
      <c r="BD167" s="113" t="str">
        <f>ifs(BC167&lt;='Range Tables'!$G$81,'Range Tables'!$B$81,BC167&lt;='Range Tables'!$G$82,'Range Tables'!$B$82)</f>
        <v>Offline*</v>
      </c>
      <c r="BE167" s="112">
        <v>0.9547993707324872</v>
      </c>
      <c r="BF167" s="112" t="str">
        <f>ifs(BE167&lt;='Range Tables'!$G$95,'Range Tables'!$B$95,BE167&lt;='Range Tables'!$G$96,'Range Tables'!$B$96,BE167&lt;='Range Tables'!$G$97,'Range Tables'!$B$97,BE167&lt;='Range Tables'!$G$98,'Range Tables'!$B$98,BE167&lt;='Range Tables'!$G$99,'Range Tables'!$B$99,BE167&lt;='Range Tables'!$G$100,'Range Tables'!$B$100,BE167&lt;='Range Tables'!$G$101,'Range Tables'!$B$101,BE167&lt;='Range Tables'!$G$102,'Range Tables'!$B$102,BE167&lt;='Range Tables'!$G$103,'Range Tables'!$B$103)</f>
        <v>Lakhanpur</v>
      </c>
      <c r="BG167" s="112">
        <v>0.9424200428973287</v>
      </c>
      <c r="BH167" s="113" t="str">
        <f>ifs(BG167&lt;='Range Tables'!$G$112,'Range Tables'!$B$112,BG167&lt;='Range Tables'!$G$113,'Range Tables'!$B$113,BG167&lt;='Range Tables'!$G$114,'Range Tables'!$B$114)</f>
        <v>1-5</v>
      </c>
      <c r="BI167" s="117">
        <v>0.6862094975572868</v>
      </c>
      <c r="BJ167" s="113" t="str">
        <f>ifs(BI167&lt;='Range Tables'!$G$118,'Range Tables'!$B$118,BI167&lt;='Range Tables'!$G$119,'Range Tables'!$B$119)</f>
        <v>Expired</v>
      </c>
    </row>
    <row r="168">
      <c r="A168" s="85">
        <v>165.0</v>
      </c>
      <c r="B168" s="112">
        <v>0.9010874413700164</v>
      </c>
      <c r="C168" s="113" t="str">
        <f>ifs(B168&lt;='Range Tables'!$G$54,'Range Tables'!$B$54,B168&lt;='Range Tables'!$G$55,'Range Tables'!$B$55,B168&lt;='Range Tables'!$G$56,'Range Tables'!$B$56,B168&lt;='Range Tables'!$G$57,'Range Tables'!$B$57,B168&lt;='Range Tables'!$G$58,'Range Tables'!$B$58,B168&lt;='Range Tables'!$G$59,'Range Tables'!$B$59,B168&lt;='Range Tables'!$G$60,'Range Tables'!$B$60,B168&lt;='Range Tables'!$G$61,'Range Tables'!$B$61,B168&lt;='Range Tables'!$G$63,'Range Tables'!$B$63,B168&lt;='Range Tables'!$G$64,'Range Tables'!$B$64,B168&lt;='Range Tables'!$G$66,'Range Tables'!$B$66)</f>
        <v>180 - 210</v>
      </c>
      <c r="D168" s="113">
        <f>IFERROR(__xludf.DUMMYFUNCTION("SPLIT(C168,""-"")"),180.0)</f>
        <v>180</v>
      </c>
      <c r="E168" s="113">
        <f>IFERROR(__xludf.DUMMYFUNCTION("""COMPUTED_VALUE"""),210.0)</f>
        <v>210</v>
      </c>
      <c r="F168" s="114">
        <f t="shared" si="40"/>
        <v>207.0326232</v>
      </c>
      <c r="G168" s="112">
        <v>0.6958915586986358</v>
      </c>
      <c r="H168" s="113" t="str">
        <f>ifs(G168&lt;='Range Tables'!$G$86,'Range Tables'!$B$86,G168&lt;='Range Tables'!$G$87,'Range Tables'!$B$87,G168&lt;='Range Tables'!$G$88,'Range Tables'!$B$88,G168&lt;='Range Tables'!$G$89,'Range Tables'!$B$89,G168&lt;='Range Tables'!$G$90,'Range Tables'!$B$90,G168&lt;='Range Tables'!$G$91,'Range Tables'!$B$91)</f>
        <v>Bike</v>
      </c>
      <c r="I168" s="112">
        <v>0.9493830391262441</v>
      </c>
      <c r="J168" s="113" t="str">
        <f>IFS(
  H168="Car", IF(I168&lt;='Range Tables'!$G$19, 'Range Tables'!$B$19, 'Range Tables'!$B$20), 
  H168="Bike", IF(I168&lt;='Range Tables'!$G$25, 'Range Tables'!$B$25, 'Range Tables'!$B$26), 
  H168="Scooter", IF(I168&lt;='Range Tables'!$G$31, 'Range Tables'!$B$31, 'Range Tables'!$B$32), 
  H168="Auto", IF(I168&lt;='Range Tables'!$G$37, 'Range Tables'!$B$37, 'Range Tables'!$B$38), 
  H168="Carriers*", IF(I168&lt;='Range Tables'!$G$43, 'Range Tables'!$B$43, 'Range Tables'!$B$44), 
  H168="Van*", IF(I168&lt;='Range Tables'!$G$50, 'Range Tables'!$B$50, 'Range Tables'!$B$49)
)</f>
        <v>Petrol</v>
      </c>
      <c r="K168" s="112">
        <v>0.804365234357319</v>
      </c>
      <c r="L168" s="113">
        <f>if(J168="Petrol",ifs(K168&lt;='Range Tables'!$G$5,'Range Tables'!$B$5,K168&lt;='Range Tables'!$G$6,'Range Tables'!$B$6,K168&lt;='Range Tables'!$G$7,'Range Tables'!$B$7),ifs(K168&lt;='Range Tables'!$G$13,'Range Tables'!$B$13,K168&lt;='Range Tables'!$G$14,'Range Tables'!$B$14))</f>
        <v>3</v>
      </c>
      <c r="M168" s="112">
        <v>0.4771189336126581</v>
      </c>
      <c r="N168" s="113" t="str">
        <f>ifs(H168="Car",ifs(M168&lt;='Range Tables'!$G$125,'Range Tables'!$B$125,M168&lt;='Range Tables'!$G$126,'Range Tables'!$B$126,M168&lt;='Range Tables'!$G$127,'Range Tables'!$B$127,M168&lt;='Range Tables'!$G$128,'Range Tables'!$B$128,M168&lt;='Range Tables'!$G$129,'Range Tables'!$B$129,'Range Tables'!$G$131,'Range Tables'!$B$131),H168="Bike",ifs(M168&lt;='Range Tables'!$G$136,'Range Tables'!$B$136,M168&lt;='Range Tables'!$G$137,'Range Tables'!$B$137,M168&lt;='Range Tables'!$G$138,'Range Tables'!$B$138,M168&lt;='Range Tables'!$G$142,'Range Tables'!$B$142),H168="Scooter",ifs(M168&lt;='Range Tables'!$G$148,'Range Tables'!$B$148,M168&lt;='Range Tables'!$G$149,'Range Tables'!$B$149,M168&lt;='Range Tables'!$G$150,'Range Tables'!$B$150,M168&lt;='Range Tables'!$G$151,'Range Tables'!$B$151),H168="Auto",ifs(M168&lt;='Range Tables'!$G$161,'Range Tables'!$B$161,M168&lt;='Range Tables'!$G$162,'Range Tables'!$B$162,M168&lt;='Range Tables'!$G$163,'Range Tables'!$B$163,M168&lt;='Range Tables'!$G$164,'Range Tables'!$B$164),H168="Carriers*",ifs(M168&lt;='Range Tables'!$G$173,'Range Tables'!$B$173,M168&lt;='Range Tables'!$G$174,'Range Tables'!$B$174,M168&lt;='Range Tables'!$G$175,'Range Tables'!$B$175,M168&lt;='Range Tables'!$G$176,'Range Tables'!$B$176,M168&lt;='Range Tables'!$G$177,'Range Tables'!$B$177,M168&lt;='Range Tables'!$G$179,'Range Tables'!$B$179),H168="Van*",ifs(M168&lt;='Range Tables'!$G$186,'Range Tables'!$B$186))</f>
        <v>60 - 120</v>
      </c>
      <c r="O168" s="113">
        <f>IFERROR(__xludf.DUMMYFUNCTION("SPLIT(N168,""-"")"),60.0)</f>
        <v>60</v>
      </c>
      <c r="P168" s="113">
        <f>IFERROR(__xludf.DUMMYFUNCTION("""COMPUTED_VALUE"""),120.0)</f>
        <v>120</v>
      </c>
      <c r="Q168" s="114">
        <f t="shared" si="2"/>
        <v>88.62713602</v>
      </c>
      <c r="R168" s="115">
        <f t="shared" si="3"/>
        <v>0.1560431975</v>
      </c>
      <c r="S168" s="114">
        <f t="shared" si="39"/>
        <v>13482.13226</v>
      </c>
      <c r="T168" s="113" t="str">
        <f t="shared" si="4"/>
        <v>no</v>
      </c>
      <c r="U168" s="115">
        <f t="shared" si="5"/>
        <v>0</v>
      </c>
      <c r="V168" s="113">
        <f t="shared" si="34"/>
        <v>0</v>
      </c>
      <c r="W168" s="115">
        <f t="shared" si="6"/>
        <v>0</v>
      </c>
      <c r="X168" s="85">
        <f t="shared" si="7"/>
        <v>0</v>
      </c>
      <c r="Y168" s="116">
        <f t="shared" si="8"/>
        <v>0</v>
      </c>
      <c r="Z168" s="113">
        <f t="shared" si="9"/>
        <v>0</v>
      </c>
      <c r="AA168" s="113" t="str">
        <f t="shared" si="10"/>
        <v>no</v>
      </c>
      <c r="AB168" s="115">
        <f t="shared" si="11"/>
        <v>0</v>
      </c>
      <c r="AC168" s="113">
        <f t="shared" si="35"/>
        <v>0</v>
      </c>
      <c r="AD168" s="116">
        <f t="shared" si="12"/>
        <v>0</v>
      </c>
      <c r="AE168" s="113">
        <f t="shared" si="13"/>
        <v>0</v>
      </c>
      <c r="AF168" s="116">
        <f t="shared" si="14"/>
        <v>0</v>
      </c>
      <c r="AG168" s="113">
        <f t="shared" si="15"/>
        <v>0</v>
      </c>
      <c r="AH168" s="113" t="str">
        <f t="shared" si="16"/>
        <v>yes</v>
      </c>
      <c r="AI168" s="115">
        <f t="shared" si="17"/>
        <v>0</v>
      </c>
      <c r="AJ168" s="113">
        <f t="shared" si="36"/>
        <v>0</v>
      </c>
      <c r="AK168" s="116">
        <f t="shared" si="18"/>
        <v>0.1560431975</v>
      </c>
      <c r="AL168" s="114">
        <f t="shared" si="19"/>
        <v>13482.13226</v>
      </c>
      <c r="AM168" s="115">
        <f t="shared" si="20"/>
        <v>0.1570689745</v>
      </c>
      <c r="AN168" s="118">
        <f t="shared" si="21"/>
        <v>13570.7594</v>
      </c>
      <c r="AO168" s="113" t="str">
        <f t="shared" si="22"/>
        <v>no</v>
      </c>
      <c r="AP168" s="115">
        <f t="shared" si="23"/>
        <v>0</v>
      </c>
      <c r="AQ168" s="113">
        <f t="shared" si="37"/>
        <v>0</v>
      </c>
      <c r="AR168" s="116">
        <f t="shared" si="24"/>
        <v>0</v>
      </c>
      <c r="AS168" s="113">
        <f t="shared" si="25"/>
        <v>0</v>
      </c>
      <c r="AT168" s="116">
        <f t="shared" si="26"/>
        <v>0</v>
      </c>
      <c r="AU168" s="113">
        <f t="shared" si="27"/>
        <v>0</v>
      </c>
      <c r="AV168" s="113" t="str">
        <f t="shared" si="28"/>
        <v>no</v>
      </c>
      <c r="AW168" s="115">
        <f t="shared" si="29"/>
        <v>0</v>
      </c>
      <c r="AX168" s="85">
        <f t="shared" si="38"/>
        <v>0</v>
      </c>
      <c r="AY168" s="116">
        <f t="shared" si="30"/>
        <v>0</v>
      </c>
      <c r="AZ168" s="113">
        <f t="shared" si="31"/>
        <v>0</v>
      </c>
      <c r="BA168" s="116">
        <f t="shared" si="32"/>
        <v>0</v>
      </c>
      <c r="BB168" s="113">
        <f t="shared" si="33"/>
        <v>0</v>
      </c>
      <c r="BC168" s="112">
        <v>0.17779341816284355</v>
      </c>
      <c r="BD168" s="113" t="str">
        <f>ifs(BC168&lt;='Range Tables'!$G$81,'Range Tables'!$B$81,BC168&lt;='Range Tables'!$G$82,'Range Tables'!$B$82)</f>
        <v>Online*</v>
      </c>
      <c r="BE168" s="112">
        <v>0.09606529122232066</v>
      </c>
      <c r="BF168" s="112" t="str">
        <f>ifs(BE168&lt;='Range Tables'!$G$95,'Range Tables'!$B$95,BE168&lt;='Range Tables'!$G$96,'Range Tables'!$B$96,BE168&lt;='Range Tables'!$G$97,'Range Tables'!$B$97,BE168&lt;='Range Tables'!$G$98,'Range Tables'!$B$98,BE168&lt;='Range Tables'!$G$99,'Range Tables'!$B$99,BE168&lt;='Range Tables'!$G$100,'Range Tables'!$B$100,BE168&lt;='Range Tables'!$G$101,'Range Tables'!$B$101,BE168&lt;='Range Tables'!$G$102,'Range Tables'!$B$102,BE168&lt;='Range Tables'!$G$103,'Range Tables'!$B$103)</f>
        <v>Jammu</v>
      </c>
      <c r="BG168" s="112">
        <v>0.5068008536631097</v>
      </c>
      <c r="BH168" s="113" t="str">
        <f>ifs(BG168&lt;='Range Tables'!$G$112,'Range Tables'!$B$112,BG168&lt;='Range Tables'!$G$113,'Range Tables'!$B$113,BG168&lt;='Range Tables'!$G$114,'Range Tables'!$B$114)</f>
        <v>0</v>
      </c>
      <c r="BI168" s="117">
        <v>0.8943078295207875</v>
      </c>
      <c r="BJ168" s="113" t="str">
        <f>ifs(BI168&lt;='Range Tables'!$G$118,'Range Tables'!$B$118,BI168&lt;='Range Tables'!$G$119,'Range Tables'!$B$119)</f>
        <v>Expired</v>
      </c>
    </row>
    <row r="169">
      <c r="A169" s="85">
        <v>166.0</v>
      </c>
      <c r="B169" s="112">
        <v>0.8736587459907086</v>
      </c>
      <c r="C169" s="113" t="str">
        <f>ifs(B169&lt;='Range Tables'!$G$54,'Range Tables'!$B$54,B169&lt;='Range Tables'!$G$55,'Range Tables'!$B$55,B169&lt;='Range Tables'!$G$56,'Range Tables'!$B$56,B169&lt;='Range Tables'!$G$57,'Range Tables'!$B$57,B169&lt;='Range Tables'!$G$58,'Range Tables'!$B$58,B169&lt;='Range Tables'!$G$59,'Range Tables'!$B$59,B169&lt;='Range Tables'!$G$60,'Range Tables'!$B$60,B169&lt;='Range Tables'!$G$61,'Range Tables'!$B$61,B169&lt;='Range Tables'!$G$63,'Range Tables'!$B$63,B169&lt;='Range Tables'!$G$64,'Range Tables'!$B$64,B169&lt;='Range Tables'!$G$66,'Range Tables'!$B$66)</f>
        <v>180 - 210</v>
      </c>
      <c r="D169" s="113">
        <f>IFERROR(__xludf.DUMMYFUNCTION("SPLIT(C169,""-"")"),180.0)</f>
        <v>180</v>
      </c>
      <c r="E169" s="113">
        <f>IFERROR(__xludf.DUMMYFUNCTION("""COMPUTED_VALUE"""),210.0)</f>
        <v>210</v>
      </c>
      <c r="F169" s="114">
        <f t="shared" si="40"/>
        <v>206.2097624</v>
      </c>
      <c r="G169" s="112">
        <v>0.04835838559187722</v>
      </c>
      <c r="H169" s="113" t="str">
        <f>ifs(G169&lt;='Range Tables'!$G$86,'Range Tables'!$B$86,G169&lt;='Range Tables'!$G$87,'Range Tables'!$B$87,G169&lt;='Range Tables'!$G$88,'Range Tables'!$B$88,G169&lt;='Range Tables'!$G$89,'Range Tables'!$B$89,G169&lt;='Range Tables'!$G$90,'Range Tables'!$B$90,G169&lt;='Range Tables'!$G$91,'Range Tables'!$B$91)</f>
        <v>Car</v>
      </c>
      <c r="I169" s="112">
        <v>0.09094206047383357</v>
      </c>
      <c r="J169" s="113" t="str">
        <f>IFS(
  H169="Car", IF(I169&lt;='Range Tables'!$G$19, 'Range Tables'!$B$19, 'Range Tables'!$B$20), 
  H169="Bike", IF(I169&lt;='Range Tables'!$G$25, 'Range Tables'!$B$25, 'Range Tables'!$B$26), 
  H169="Scooter", IF(I169&lt;='Range Tables'!$G$31, 'Range Tables'!$B$31, 'Range Tables'!$B$32), 
  H169="Auto", IF(I169&lt;='Range Tables'!$G$37, 'Range Tables'!$B$37, 'Range Tables'!$B$38), 
  H169="Carriers*", IF(I169&lt;='Range Tables'!$G$43, 'Range Tables'!$B$43, 'Range Tables'!$B$44), 
  H169="Van*", IF(I169&lt;='Range Tables'!$G$50, 'Range Tables'!$B$50, 'Range Tables'!$B$49)
)</f>
        <v>Petrol</v>
      </c>
      <c r="K169" s="112">
        <v>0.13929399359807848</v>
      </c>
      <c r="L169" s="113">
        <f>if(J169="Petrol",ifs(K169&lt;='Range Tables'!$G$5,'Range Tables'!$B$5,K169&lt;='Range Tables'!$G$6,'Range Tables'!$B$6,K169&lt;='Range Tables'!$G$7,'Range Tables'!$B$7),ifs(K169&lt;='Range Tables'!$G$13,'Range Tables'!$B$13,K169&lt;='Range Tables'!$G$14,'Range Tables'!$B$14))</f>
        <v>2</v>
      </c>
      <c r="M169" s="112">
        <v>0.8113807161547738</v>
      </c>
      <c r="N169" s="113" t="str">
        <f>ifs(H169="Car",ifs(M169&lt;='Range Tables'!$G$125,'Range Tables'!$B$125,M169&lt;='Range Tables'!$G$126,'Range Tables'!$B$126,M169&lt;='Range Tables'!$G$127,'Range Tables'!$B$127,M169&lt;='Range Tables'!$G$128,'Range Tables'!$B$128,M169&lt;='Range Tables'!$G$129,'Range Tables'!$B$129,'Range Tables'!$G$131,'Range Tables'!$B$131),H169="Bike",ifs(M169&lt;='Range Tables'!$G$136,'Range Tables'!$B$136,M169&lt;='Range Tables'!$G$137,'Range Tables'!$B$137,M169&lt;='Range Tables'!$G$138,'Range Tables'!$B$138,M169&lt;='Range Tables'!$G$142,'Range Tables'!$B$142),H169="Scooter",ifs(M169&lt;='Range Tables'!$G$148,'Range Tables'!$B$148,M169&lt;='Range Tables'!$G$149,'Range Tables'!$B$149,M169&lt;='Range Tables'!$G$150,'Range Tables'!$B$150,M169&lt;='Range Tables'!$G$151,'Range Tables'!$B$151),H169="Auto",ifs(M169&lt;='Range Tables'!$G$161,'Range Tables'!$B$161,M169&lt;='Range Tables'!$G$162,'Range Tables'!$B$162,M169&lt;='Range Tables'!$G$163,'Range Tables'!$B$163,M169&lt;='Range Tables'!$G$164,'Range Tables'!$B$164),H169="Carriers*",ifs(M169&lt;='Range Tables'!$G$173,'Range Tables'!$B$173,M169&lt;='Range Tables'!$G$174,'Range Tables'!$B$174,M169&lt;='Range Tables'!$G$175,'Range Tables'!$B$175,M169&lt;='Range Tables'!$G$176,'Range Tables'!$B$176,M169&lt;='Range Tables'!$G$177,'Range Tables'!$B$177,M169&lt;='Range Tables'!$G$179,'Range Tables'!$B$179),H169="Van*",ifs(M169&lt;='Range Tables'!$G$186,'Range Tables'!$B$186))</f>
        <v>120 - 180</v>
      </c>
      <c r="O169" s="113">
        <f>IFERROR(__xludf.DUMMYFUNCTION("SPLIT(N169,""-"")"),120.0)</f>
        <v>120</v>
      </c>
      <c r="P169" s="113">
        <f>IFERROR(__xludf.DUMMYFUNCTION("""COMPUTED_VALUE"""),180.0)</f>
        <v>180</v>
      </c>
      <c r="Q169" s="114">
        <f t="shared" si="2"/>
        <v>168.682843</v>
      </c>
      <c r="R169" s="115">
        <f t="shared" si="3"/>
        <v>0.1584394084</v>
      </c>
      <c r="S169" s="114">
        <f t="shared" si="39"/>
        <v>13689.16488</v>
      </c>
      <c r="T169" s="113" t="str">
        <f t="shared" si="4"/>
        <v>no</v>
      </c>
      <c r="U169" s="115">
        <f t="shared" si="5"/>
        <v>0</v>
      </c>
      <c r="V169" s="113">
        <f t="shared" si="34"/>
        <v>0</v>
      </c>
      <c r="W169" s="115">
        <f t="shared" si="6"/>
        <v>0</v>
      </c>
      <c r="X169" s="85">
        <f t="shared" si="7"/>
        <v>0</v>
      </c>
      <c r="Y169" s="116">
        <f t="shared" si="8"/>
        <v>0</v>
      </c>
      <c r="Z169" s="113">
        <f t="shared" si="9"/>
        <v>0</v>
      </c>
      <c r="AA169" s="113" t="str">
        <f t="shared" si="10"/>
        <v>yes</v>
      </c>
      <c r="AB169" s="115">
        <f t="shared" si="11"/>
        <v>0</v>
      </c>
      <c r="AC169" s="113">
        <f t="shared" si="35"/>
        <v>0</v>
      </c>
      <c r="AD169" s="116">
        <f t="shared" si="12"/>
        <v>0.1584394084</v>
      </c>
      <c r="AE169" s="114">
        <f t="shared" si="13"/>
        <v>13689.16488</v>
      </c>
      <c r="AF169" s="116">
        <f t="shared" si="14"/>
        <v>0.1603917561</v>
      </c>
      <c r="AG169" s="114">
        <f t="shared" si="15"/>
        <v>13857.84773</v>
      </c>
      <c r="AH169" s="113" t="str">
        <f t="shared" si="16"/>
        <v>no</v>
      </c>
      <c r="AI169" s="115">
        <f t="shared" si="17"/>
        <v>0</v>
      </c>
      <c r="AJ169" s="113">
        <f t="shared" si="36"/>
        <v>0</v>
      </c>
      <c r="AK169" s="116">
        <f t="shared" si="18"/>
        <v>0</v>
      </c>
      <c r="AL169" s="113">
        <f t="shared" si="19"/>
        <v>0</v>
      </c>
      <c r="AM169" s="115">
        <f t="shared" si="20"/>
        <v>0</v>
      </c>
      <c r="AN169" s="85">
        <f t="shared" si="21"/>
        <v>0</v>
      </c>
      <c r="AO169" s="113" t="str">
        <f t="shared" si="22"/>
        <v>no</v>
      </c>
      <c r="AP169" s="115">
        <f t="shared" si="23"/>
        <v>0</v>
      </c>
      <c r="AQ169" s="113">
        <f t="shared" si="37"/>
        <v>0</v>
      </c>
      <c r="AR169" s="116">
        <f t="shared" si="24"/>
        <v>0</v>
      </c>
      <c r="AS169" s="113">
        <f t="shared" si="25"/>
        <v>0</v>
      </c>
      <c r="AT169" s="116">
        <f t="shared" si="26"/>
        <v>0</v>
      </c>
      <c r="AU169" s="113">
        <f t="shared" si="27"/>
        <v>0</v>
      </c>
      <c r="AV169" s="113" t="str">
        <f t="shared" si="28"/>
        <v>no</v>
      </c>
      <c r="AW169" s="115">
        <f t="shared" si="29"/>
        <v>0</v>
      </c>
      <c r="AX169" s="85">
        <f t="shared" si="38"/>
        <v>0</v>
      </c>
      <c r="AY169" s="116">
        <f t="shared" si="30"/>
        <v>0</v>
      </c>
      <c r="AZ169" s="113">
        <f t="shared" si="31"/>
        <v>0</v>
      </c>
      <c r="BA169" s="116">
        <f t="shared" si="32"/>
        <v>0</v>
      </c>
      <c r="BB169" s="113">
        <f t="shared" si="33"/>
        <v>0</v>
      </c>
      <c r="BC169" s="112">
        <v>0.46233531106762393</v>
      </c>
      <c r="BD169" s="113" t="str">
        <f>ifs(BC169&lt;='Range Tables'!$G$81,'Range Tables'!$B$81,BC169&lt;='Range Tables'!$G$82,'Range Tables'!$B$82)</f>
        <v>Offline*</v>
      </c>
      <c r="BE169" s="112">
        <v>0.7457377168099982</v>
      </c>
      <c r="BF169" s="112" t="str">
        <f>ifs(BE169&lt;='Range Tables'!$G$95,'Range Tables'!$B$95,BE169&lt;='Range Tables'!$G$96,'Range Tables'!$B$96,BE169&lt;='Range Tables'!$G$97,'Range Tables'!$B$97,BE169&lt;='Range Tables'!$G$98,'Range Tables'!$B$98,BE169&lt;='Range Tables'!$G$99,'Range Tables'!$B$99,BE169&lt;='Range Tables'!$G$100,'Range Tables'!$B$100,BE169&lt;='Range Tables'!$G$101,'Range Tables'!$B$101,BE169&lt;='Range Tables'!$G$102,'Range Tables'!$B$102,BE169&lt;='Range Tables'!$G$103,'Range Tables'!$B$103)</f>
        <v>Jammu</v>
      </c>
      <c r="BG169" s="112">
        <v>0.43635804325353433</v>
      </c>
      <c r="BH169" s="113" t="str">
        <f>ifs(BG169&lt;='Range Tables'!$G$112,'Range Tables'!$B$112,BG169&lt;='Range Tables'!$G$113,'Range Tables'!$B$113,BG169&lt;='Range Tables'!$G$114,'Range Tables'!$B$114)</f>
        <v>0</v>
      </c>
      <c r="BI169" s="117">
        <v>0.4949933272789071</v>
      </c>
      <c r="BJ169" s="113" t="str">
        <f>ifs(BI169&lt;='Range Tables'!$G$118,'Range Tables'!$B$118,BI169&lt;='Range Tables'!$G$119,'Range Tables'!$B$119)</f>
        <v>Valid</v>
      </c>
    </row>
    <row r="170">
      <c r="A170" s="85">
        <v>167.0</v>
      </c>
      <c r="B170" s="112">
        <v>0.4266925673077633</v>
      </c>
      <c r="C170" s="113" t="str">
        <f>ifs(B170&lt;='Range Tables'!$G$54,'Range Tables'!$B$54,B170&lt;='Range Tables'!$G$55,'Range Tables'!$B$55,B170&lt;='Range Tables'!$G$56,'Range Tables'!$B$56,B170&lt;='Range Tables'!$G$57,'Range Tables'!$B$57,B170&lt;='Range Tables'!$G$58,'Range Tables'!$B$58,B170&lt;='Range Tables'!$G$59,'Range Tables'!$B$59,B170&lt;='Range Tables'!$G$60,'Range Tables'!$B$60,B170&lt;='Range Tables'!$G$61,'Range Tables'!$B$61,B170&lt;='Range Tables'!$G$63,'Range Tables'!$B$63,B170&lt;='Range Tables'!$G$64,'Range Tables'!$B$64,B170&lt;='Range Tables'!$G$66,'Range Tables'!$B$66)</f>
        <v>30 - 60 </v>
      </c>
      <c r="D170" s="113">
        <f>IFERROR(__xludf.DUMMYFUNCTION("SPLIT(C170,""-"")"),30.0)</f>
        <v>30</v>
      </c>
      <c r="E170" s="113">
        <f>IFERROR(__xludf.DUMMYFUNCTION("""COMPUTED_VALUE"""),60.0)</f>
        <v>60</v>
      </c>
      <c r="F170" s="114">
        <f t="shared" si="40"/>
        <v>42.80077702</v>
      </c>
      <c r="G170" s="112">
        <v>0.42751625290560935</v>
      </c>
      <c r="H170" s="113" t="str">
        <f>ifs(G170&lt;='Range Tables'!$G$86,'Range Tables'!$B$86,G170&lt;='Range Tables'!$G$87,'Range Tables'!$B$87,G170&lt;='Range Tables'!$G$88,'Range Tables'!$B$88,G170&lt;='Range Tables'!$G$89,'Range Tables'!$B$89,G170&lt;='Range Tables'!$G$90,'Range Tables'!$B$90,G170&lt;='Range Tables'!$G$91,'Range Tables'!$B$91)</f>
        <v>Car</v>
      </c>
      <c r="I170" s="112">
        <v>0.949573042487841</v>
      </c>
      <c r="J170" s="113" t="str">
        <f>IFS(
  H170="Car", IF(I170&lt;='Range Tables'!$G$19, 'Range Tables'!$B$19, 'Range Tables'!$B$20), 
  H170="Bike", IF(I170&lt;='Range Tables'!$G$25, 'Range Tables'!$B$25, 'Range Tables'!$B$26), 
  H170="Scooter", IF(I170&lt;='Range Tables'!$G$31, 'Range Tables'!$B$31, 'Range Tables'!$B$32), 
  H170="Auto", IF(I170&lt;='Range Tables'!$G$37, 'Range Tables'!$B$37, 'Range Tables'!$B$38), 
  H170="Carriers*", IF(I170&lt;='Range Tables'!$G$43, 'Range Tables'!$B$43, 'Range Tables'!$B$44), 
  H170="Van*", IF(I170&lt;='Range Tables'!$G$50, 'Range Tables'!$B$50, 'Range Tables'!$B$49)
)</f>
        <v>Diesel</v>
      </c>
      <c r="K170" s="112">
        <v>0.880902115158435</v>
      </c>
      <c r="L170" s="113">
        <f>if(J170="Petrol",ifs(K170&lt;='Range Tables'!$G$5,'Range Tables'!$B$5,K170&lt;='Range Tables'!$G$6,'Range Tables'!$B$6,K170&lt;='Range Tables'!$G$7,'Range Tables'!$B$7),ifs(K170&lt;='Range Tables'!$G$13,'Range Tables'!$B$13,K170&lt;='Range Tables'!$G$14,'Range Tables'!$B$14))</f>
        <v>5</v>
      </c>
      <c r="M170" s="112">
        <v>0.6665218313012893</v>
      </c>
      <c r="N170" s="113" t="str">
        <f>ifs(H170="Car",ifs(M170&lt;='Range Tables'!$G$125,'Range Tables'!$B$125,M170&lt;='Range Tables'!$G$126,'Range Tables'!$B$126,M170&lt;='Range Tables'!$G$127,'Range Tables'!$B$127,M170&lt;='Range Tables'!$G$128,'Range Tables'!$B$128,M170&lt;='Range Tables'!$G$129,'Range Tables'!$B$129,'Range Tables'!$G$131,'Range Tables'!$B$131),H170="Bike",ifs(M170&lt;='Range Tables'!$G$136,'Range Tables'!$B$136,M170&lt;='Range Tables'!$G$137,'Range Tables'!$B$137,M170&lt;='Range Tables'!$G$138,'Range Tables'!$B$138,M170&lt;='Range Tables'!$G$142,'Range Tables'!$B$142),H170="Scooter",ifs(M170&lt;='Range Tables'!$G$148,'Range Tables'!$B$148,M170&lt;='Range Tables'!$G$149,'Range Tables'!$B$149,M170&lt;='Range Tables'!$G$150,'Range Tables'!$B$150,M170&lt;='Range Tables'!$G$151,'Range Tables'!$B$151),H170="Auto",ifs(M170&lt;='Range Tables'!$G$161,'Range Tables'!$B$161,M170&lt;='Range Tables'!$G$162,'Range Tables'!$B$162,M170&lt;='Range Tables'!$G$163,'Range Tables'!$B$163,M170&lt;='Range Tables'!$G$164,'Range Tables'!$B$164),H170="Carriers*",ifs(M170&lt;='Range Tables'!$G$173,'Range Tables'!$B$173,M170&lt;='Range Tables'!$G$174,'Range Tables'!$B$174,M170&lt;='Range Tables'!$G$175,'Range Tables'!$B$175,M170&lt;='Range Tables'!$G$176,'Range Tables'!$B$176,M170&lt;='Range Tables'!$G$177,'Range Tables'!$B$177,M170&lt;='Range Tables'!$G$179,'Range Tables'!$B$179),H170="Van*",ifs(M170&lt;='Range Tables'!$G$186,'Range Tables'!$B$186))</f>
        <v>120 - 180</v>
      </c>
      <c r="O170" s="113">
        <f>IFERROR(__xludf.DUMMYFUNCTION("SPLIT(N170,""-"")"),120.0)</f>
        <v>120</v>
      </c>
      <c r="P170" s="113">
        <f>IFERROR(__xludf.DUMMYFUNCTION("""COMPUTED_VALUE"""),180.0)</f>
        <v>180</v>
      </c>
      <c r="Q170" s="114">
        <f t="shared" si="2"/>
        <v>159.9913099</v>
      </c>
      <c r="R170" s="115">
        <f t="shared" si="3"/>
        <v>0.1608260955</v>
      </c>
      <c r="S170" s="114">
        <f t="shared" si="39"/>
        <v>13895.37465</v>
      </c>
      <c r="T170" s="113" t="str">
        <f t="shared" si="4"/>
        <v>no</v>
      </c>
      <c r="U170" s="115">
        <f t="shared" si="5"/>
        <v>0</v>
      </c>
      <c r="V170" s="113">
        <f t="shared" si="34"/>
        <v>0</v>
      </c>
      <c r="W170" s="115">
        <f t="shared" si="6"/>
        <v>0</v>
      </c>
      <c r="X170" s="85">
        <f t="shared" si="7"/>
        <v>0</v>
      </c>
      <c r="Y170" s="116">
        <f t="shared" si="8"/>
        <v>0</v>
      </c>
      <c r="Z170" s="113">
        <f t="shared" si="9"/>
        <v>0</v>
      </c>
      <c r="AA170" s="113" t="str">
        <f t="shared" si="10"/>
        <v>no</v>
      </c>
      <c r="AB170" s="115">
        <f t="shared" si="11"/>
        <v>0</v>
      </c>
      <c r="AC170" s="113">
        <f t="shared" si="35"/>
        <v>0</v>
      </c>
      <c r="AD170" s="116">
        <f t="shared" si="12"/>
        <v>0</v>
      </c>
      <c r="AE170" s="113">
        <f t="shared" si="13"/>
        <v>0</v>
      </c>
      <c r="AF170" s="116">
        <f t="shared" si="14"/>
        <v>0</v>
      </c>
      <c r="AG170" s="113">
        <f t="shared" si="15"/>
        <v>0</v>
      </c>
      <c r="AH170" s="113" t="str">
        <f t="shared" si="16"/>
        <v>no</v>
      </c>
      <c r="AI170" s="115">
        <f t="shared" si="17"/>
        <v>0</v>
      </c>
      <c r="AJ170" s="113">
        <f t="shared" si="36"/>
        <v>0</v>
      </c>
      <c r="AK170" s="116">
        <f t="shared" si="18"/>
        <v>0</v>
      </c>
      <c r="AL170" s="113">
        <f t="shared" si="19"/>
        <v>0</v>
      </c>
      <c r="AM170" s="115">
        <f t="shared" si="20"/>
        <v>0</v>
      </c>
      <c r="AN170" s="85">
        <f t="shared" si="21"/>
        <v>0</v>
      </c>
      <c r="AO170" s="113" t="str">
        <f t="shared" si="22"/>
        <v>no</v>
      </c>
      <c r="AP170" s="115">
        <f t="shared" si="23"/>
        <v>0</v>
      </c>
      <c r="AQ170" s="113">
        <f t="shared" si="37"/>
        <v>0</v>
      </c>
      <c r="AR170" s="116">
        <f t="shared" si="24"/>
        <v>0</v>
      </c>
      <c r="AS170" s="113">
        <f t="shared" si="25"/>
        <v>0</v>
      </c>
      <c r="AT170" s="116">
        <f t="shared" si="26"/>
        <v>0</v>
      </c>
      <c r="AU170" s="113">
        <f t="shared" si="27"/>
        <v>0</v>
      </c>
      <c r="AV170" s="113" t="str">
        <f t="shared" si="28"/>
        <v>yes</v>
      </c>
      <c r="AW170" s="115">
        <f t="shared" si="29"/>
        <v>0</v>
      </c>
      <c r="AX170" s="85">
        <f t="shared" si="38"/>
        <v>0</v>
      </c>
      <c r="AY170" s="116">
        <f t="shared" si="30"/>
        <v>0.1608260955</v>
      </c>
      <c r="AZ170" s="114">
        <f t="shared" si="31"/>
        <v>13895.37465</v>
      </c>
      <c r="BA170" s="116">
        <f t="shared" si="32"/>
        <v>0.1626778467</v>
      </c>
      <c r="BB170" s="114">
        <f t="shared" si="33"/>
        <v>14055.36596</v>
      </c>
      <c r="BC170" s="112">
        <v>0.8377975022167338</v>
      </c>
      <c r="BD170" s="113" t="str">
        <f>ifs(BC170&lt;='Range Tables'!$G$81,'Range Tables'!$B$81,BC170&lt;='Range Tables'!$G$82,'Range Tables'!$B$82)</f>
        <v>Offline*</v>
      </c>
      <c r="BE170" s="112">
        <v>0.947643756807172</v>
      </c>
      <c r="BF170" s="112" t="str">
        <f>ifs(BE170&lt;='Range Tables'!$G$95,'Range Tables'!$B$95,BE170&lt;='Range Tables'!$G$96,'Range Tables'!$B$96,BE170&lt;='Range Tables'!$G$97,'Range Tables'!$B$97,BE170&lt;='Range Tables'!$G$98,'Range Tables'!$B$98,BE170&lt;='Range Tables'!$G$99,'Range Tables'!$B$99,BE170&lt;='Range Tables'!$G$100,'Range Tables'!$B$100,BE170&lt;='Range Tables'!$G$101,'Range Tables'!$B$101,BE170&lt;='Range Tables'!$G$102,'Range Tables'!$B$102,BE170&lt;='Range Tables'!$G$103,'Range Tables'!$B$103)</f>
        <v>Lakhanpur</v>
      </c>
      <c r="BG170" s="112">
        <v>0.45268680906479253</v>
      </c>
      <c r="BH170" s="113" t="str">
        <f>ifs(BG170&lt;='Range Tables'!$G$112,'Range Tables'!$B$112,BG170&lt;='Range Tables'!$G$113,'Range Tables'!$B$113,BG170&lt;='Range Tables'!$G$114,'Range Tables'!$B$114)</f>
        <v>0</v>
      </c>
      <c r="BI170" s="117">
        <v>0.774113408567098</v>
      </c>
      <c r="BJ170" s="113" t="str">
        <f>ifs(BI170&lt;='Range Tables'!$G$118,'Range Tables'!$B$118,BI170&lt;='Range Tables'!$G$119,'Range Tables'!$B$119)</f>
        <v>Expired</v>
      </c>
    </row>
    <row r="171">
      <c r="A171" s="85">
        <v>168.0</v>
      </c>
      <c r="B171" s="112">
        <v>0.5601048047053756</v>
      </c>
      <c r="C171" s="113" t="str">
        <f>ifs(B171&lt;='Range Tables'!$G$54,'Range Tables'!$B$54,B171&lt;='Range Tables'!$G$55,'Range Tables'!$B$55,B171&lt;='Range Tables'!$G$56,'Range Tables'!$B$56,B171&lt;='Range Tables'!$G$57,'Range Tables'!$B$57,B171&lt;='Range Tables'!$G$58,'Range Tables'!$B$58,B171&lt;='Range Tables'!$G$59,'Range Tables'!$B$59,B171&lt;='Range Tables'!$G$60,'Range Tables'!$B$60,B171&lt;='Range Tables'!$G$61,'Range Tables'!$B$61,B171&lt;='Range Tables'!$G$63,'Range Tables'!$B$63,B171&lt;='Range Tables'!$G$64,'Range Tables'!$B$64,B171&lt;='Range Tables'!$G$66,'Range Tables'!$B$66)</f>
        <v>60 - 90</v>
      </c>
      <c r="D171" s="113">
        <f>IFERROR(__xludf.DUMMYFUNCTION("SPLIT(C171,""-"")"),60.0)</f>
        <v>60</v>
      </c>
      <c r="E171" s="113">
        <f>IFERROR(__xludf.DUMMYFUNCTION("""COMPUTED_VALUE"""),90.0)</f>
        <v>90</v>
      </c>
      <c r="F171" s="114">
        <f t="shared" si="40"/>
        <v>76.80314414</v>
      </c>
      <c r="G171" s="112">
        <v>0.9929887145160308</v>
      </c>
      <c r="H171" s="113" t="str">
        <f>ifs(G171&lt;='Range Tables'!$G$86,'Range Tables'!$B$86,G171&lt;='Range Tables'!$G$87,'Range Tables'!$B$87,G171&lt;='Range Tables'!$G$88,'Range Tables'!$B$88,G171&lt;='Range Tables'!$G$89,'Range Tables'!$B$89,G171&lt;='Range Tables'!$G$90,'Range Tables'!$B$90,G171&lt;='Range Tables'!$G$91,'Range Tables'!$B$91)</f>
        <v>Van*</v>
      </c>
      <c r="I171" s="112">
        <v>0.8145737376844409</v>
      </c>
      <c r="J171" s="113" t="str">
        <f>IFS(
  H171="Car", IF(I171&lt;='Range Tables'!$G$19, 'Range Tables'!$B$19, 'Range Tables'!$B$20), 
  H171="Bike", IF(I171&lt;='Range Tables'!$G$25, 'Range Tables'!$B$25, 'Range Tables'!$B$26), 
  H171="Scooter", IF(I171&lt;='Range Tables'!$G$31, 'Range Tables'!$B$31, 'Range Tables'!$B$32), 
  H171="Auto", IF(I171&lt;='Range Tables'!$G$37, 'Range Tables'!$B$37, 'Range Tables'!$B$38), 
  H171="Carriers*", IF(I171&lt;='Range Tables'!$G$43, 'Range Tables'!$B$43, 'Range Tables'!$B$44), 
  H171="Van*", IF(I171&lt;='Range Tables'!$G$50, 'Range Tables'!$B$50, 'Range Tables'!$B$49)
)</f>
        <v>Diesel</v>
      </c>
      <c r="K171" s="112">
        <v>0.900257566334627</v>
      </c>
      <c r="L171" s="113">
        <f>if(J171="Petrol",ifs(K171&lt;='Range Tables'!$G$5,'Range Tables'!$B$5,K171&lt;='Range Tables'!$G$6,'Range Tables'!$B$6,K171&lt;='Range Tables'!$G$7,'Range Tables'!$B$7),ifs(K171&lt;='Range Tables'!$G$13,'Range Tables'!$B$13,K171&lt;='Range Tables'!$G$14,'Range Tables'!$B$14))</f>
        <v>5</v>
      </c>
      <c r="M171" s="112">
        <v>0.6449658948738598</v>
      </c>
      <c r="N171" s="113" t="str">
        <f>ifs(H171="Car",ifs(M171&lt;='Range Tables'!$G$125,'Range Tables'!$B$125,M171&lt;='Range Tables'!$G$126,'Range Tables'!$B$126,M171&lt;='Range Tables'!$G$127,'Range Tables'!$B$127,M171&lt;='Range Tables'!$G$128,'Range Tables'!$B$128,M171&lt;='Range Tables'!$G$129,'Range Tables'!$B$129,'Range Tables'!$G$131,'Range Tables'!$B$131),H171="Bike",ifs(M171&lt;='Range Tables'!$G$136,'Range Tables'!$B$136,M171&lt;='Range Tables'!$G$137,'Range Tables'!$B$137,M171&lt;='Range Tables'!$G$138,'Range Tables'!$B$138,M171&lt;='Range Tables'!$G$142,'Range Tables'!$B$142),H171="Scooter",ifs(M171&lt;='Range Tables'!$G$148,'Range Tables'!$B$148,M171&lt;='Range Tables'!$G$149,'Range Tables'!$B$149,M171&lt;='Range Tables'!$G$150,'Range Tables'!$B$150,M171&lt;='Range Tables'!$G$151,'Range Tables'!$B$151),H171="Auto",ifs(M171&lt;='Range Tables'!$G$161,'Range Tables'!$B$161,M171&lt;='Range Tables'!$G$162,'Range Tables'!$B$162,M171&lt;='Range Tables'!$G$163,'Range Tables'!$B$163,M171&lt;='Range Tables'!$G$164,'Range Tables'!$B$164),H171="Carriers*",ifs(M171&lt;='Range Tables'!$G$173,'Range Tables'!$B$173,M171&lt;='Range Tables'!$G$174,'Range Tables'!$B$174,M171&lt;='Range Tables'!$G$175,'Range Tables'!$B$175,M171&lt;='Range Tables'!$G$176,'Range Tables'!$B$176,M171&lt;='Range Tables'!$G$177,'Range Tables'!$B$177,M171&lt;='Range Tables'!$G$179,'Range Tables'!$B$179),H171="Van*",ifs(M171&lt;='Range Tables'!$G$186,'Range Tables'!$B$186))</f>
        <v>120 - 180</v>
      </c>
      <c r="O171" s="113">
        <f>IFERROR(__xludf.DUMMYFUNCTION("SPLIT(N171,""-"")"),120.0)</f>
        <v>120</v>
      </c>
      <c r="P171" s="113">
        <f>IFERROR(__xludf.DUMMYFUNCTION("""COMPUTED_VALUE"""),180.0)</f>
        <v>180</v>
      </c>
      <c r="Q171" s="114">
        <f t="shared" si="2"/>
        <v>158.6979537</v>
      </c>
      <c r="R171" s="115">
        <f t="shared" si="3"/>
        <v>0.1613214748</v>
      </c>
      <c r="S171" s="114">
        <f t="shared" si="39"/>
        <v>13938.17542</v>
      </c>
      <c r="T171" s="113" t="str">
        <f t="shared" si="4"/>
        <v>no</v>
      </c>
      <c r="U171" s="115">
        <f t="shared" si="5"/>
        <v>0</v>
      </c>
      <c r="V171" s="113">
        <f t="shared" si="34"/>
        <v>0</v>
      </c>
      <c r="W171" s="115">
        <f t="shared" si="6"/>
        <v>0</v>
      </c>
      <c r="X171" s="85">
        <f t="shared" si="7"/>
        <v>0</v>
      </c>
      <c r="Y171" s="116">
        <f t="shared" si="8"/>
        <v>0</v>
      </c>
      <c r="Z171" s="113">
        <f t="shared" si="9"/>
        <v>0</v>
      </c>
      <c r="AA171" s="113" t="str">
        <f t="shared" si="10"/>
        <v>no</v>
      </c>
      <c r="AB171" s="115">
        <f t="shared" si="11"/>
        <v>0</v>
      </c>
      <c r="AC171" s="113">
        <f t="shared" si="35"/>
        <v>0</v>
      </c>
      <c r="AD171" s="116">
        <f t="shared" si="12"/>
        <v>0</v>
      </c>
      <c r="AE171" s="113">
        <f t="shared" si="13"/>
        <v>0</v>
      </c>
      <c r="AF171" s="116">
        <f t="shared" si="14"/>
        <v>0</v>
      </c>
      <c r="AG171" s="113">
        <f t="shared" si="15"/>
        <v>0</v>
      </c>
      <c r="AH171" s="113" t="str">
        <f t="shared" si="16"/>
        <v>no</v>
      </c>
      <c r="AI171" s="115">
        <f t="shared" si="17"/>
        <v>0</v>
      </c>
      <c r="AJ171" s="113">
        <f t="shared" si="36"/>
        <v>0</v>
      </c>
      <c r="AK171" s="116">
        <f t="shared" si="18"/>
        <v>0</v>
      </c>
      <c r="AL171" s="113">
        <f t="shared" si="19"/>
        <v>0</v>
      </c>
      <c r="AM171" s="115">
        <f t="shared" si="20"/>
        <v>0</v>
      </c>
      <c r="AN171" s="85">
        <f t="shared" si="21"/>
        <v>0</v>
      </c>
      <c r="AO171" s="113" t="str">
        <f t="shared" si="22"/>
        <v>no</v>
      </c>
      <c r="AP171" s="115">
        <f t="shared" si="23"/>
        <v>0</v>
      </c>
      <c r="AQ171" s="113">
        <f t="shared" si="37"/>
        <v>0</v>
      </c>
      <c r="AR171" s="116">
        <f t="shared" si="24"/>
        <v>0</v>
      </c>
      <c r="AS171" s="113">
        <f t="shared" si="25"/>
        <v>0</v>
      </c>
      <c r="AT171" s="116">
        <f t="shared" si="26"/>
        <v>0</v>
      </c>
      <c r="AU171" s="113">
        <f t="shared" si="27"/>
        <v>0</v>
      </c>
      <c r="AV171" s="113" t="str">
        <f t="shared" si="28"/>
        <v>yes</v>
      </c>
      <c r="AW171" s="115">
        <f t="shared" si="29"/>
        <v>0</v>
      </c>
      <c r="AX171" s="85">
        <f>if(AU171="yes",if(AZ170&gt;S171,AZ171-S171,0),0)</f>
        <v>0</v>
      </c>
      <c r="AY171" s="116">
        <f t="shared" si="30"/>
        <v>0.1613214748</v>
      </c>
      <c r="AZ171" s="114">
        <f t="shared" si="31"/>
        <v>13938.17542</v>
      </c>
      <c r="BA171" s="116">
        <f t="shared" si="32"/>
        <v>0.1631582567</v>
      </c>
      <c r="BB171" s="114">
        <f t="shared" si="33"/>
        <v>14096.87338</v>
      </c>
      <c r="BC171" s="112">
        <v>0.2716065200223041</v>
      </c>
      <c r="BD171" s="113" t="str">
        <f>ifs(BC171&lt;='Range Tables'!$G$81,'Range Tables'!$B$81,BC171&lt;='Range Tables'!$G$82,'Range Tables'!$B$82)</f>
        <v>Online*</v>
      </c>
      <c r="BE171" s="112">
        <v>0.3135906938598083</v>
      </c>
      <c r="BF171" s="112" t="str">
        <f>ifs(BE171&lt;='Range Tables'!$G$95,'Range Tables'!$B$95,BE171&lt;='Range Tables'!$G$96,'Range Tables'!$B$96,BE171&lt;='Range Tables'!$G$97,'Range Tables'!$B$97,BE171&lt;='Range Tables'!$G$98,'Range Tables'!$B$98,BE171&lt;='Range Tables'!$G$99,'Range Tables'!$B$99,BE171&lt;='Range Tables'!$G$100,'Range Tables'!$B$100,BE171&lt;='Range Tables'!$G$101,'Range Tables'!$B$101,BE171&lt;='Range Tables'!$G$102,'Range Tables'!$B$102,BE171&lt;='Range Tables'!$G$103,'Range Tables'!$B$103)</f>
        <v>Jammu</v>
      </c>
      <c r="BG171" s="112">
        <v>0.4744999752797765</v>
      </c>
      <c r="BH171" s="113" t="str">
        <f>ifs(BG171&lt;='Range Tables'!$G$112,'Range Tables'!$B$112,BG171&lt;='Range Tables'!$G$113,'Range Tables'!$B$113,BG171&lt;='Range Tables'!$G$114,'Range Tables'!$B$114)</f>
        <v>0</v>
      </c>
      <c r="BI171" s="117">
        <v>0.16980640964040417</v>
      </c>
      <c r="BJ171" s="113" t="str">
        <f>ifs(BI171&lt;='Range Tables'!$G$118,'Range Tables'!$B$118,BI171&lt;='Range Tables'!$G$119,'Range Tables'!$B$119)</f>
        <v>Valid</v>
      </c>
    </row>
    <row r="172">
      <c r="A172" s="85">
        <v>169.0</v>
      </c>
      <c r="B172" s="112">
        <v>0.9166124765184637</v>
      </c>
      <c r="C172" s="113" t="str">
        <f>ifs(B172&lt;='Range Tables'!$G$54,'Range Tables'!$B$54,B172&lt;='Range Tables'!$G$55,'Range Tables'!$B$55,B172&lt;='Range Tables'!$G$56,'Range Tables'!$B$56,B172&lt;='Range Tables'!$G$57,'Range Tables'!$B$57,B172&lt;='Range Tables'!$G$58,'Range Tables'!$B$58,B172&lt;='Range Tables'!$G$59,'Range Tables'!$B$59,B172&lt;='Range Tables'!$G$60,'Range Tables'!$B$60,B172&lt;='Range Tables'!$G$61,'Range Tables'!$B$61,B172&lt;='Range Tables'!$G$63,'Range Tables'!$B$63,B172&lt;='Range Tables'!$G$64,'Range Tables'!$B$64,B172&lt;='Range Tables'!$G$66,'Range Tables'!$B$66)</f>
        <v>210 - 240</v>
      </c>
      <c r="D172" s="113">
        <f>IFERROR(__xludf.DUMMYFUNCTION("SPLIT(C172,""-"")"),210.0)</f>
        <v>210</v>
      </c>
      <c r="E172" s="113">
        <f>IFERROR(__xludf.DUMMYFUNCTION("""COMPUTED_VALUE"""),240.0)</f>
        <v>240</v>
      </c>
      <c r="F172" s="114">
        <f t="shared" si="40"/>
        <v>237.4983743</v>
      </c>
      <c r="G172" s="112">
        <v>0.07992686296748419</v>
      </c>
      <c r="H172" s="113" t="str">
        <f>ifs(G172&lt;='Range Tables'!$G$86,'Range Tables'!$B$86,G172&lt;='Range Tables'!$G$87,'Range Tables'!$B$87,G172&lt;='Range Tables'!$G$88,'Range Tables'!$B$88,G172&lt;='Range Tables'!$G$89,'Range Tables'!$B$89,G172&lt;='Range Tables'!$G$90,'Range Tables'!$B$90,G172&lt;='Range Tables'!$G$91,'Range Tables'!$B$91)</f>
        <v>Car</v>
      </c>
      <c r="I172" s="112">
        <v>0.47368818346394637</v>
      </c>
      <c r="J172" s="113" t="str">
        <f>IFS(
  H172="Car", IF(I172&lt;='Range Tables'!$G$19, 'Range Tables'!$B$19, 'Range Tables'!$B$20), 
  H172="Bike", IF(I172&lt;='Range Tables'!$G$25, 'Range Tables'!$B$25, 'Range Tables'!$B$26), 
  H172="Scooter", IF(I172&lt;='Range Tables'!$G$31, 'Range Tables'!$B$31, 'Range Tables'!$B$32), 
  H172="Auto", IF(I172&lt;='Range Tables'!$G$37, 'Range Tables'!$B$37, 'Range Tables'!$B$38), 
  H172="Carriers*", IF(I172&lt;='Range Tables'!$G$43, 'Range Tables'!$B$43, 'Range Tables'!$B$44), 
  H172="Van*", IF(I172&lt;='Range Tables'!$G$50, 'Range Tables'!$B$50, 'Range Tables'!$B$49)
)</f>
        <v>Petrol</v>
      </c>
      <c r="K172" s="112">
        <v>0.03152291015876141</v>
      </c>
      <c r="L172" s="113">
        <f>if(J172="Petrol",ifs(K172&lt;='Range Tables'!$G$5,'Range Tables'!$B$5,K172&lt;='Range Tables'!$G$6,'Range Tables'!$B$6,K172&lt;='Range Tables'!$G$7,'Range Tables'!$B$7),ifs(K172&lt;='Range Tables'!$G$13,'Range Tables'!$B$13,K172&lt;='Range Tables'!$G$14,'Range Tables'!$B$14))</f>
        <v>2</v>
      </c>
      <c r="M172" s="112">
        <v>0.03196141046696477</v>
      </c>
      <c r="N172" s="113" t="str">
        <f>ifs(H172="Car",ifs(M172&lt;='Range Tables'!$G$125,'Range Tables'!$B$125,M172&lt;='Range Tables'!$G$126,'Range Tables'!$B$126,M172&lt;='Range Tables'!$G$127,'Range Tables'!$B$127,M172&lt;='Range Tables'!$G$128,'Range Tables'!$B$128,M172&lt;='Range Tables'!$G$129,'Range Tables'!$B$129,'Range Tables'!$G$131,'Range Tables'!$B$131),H172="Bike",ifs(M172&lt;='Range Tables'!$G$136,'Range Tables'!$B$136,M172&lt;='Range Tables'!$G$137,'Range Tables'!$B$137,M172&lt;='Range Tables'!$G$138,'Range Tables'!$B$138,M172&lt;='Range Tables'!$G$142,'Range Tables'!$B$142),H172="Scooter",ifs(M172&lt;='Range Tables'!$G$148,'Range Tables'!$B$148,M172&lt;='Range Tables'!$G$149,'Range Tables'!$B$149,M172&lt;='Range Tables'!$G$150,'Range Tables'!$B$150,M172&lt;='Range Tables'!$G$151,'Range Tables'!$B$151),H172="Auto",ifs(M172&lt;='Range Tables'!$G$161,'Range Tables'!$B$161,M172&lt;='Range Tables'!$G$162,'Range Tables'!$B$162,M172&lt;='Range Tables'!$G$163,'Range Tables'!$B$163,M172&lt;='Range Tables'!$G$164,'Range Tables'!$B$164),H172="Carriers*",ifs(M172&lt;='Range Tables'!$G$173,'Range Tables'!$B$173,M172&lt;='Range Tables'!$G$174,'Range Tables'!$B$174,M172&lt;='Range Tables'!$G$175,'Range Tables'!$B$175,M172&lt;='Range Tables'!$G$176,'Range Tables'!$B$176,M172&lt;='Range Tables'!$G$177,'Range Tables'!$B$177,M172&lt;='Range Tables'!$G$179,'Range Tables'!$B$179),H172="Van*",ifs(M172&lt;='Range Tables'!$G$186,'Range Tables'!$B$186))</f>
        <v>60 - 120</v>
      </c>
      <c r="O172" s="113">
        <f>IFERROR(__xludf.DUMMYFUNCTION("SPLIT(N172,""-"")"),60.0)</f>
        <v>60</v>
      </c>
      <c r="P172" s="113">
        <f>IFERROR(__xludf.DUMMYFUNCTION("""COMPUTED_VALUE"""),120.0)</f>
        <v>120</v>
      </c>
      <c r="Q172" s="114">
        <f t="shared" si="2"/>
        <v>61.91768463</v>
      </c>
      <c r="R172" s="115">
        <f t="shared" si="3"/>
        <v>0.1622104001</v>
      </c>
      <c r="S172" s="114">
        <f t="shared" si="39"/>
        <v>14014.97857</v>
      </c>
      <c r="T172" s="113" t="str">
        <f t="shared" si="4"/>
        <v>no</v>
      </c>
      <c r="U172" s="115">
        <f t="shared" si="5"/>
        <v>0</v>
      </c>
      <c r="V172" s="113">
        <f t="shared" si="34"/>
        <v>0</v>
      </c>
      <c r="W172" s="115">
        <f t="shared" si="6"/>
        <v>0</v>
      </c>
      <c r="X172" s="85">
        <f t="shared" si="7"/>
        <v>0</v>
      </c>
      <c r="Y172" s="116">
        <f t="shared" si="8"/>
        <v>0</v>
      </c>
      <c r="Z172" s="113">
        <f t="shared" si="9"/>
        <v>0</v>
      </c>
      <c r="AA172" s="113" t="str">
        <f t="shared" si="10"/>
        <v>yes</v>
      </c>
      <c r="AB172" s="115">
        <f t="shared" si="11"/>
        <v>0</v>
      </c>
      <c r="AC172" s="113">
        <f t="shared" si="35"/>
        <v>0</v>
      </c>
      <c r="AD172" s="116">
        <f t="shared" si="12"/>
        <v>0.1622104001</v>
      </c>
      <c r="AE172" s="114">
        <f t="shared" si="13"/>
        <v>14014.97857</v>
      </c>
      <c r="AF172" s="116">
        <f t="shared" si="14"/>
        <v>0.16292704</v>
      </c>
      <c r="AG172" s="114">
        <f t="shared" si="15"/>
        <v>14076.89625</v>
      </c>
      <c r="AH172" s="113" t="str">
        <f t="shared" si="16"/>
        <v>no</v>
      </c>
      <c r="AI172" s="115">
        <f t="shared" si="17"/>
        <v>0</v>
      </c>
      <c r="AJ172" s="113">
        <f t="shared" si="36"/>
        <v>0</v>
      </c>
      <c r="AK172" s="116">
        <f t="shared" si="18"/>
        <v>0</v>
      </c>
      <c r="AL172" s="113">
        <f t="shared" si="19"/>
        <v>0</v>
      </c>
      <c r="AM172" s="115">
        <f t="shared" si="20"/>
        <v>0</v>
      </c>
      <c r="AN172" s="85">
        <f t="shared" si="21"/>
        <v>0</v>
      </c>
      <c r="AO172" s="113" t="str">
        <f t="shared" si="22"/>
        <v>no</v>
      </c>
      <c r="AP172" s="115">
        <f t="shared" si="23"/>
        <v>0</v>
      </c>
      <c r="AQ172" s="113">
        <f t="shared" si="37"/>
        <v>0</v>
      </c>
      <c r="AR172" s="116">
        <f t="shared" si="24"/>
        <v>0</v>
      </c>
      <c r="AS172" s="113">
        <f t="shared" si="25"/>
        <v>0</v>
      </c>
      <c r="AT172" s="116">
        <f t="shared" si="26"/>
        <v>0</v>
      </c>
      <c r="AU172" s="113">
        <f t="shared" si="27"/>
        <v>0</v>
      </c>
      <c r="AV172" s="113" t="str">
        <f t="shared" si="28"/>
        <v>no</v>
      </c>
      <c r="AW172" s="115">
        <f t="shared" si="29"/>
        <v>0</v>
      </c>
      <c r="AX172" s="85">
        <f t="shared" ref="AX172:AX203" si="41">if(AV172="yes",if(BB171&gt;S172,BB172-S172,0),0)</f>
        <v>0</v>
      </c>
      <c r="AY172" s="116">
        <f t="shared" si="30"/>
        <v>0</v>
      </c>
      <c r="AZ172" s="113">
        <f t="shared" si="31"/>
        <v>0</v>
      </c>
      <c r="BA172" s="116">
        <f t="shared" si="32"/>
        <v>0</v>
      </c>
      <c r="BB172" s="113">
        <f t="shared" si="33"/>
        <v>0</v>
      </c>
      <c r="BC172" s="112">
        <v>0.5783142281847019</v>
      </c>
      <c r="BD172" s="113" t="str">
        <f>ifs(BC172&lt;='Range Tables'!$G$81,'Range Tables'!$B$81,BC172&lt;='Range Tables'!$G$82,'Range Tables'!$B$82)</f>
        <v>Offline*</v>
      </c>
      <c r="BE172" s="112">
        <v>0.057200532774480894</v>
      </c>
      <c r="BF172" s="112" t="str">
        <f>ifs(BE172&lt;='Range Tables'!$G$95,'Range Tables'!$B$95,BE172&lt;='Range Tables'!$G$96,'Range Tables'!$B$96,BE172&lt;='Range Tables'!$G$97,'Range Tables'!$B$97,BE172&lt;='Range Tables'!$G$98,'Range Tables'!$B$98,BE172&lt;='Range Tables'!$G$99,'Range Tables'!$B$99,BE172&lt;='Range Tables'!$G$100,'Range Tables'!$B$100,BE172&lt;='Range Tables'!$G$101,'Range Tables'!$B$101,BE172&lt;='Range Tables'!$G$102,'Range Tables'!$B$102,BE172&lt;='Range Tables'!$G$103,'Range Tables'!$B$103)</f>
        <v>Jammu</v>
      </c>
      <c r="BG172" s="112">
        <v>0.7471145507048136</v>
      </c>
      <c r="BH172" s="113" t="str">
        <f>ifs(BG172&lt;='Range Tables'!$G$112,'Range Tables'!$B$112,BG172&lt;='Range Tables'!$G$113,'Range Tables'!$B$113,BG172&lt;='Range Tables'!$G$114,'Range Tables'!$B$114)</f>
        <v>0</v>
      </c>
      <c r="BI172" s="117">
        <v>0.9749629474468023</v>
      </c>
      <c r="BJ172" s="113" t="str">
        <f>ifs(BI172&lt;='Range Tables'!$G$118,'Range Tables'!$B$118,BI172&lt;='Range Tables'!$G$119,'Range Tables'!$B$119)</f>
        <v>Expired</v>
      </c>
    </row>
    <row r="173">
      <c r="A173" s="85">
        <v>170.0</v>
      </c>
      <c r="B173" s="112">
        <v>0.4945698670581886</v>
      </c>
      <c r="C173" s="113" t="str">
        <f>ifs(B173&lt;='Range Tables'!$G$54,'Range Tables'!$B$54,B173&lt;='Range Tables'!$G$55,'Range Tables'!$B$55,B173&lt;='Range Tables'!$G$56,'Range Tables'!$B$56,B173&lt;='Range Tables'!$G$57,'Range Tables'!$B$57,B173&lt;='Range Tables'!$G$58,'Range Tables'!$B$58,B173&lt;='Range Tables'!$G$59,'Range Tables'!$B$59,B173&lt;='Range Tables'!$G$60,'Range Tables'!$B$60,B173&lt;='Range Tables'!$G$61,'Range Tables'!$B$61,B173&lt;='Range Tables'!$G$63,'Range Tables'!$B$63,B173&lt;='Range Tables'!$G$64,'Range Tables'!$B$64,B173&lt;='Range Tables'!$G$66,'Range Tables'!$B$66)</f>
        <v>30 - 60 </v>
      </c>
      <c r="D173" s="113">
        <f>IFERROR(__xludf.DUMMYFUNCTION("SPLIT(C173,""-"")"),30.0)</f>
        <v>30</v>
      </c>
      <c r="E173" s="113">
        <f>IFERROR(__xludf.DUMMYFUNCTION("""COMPUTED_VALUE"""),60.0)</f>
        <v>60</v>
      </c>
      <c r="F173" s="114">
        <f t="shared" si="40"/>
        <v>44.83709601</v>
      </c>
      <c r="G173" s="112">
        <v>0.8426106939631339</v>
      </c>
      <c r="H173" s="113" t="str">
        <f>ifs(G173&lt;='Range Tables'!$G$86,'Range Tables'!$B$86,G173&lt;='Range Tables'!$G$87,'Range Tables'!$B$87,G173&lt;='Range Tables'!$G$88,'Range Tables'!$B$88,G173&lt;='Range Tables'!$G$89,'Range Tables'!$B$89,G173&lt;='Range Tables'!$G$90,'Range Tables'!$B$90,G173&lt;='Range Tables'!$G$91,'Range Tables'!$B$91)</f>
        <v>Auto</v>
      </c>
      <c r="I173" s="112">
        <v>0.9741981762205457</v>
      </c>
      <c r="J173" s="113" t="str">
        <f>IFS(
  H173="Car", IF(I173&lt;='Range Tables'!$G$19, 'Range Tables'!$B$19, 'Range Tables'!$B$20), 
  H173="Bike", IF(I173&lt;='Range Tables'!$G$25, 'Range Tables'!$B$25, 'Range Tables'!$B$26), 
  H173="Scooter", IF(I173&lt;='Range Tables'!$G$31, 'Range Tables'!$B$31, 'Range Tables'!$B$32), 
  H173="Auto", IF(I173&lt;='Range Tables'!$G$37, 'Range Tables'!$B$37, 'Range Tables'!$B$38), 
  H173="Carriers*", IF(I173&lt;='Range Tables'!$G$43, 'Range Tables'!$B$43, 'Range Tables'!$B$44), 
  H173="Van*", IF(I173&lt;='Range Tables'!$G$50, 'Range Tables'!$B$50, 'Range Tables'!$B$49)
)</f>
        <v>Diesel</v>
      </c>
      <c r="K173" s="112">
        <v>0.011716727188443854</v>
      </c>
      <c r="L173" s="113">
        <f>if(J173="Petrol",ifs(K173&lt;='Range Tables'!$G$5,'Range Tables'!$B$5,K173&lt;='Range Tables'!$G$6,'Range Tables'!$B$6,K173&lt;='Range Tables'!$G$7,'Range Tables'!$B$7),ifs(K173&lt;='Range Tables'!$G$13,'Range Tables'!$B$13,K173&lt;='Range Tables'!$G$14,'Range Tables'!$B$14))</f>
        <v>1</v>
      </c>
      <c r="M173" s="112">
        <v>0.811013965894311</v>
      </c>
      <c r="N173" s="113" t="str">
        <f>ifs(H173="Car",ifs(M173&lt;='Range Tables'!$G$125,'Range Tables'!$B$125,M173&lt;='Range Tables'!$G$126,'Range Tables'!$B$126,M173&lt;='Range Tables'!$G$127,'Range Tables'!$B$127,M173&lt;='Range Tables'!$G$128,'Range Tables'!$B$128,M173&lt;='Range Tables'!$G$129,'Range Tables'!$B$129,'Range Tables'!$G$131,'Range Tables'!$B$131),H173="Bike",ifs(M173&lt;='Range Tables'!$G$136,'Range Tables'!$B$136,M173&lt;='Range Tables'!$G$137,'Range Tables'!$B$137,M173&lt;='Range Tables'!$G$138,'Range Tables'!$B$138,M173&lt;='Range Tables'!$G$142,'Range Tables'!$B$142),H173="Scooter",ifs(M173&lt;='Range Tables'!$G$148,'Range Tables'!$B$148,M173&lt;='Range Tables'!$G$149,'Range Tables'!$B$149,M173&lt;='Range Tables'!$G$150,'Range Tables'!$B$150,M173&lt;='Range Tables'!$G$151,'Range Tables'!$B$151),H173="Auto",ifs(M173&lt;='Range Tables'!$G$161,'Range Tables'!$B$161,M173&lt;='Range Tables'!$G$162,'Range Tables'!$B$162,M173&lt;='Range Tables'!$G$163,'Range Tables'!$B$163,M173&lt;='Range Tables'!$G$164,'Range Tables'!$B$164),H173="Carriers*",ifs(M173&lt;='Range Tables'!$G$173,'Range Tables'!$B$173,M173&lt;='Range Tables'!$G$174,'Range Tables'!$B$174,M173&lt;='Range Tables'!$G$175,'Range Tables'!$B$175,M173&lt;='Range Tables'!$G$176,'Range Tables'!$B$176,M173&lt;='Range Tables'!$G$177,'Range Tables'!$B$177,M173&lt;='Range Tables'!$G$179,'Range Tables'!$B$179),H173="Van*",ifs(M173&lt;='Range Tables'!$G$186,'Range Tables'!$B$186))</f>
        <v>180 - 240</v>
      </c>
      <c r="O173" s="113">
        <f>IFERROR(__xludf.DUMMYFUNCTION("SPLIT(N173,""-"")"),180.0)</f>
        <v>180</v>
      </c>
      <c r="P173" s="113">
        <f>IFERROR(__xludf.DUMMYFUNCTION("""COMPUTED_VALUE"""),240.0)</f>
        <v>240</v>
      </c>
      <c r="Q173" s="114">
        <f t="shared" si="2"/>
        <v>228.660838</v>
      </c>
      <c r="R173" s="115">
        <f t="shared" si="3"/>
        <v>0.1649592239</v>
      </c>
      <c r="S173" s="114">
        <f t="shared" si="39"/>
        <v>14252.47694</v>
      </c>
      <c r="T173" s="113" t="str">
        <f t="shared" si="4"/>
        <v>yes</v>
      </c>
      <c r="U173" s="115">
        <f t="shared" si="5"/>
        <v>0</v>
      </c>
      <c r="V173" s="113">
        <f t="shared" si="34"/>
        <v>0</v>
      </c>
      <c r="W173" s="115">
        <f t="shared" si="6"/>
        <v>0.1649592239</v>
      </c>
      <c r="X173" s="118">
        <f t="shared" si="7"/>
        <v>14252.47694</v>
      </c>
      <c r="Y173" s="116">
        <f t="shared" si="8"/>
        <v>0.1676057614</v>
      </c>
      <c r="Z173" s="114">
        <f t="shared" si="9"/>
        <v>14481.13778</v>
      </c>
      <c r="AA173" s="113" t="str">
        <f t="shared" si="10"/>
        <v>no</v>
      </c>
      <c r="AB173" s="115">
        <f t="shared" si="11"/>
        <v>0</v>
      </c>
      <c r="AC173" s="113">
        <f t="shared" si="35"/>
        <v>0</v>
      </c>
      <c r="AD173" s="116">
        <f t="shared" si="12"/>
        <v>0</v>
      </c>
      <c r="AE173" s="113">
        <f t="shared" si="13"/>
        <v>0</v>
      </c>
      <c r="AF173" s="116">
        <f t="shared" si="14"/>
        <v>0</v>
      </c>
      <c r="AG173" s="113">
        <f t="shared" si="15"/>
        <v>0</v>
      </c>
      <c r="AH173" s="113" t="str">
        <f t="shared" si="16"/>
        <v>no</v>
      </c>
      <c r="AI173" s="115">
        <f t="shared" si="17"/>
        <v>0</v>
      </c>
      <c r="AJ173" s="113">
        <f t="shared" si="36"/>
        <v>0</v>
      </c>
      <c r="AK173" s="116">
        <f t="shared" si="18"/>
        <v>0</v>
      </c>
      <c r="AL173" s="113">
        <f t="shared" si="19"/>
        <v>0</v>
      </c>
      <c r="AM173" s="115">
        <f t="shared" si="20"/>
        <v>0</v>
      </c>
      <c r="AN173" s="85">
        <f t="shared" si="21"/>
        <v>0</v>
      </c>
      <c r="AO173" s="113" t="str">
        <f t="shared" si="22"/>
        <v>no</v>
      </c>
      <c r="AP173" s="115">
        <f t="shared" si="23"/>
        <v>0</v>
      </c>
      <c r="AQ173" s="113">
        <f t="shared" si="37"/>
        <v>0</v>
      </c>
      <c r="AR173" s="116">
        <f t="shared" si="24"/>
        <v>0</v>
      </c>
      <c r="AS173" s="113">
        <f t="shared" si="25"/>
        <v>0</v>
      </c>
      <c r="AT173" s="116">
        <f t="shared" si="26"/>
        <v>0</v>
      </c>
      <c r="AU173" s="113">
        <f t="shared" si="27"/>
        <v>0</v>
      </c>
      <c r="AV173" s="113" t="str">
        <f t="shared" si="28"/>
        <v>no</v>
      </c>
      <c r="AW173" s="115">
        <f t="shared" si="29"/>
        <v>0</v>
      </c>
      <c r="AX173" s="85">
        <f t="shared" si="41"/>
        <v>0</v>
      </c>
      <c r="AY173" s="116">
        <f t="shared" si="30"/>
        <v>0</v>
      </c>
      <c r="AZ173" s="113">
        <f t="shared" si="31"/>
        <v>0</v>
      </c>
      <c r="BA173" s="116">
        <f t="shared" si="32"/>
        <v>0</v>
      </c>
      <c r="BB173" s="113">
        <f t="shared" si="33"/>
        <v>0</v>
      </c>
      <c r="BC173" s="112">
        <v>0.25440415103109404</v>
      </c>
      <c r="BD173" s="113" t="str">
        <f>ifs(BC173&lt;='Range Tables'!$G$81,'Range Tables'!$B$81,BC173&lt;='Range Tables'!$G$82,'Range Tables'!$B$82)</f>
        <v>Online*</v>
      </c>
      <c r="BE173" s="112">
        <v>0.5123775238186823</v>
      </c>
      <c r="BF173" s="112" t="str">
        <f>ifs(BE173&lt;='Range Tables'!$G$95,'Range Tables'!$B$95,BE173&lt;='Range Tables'!$G$96,'Range Tables'!$B$96,BE173&lt;='Range Tables'!$G$97,'Range Tables'!$B$97,BE173&lt;='Range Tables'!$G$98,'Range Tables'!$B$98,BE173&lt;='Range Tables'!$G$99,'Range Tables'!$B$99,BE173&lt;='Range Tables'!$G$100,'Range Tables'!$B$100,BE173&lt;='Range Tables'!$G$101,'Range Tables'!$B$101,BE173&lt;='Range Tables'!$G$102,'Range Tables'!$B$102,BE173&lt;='Range Tables'!$G$103,'Range Tables'!$B$103)</f>
        <v>Jammu</v>
      </c>
      <c r="BG173" s="112">
        <v>0.5292211572756015</v>
      </c>
      <c r="BH173" s="113" t="str">
        <f>ifs(BG173&lt;='Range Tables'!$G$112,'Range Tables'!$B$112,BG173&lt;='Range Tables'!$G$113,'Range Tables'!$B$113,BG173&lt;='Range Tables'!$G$114,'Range Tables'!$B$114)</f>
        <v>0</v>
      </c>
      <c r="BI173" s="117">
        <v>0.3196181122016315</v>
      </c>
      <c r="BJ173" s="113" t="str">
        <f>ifs(BI173&lt;='Range Tables'!$G$118,'Range Tables'!$B$118,BI173&lt;='Range Tables'!$G$119,'Range Tables'!$B$119)</f>
        <v>Valid</v>
      </c>
    </row>
    <row r="174">
      <c r="A174" s="85">
        <v>171.0</v>
      </c>
      <c r="B174" s="112">
        <v>0.707333812452885</v>
      </c>
      <c r="C174" s="113" t="str">
        <f>ifs(B174&lt;='Range Tables'!$G$54,'Range Tables'!$B$54,B174&lt;='Range Tables'!$G$55,'Range Tables'!$B$55,B174&lt;='Range Tables'!$G$56,'Range Tables'!$B$56,B174&lt;='Range Tables'!$G$57,'Range Tables'!$B$57,B174&lt;='Range Tables'!$G$58,'Range Tables'!$B$58,B174&lt;='Range Tables'!$G$59,'Range Tables'!$B$59,B174&lt;='Range Tables'!$G$60,'Range Tables'!$B$60,B174&lt;='Range Tables'!$G$61,'Range Tables'!$B$61,B174&lt;='Range Tables'!$G$63,'Range Tables'!$B$63,B174&lt;='Range Tables'!$G$64,'Range Tables'!$B$64,B174&lt;='Range Tables'!$G$66,'Range Tables'!$B$66)</f>
        <v>60 - 90</v>
      </c>
      <c r="D174" s="113">
        <f>IFERROR(__xludf.DUMMYFUNCTION("SPLIT(C174,""-"")"),60.0)</f>
        <v>60</v>
      </c>
      <c r="E174" s="113">
        <f>IFERROR(__xludf.DUMMYFUNCTION("""COMPUTED_VALUE"""),90.0)</f>
        <v>90</v>
      </c>
      <c r="F174" s="114">
        <f t="shared" si="40"/>
        <v>81.22001437</v>
      </c>
      <c r="G174" s="112">
        <v>0.8110434735378388</v>
      </c>
      <c r="H174" s="113" t="str">
        <f>ifs(G174&lt;='Range Tables'!$G$86,'Range Tables'!$B$86,G174&lt;='Range Tables'!$G$87,'Range Tables'!$B$87,G174&lt;='Range Tables'!$G$88,'Range Tables'!$B$88,G174&lt;='Range Tables'!$G$89,'Range Tables'!$B$89,G174&lt;='Range Tables'!$G$90,'Range Tables'!$B$90,G174&lt;='Range Tables'!$G$91,'Range Tables'!$B$91)</f>
        <v>Scooter</v>
      </c>
      <c r="I174" s="112">
        <v>0.8202158643401448</v>
      </c>
      <c r="J174" s="113" t="str">
        <f>IFS(
  H174="Car", IF(I174&lt;='Range Tables'!$G$19, 'Range Tables'!$B$19, 'Range Tables'!$B$20), 
  H174="Bike", IF(I174&lt;='Range Tables'!$G$25, 'Range Tables'!$B$25, 'Range Tables'!$B$26), 
  H174="Scooter", IF(I174&lt;='Range Tables'!$G$31, 'Range Tables'!$B$31, 'Range Tables'!$B$32), 
  H174="Auto", IF(I174&lt;='Range Tables'!$G$37, 'Range Tables'!$B$37, 'Range Tables'!$B$38), 
  H174="Carriers*", IF(I174&lt;='Range Tables'!$G$43, 'Range Tables'!$B$43, 'Range Tables'!$B$44), 
  H174="Van*", IF(I174&lt;='Range Tables'!$G$50, 'Range Tables'!$B$50, 'Range Tables'!$B$49)
)</f>
        <v>Petrol</v>
      </c>
      <c r="K174" s="112">
        <v>0.7206758691994033</v>
      </c>
      <c r="L174" s="113">
        <f>if(J174="Petrol",ifs(K174&lt;='Range Tables'!$G$5,'Range Tables'!$B$5,K174&lt;='Range Tables'!$G$6,'Range Tables'!$B$6,K174&lt;='Range Tables'!$G$7,'Range Tables'!$B$7),ifs(K174&lt;='Range Tables'!$G$13,'Range Tables'!$B$13,K174&lt;='Range Tables'!$G$14,'Range Tables'!$B$14))</f>
        <v>3</v>
      </c>
      <c r="M174" s="112">
        <v>0.26047115712970337</v>
      </c>
      <c r="N174" s="113" t="str">
        <f>ifs(H174="Car",ifs(M174&lt;='Range Tables'!$G$125,'Range Tables'!$B$125,M174&lt;='Range Tables'!$G$126,'Range Tables'!$B$126,M174&lt;='Range Tables'!$G$127,'Range Tables'!$B$127,M174&lt;='Range Tables'!$G$128,'Range Tables'!$B$128,M174&lt;='Range Tables'!$G$129,'Range Tables'!$B$129,'Range Tables'!$G$131,'Range Tables'!$B$131),H174="Bike",ifs(M174&lt;='Range Tables'!$G$136,'Range Tables'!$B$136,M174&lt;='Range Tables'!$G$137,'Range Tables'!$B$137,M174&lt;='Range Tables'!$G$138,'Range Tables'!$B$138,M174&lt;='Range Tables'!$G$142,'Range Tables'!$B$142),H174="Scooter",ifs(M174&lt;='Range Tables'!$G$148,'Range Tables'!$B$148,M174&lt;='Range Tables'!$G$149,'Range Tables'!$B$149,M174&lt;='Range Tables'!$G$150,'Range Tables'!$B$150,M174&lt;='Range Tables'!$G$151,'Range Tables'!$B$151),H174="Auto",ifs(M174&lt;='Range Tables'!$G$161,'Range Tables'!$B$161,M174&lt;='Range Tables'!$G$162,'Range Tables'!$B$162,M174&lt;='Range Tables'!$G$163,'Range Tables'!$B$163,M174&lt;='Range Tables'!$G$164,'Range Tables'!$B$164),H174="Carriers*",ifs(M174&lt;='Range Tables'!$G$173,'Range Tables'!$B$173,M174&lt;='Range Tables'!$G$174,'Range Tables'!$B$174,M174&lt;='Range Tables'!$G$175,'Range Tables'!$B$175,M174&lt;='Range Tables'!$G$176,'Range Tables'!$B$176,M174&lt;='Range Tables'!$G$177,'Range Tables'!$B$177,M174&lt;='Range Tables'!$G$179,'Range Tables'!$B$179),H174="Van*",ifs(M174&lt;='Range Tables'!$G$186,'Range Tables'!$B$186))</f>
        <v>60 - 120</v>
      </c>
      <c r="O174" s="113">
        <f>IFERROR(__xludf.DUMMYFUNCTION("SPLIT(N174,""-"")"),60.0)</f>
        <v>60</v>
      </c>
      <c r="P174" s="113">
        <f>IFERROR(__xludf.DUMMYFUNCTION("""COMPUTED_VALUE"""),120.0)</f>
        <v>120</v>
      </c>
      <c r="Q174" s="114">
        <f t="shared" si="2"/>
        <v>75.62826943</v>
      </c>
      <c r="R174" s="115">
        <f t="shared" si="3"/>
        <v>0.1654781717</v>
      </c>
      <c r="S174" s="114">
        <f t="shared" si="39"/>
        <v>14297.31404</v>
      </c>
      <c r="T174" s="113" t="str">
        <f t="shared" si="4"/>
        <v>no</v>
      </c>
      <c r="U174" s="115">
        <f t="shared" si="5"/>
        <v>0</v>
      </c>
      <c r="V174" s="113">
        <f t="shared" si="34"/>
        <v>0</v>
      </c>
      <c r="W174" s="115">
        <f t="shared" si="6"/>
        <v>0</v>
      </c>
      <c r="X174" s="85">
        <f t="shared" si="7"/>
        <v>0</v>
      </c>
      <c r="Y174" s="116">
        <f t="shared" si="8"/>
        <v>0</v>
      </c>
      <c r="Z174" s="113">
        <f t="shared" si="9"/>
        <v>0</v>
      </c>
      <c r="AA174" s="113" t="str">
        <f t="shared" si="10"/>
        <v>no</v>
      </c>
      <c r="AB174" s="115">
        <f t="shared" si="11"/>
        <v>0</v>
      </c>
      <c r="AC174" s="113">
        <f t="shared" si="35"/>
        <v>0</v>
      </c>
      <c r="AD174" s="116">
        <f t="shared" si="12"/>
        <v>0</v>
      </c>
      <c r="AE174" s="113">
        <f t="shared" si="13"/>
        <v>0</v>
      </c>
      <c r="AF174" s="116">
        <f t="shared" si="14"/>
        <v>0</v>
      </c>
      <c r="AG174" s="113">
        <f t="shared" si="15"/>
        <v>0</v>
      </c>
      <c r="AH174" s="113" t="str">
        <f t="shared" si="16"/>
        <v>yes</v>
      </c>
      <c r="AI174" s="115">
        <f t="shared" si="17"/>
        <v>0</v>
      </c>
      <c r="AJ174" s="113">
        <f t="shared" si="36"/>
        <v>0</v>
      </c>
      <c r="AK174" s="116">
        <f t="shared" si="18"/>
        <v>0.1654781717</v>
      </c>
      <c r="AL174" s="114">
        <f t="shared" si="19"/>
        <v>14297.31404</v>
      </c>
      <c r="AM174" s="115">
        <f t="shared" si="20"/>
        <v>0.1663534989</v>
      </c>
      <c r="AN174" s="118">
        <f t="shared" si="21"/>
        <v>14372.94231</v>
      </c>
      <c r="AO174" s="113" t="str">
        <f t="shared" si="22"/>
        <v>no</v>
      </c>
      <c r="AP174" s="115">
        <f t="shared" si="23"/>
        <v>0</v>
      </c>
      <c r="AQ174" s="113">
        <f t="shared" si="37"/>
        <v>0</v>
      </c>
      <c r="AR174" s="116">
        <f t="shared" si="24"/>
        <v>0</v>
      </c>
      <c r="AS174" s="113">
        <f t="shared" si="25"/>
        <v>0</v>
      </c>
      <c r="AT174" s="116">
        <f t="shared" si="26"/>
        <v>0</v>
      </c>
      <c r="AU174" s="113">
        <f t="shared" si="27"/>
        <v>0</v>
      </c>
      <c r="AV174" s="113" t="str">
        <f t="shared" si="28"/>
        <v>no</v>
      </c>
      <c r="AW174" s="115">
        <f t="shared" si="29"/>
        <v>0</v>
      </c>
      <c r="AX174" s="85">
        <f t="shared" si="41"/>
        <v>0</v>
      </c>
      <c r="AY174" s="116">
        <f t="shared" si="30"/>
        <v>0</v>
      </c>
      <c r="AZ174" s="113">
        <f t="shared" si="31"/>
        <v>0</v>
      </c>
      <c r="BA174" s="116">
        <f t="shared" si="32"/>
        <v>0</v>
      </c>
      <c r="BB174" s="113">
        <f t="shared" si="33"/>
        <v>0</v>
      </c>
      <c r="BC174" s="112">
        <v>0.3413775201389847</v>
      </c>
      <c r="BD174" s="113" t="str">
        <f>ifs(BC174&lt;='Range Tables'!$G$81,'Range Tables'!$B$81,BC174&lt;='Range Tables'!$G$82,'Range Tables'!$B$82)</f>
        <v>Offline*</v>
      </c>
      <c r="BE174" s="112">
        <v>0.04652884432217996</v>
      </c>
      <c r="BF174" s="112" t="str">
        <f>ifs(BE174&lt;='Range Tables'!$G$95,'Range Tables'!$B$95,BE174&lt;='Range Tables'!$G$96,'Range Tables'!$B$96,BE174&lt;='Range Tables'!$G$97,'Range Tables'!$B$97,BE174&lt;='Range Tables'!$G$98,'Range Tables'!$B$98,BE174&lt;='Range Tables'!$G$99,'Range Tables'!$B$99,BE174&lt;='Range Tables'!$G$100,'Range Tables'!$B$100,BE174&lt;='Range Tables'!$G$101,'Range Tables'!$B$101,BE174&lt;='Range Tables'!$G$102,'Range Tables'!$B$102,BE174&lt;='Range Tables'!$G$103,'Range Tables'!$B$103)</f>
        <v>Jammu</v>
      </c>
      <c r="BG174" s="112">
        <v>0.09436280381922635</v>
      </c>
      <c r="BH174" s="113" t="str">
        <f>ifs(BG174&lt;='Range Tables'!$G$112,'Range Tables'!$B$112,BG174&lt;='Range Tables'!$G$113,'Range Tables'!$B$113,BG174&lt;='Range Tables'!$G$114,'Range Tables'!$B$114)</f>
        <v>0</v>
      </c>
      <c r="BI174" s="117">
        <v>0.48322954325392187</v>
      </c>
      <c r="BJ174" s="113" t="str">
        <f>ifs(BI174&lt;='Range Tables'!$G$118,'Range Tables'!$B$118,BI174&lt;='Range Tables'!$G$119,'Range Tables'!$B$119)</f>
        <v>Valid</v>
      </c>
    </row>
    <row r="175">
      <c r="A175" s="85">
        <v>172.0</v>
      </c>
      <c r="B175" s="112">
        <v>0.04198625034850867</v>
      </c>
      <c r="C175" s="113" t="str">
        <f>ifs(B175&lt;='Range Tables'!$G$54,'Range Tables'!$B$54,B175&lt;='Range Tables'!$G$55,'Range Tables'!$B$55,B175&lt;='Range Tables'!$G$56,'Range Tables'!$B$56,B175&lt;='Range Tables'!$G$57,'Range Tables'!$B$57,B175&lt;='Range Tables'!$G$58,'Range Tables'!$B$58,B175&lt;='Range Tables'!$G$59,'Range Tables'!$B$59,B175&lt;='Range Tables'!$G$60,'Range Tables'!$B$60,B175&lt;='Range Tables'!$G$61,'Range Tables'!$B$61,B175&lt;='Range Tables'!$G$63,'Range Tables'!$B$63,B175&lt;='Range Tables'!$G$64,'Range Tables'!$B$64,B175&lt;='Range Tables'!$G$66,'Range Tables'!$B$66)</f>
        <v>0 - 30</v>
      </c>
      <c r="D175" s="113">
        <f>IFERROR(__xludf.DUMMYFUNCTION("SPLIT(C175,""-"")"),0.0)</f>
        <v>0</v>
      </c>
      <c r="E175" s="113">
        <f>IFERROR(__xludf.DUMMYFUNCTION("""COMPUTED_VALUE"""),30.0)</f>
        <v>30</v>
      </c>
      <c r="F175" s="114">
        <f t="shared" si="40"/>
        <v>1.25958751</v>
      </c>
      <c r="G175" s="112">
        <v>0.7869169448539115</v>
      </c>
      <c r="H175" s="113" t="str">
        <f>ifs(G175&lt;='Range Tables'!$G$86,'Range Tables'!$B$86,G175&lt;='Range Tables'!$G$87,'Range Tables'!$B$87,G175&lt;='Range Tables'!$G$88,'Range Tables'!$B$88,G175&lt;='Range Tables'!$G$89,'Range Tables'!$B$89,G175&lt;='Range Tables'!$G$90,'Range Tables'!$B$90,G175&lt;='Range Tables'!$G$91,'Range Tables'!$B$91)</f>
        <v>Scooter</v>
      </c>
      <c r="I175" s="112">
        <v>0.9053030614313631</v>
      </c>
      <c r="J175" s="113" t="str">
        <f>IFS(
  H175="Car", IF(I175&lt;='Range Tables'!$G$19, 'Range Tables'!$B$19, 'Range Tables'!$B$20), 
  H175="Bike", IF(I175&lt;='Range Tables'!$G$25, 'Range Tables'!$B$25, 'Range Tables'!$B$26), 
  H175="Scooter", IF(I175&lt;='Range Tables'!$G$31, 'Range Tables'!$B$31, 'Range Tables'!$B$32), 
  H175="Auto", IF(I175&lt;='Range Tables'!$G$37, 'Range Tables'!$B$37, 'Range Tables'!$B$38), 
  H175="Carriers*", IF(I175&lt;='Range Tables'!$G$43, 'Range Tables'!$B$43, 'Range Tables'!$B$44), 
  H175="Van*", IF(I175&lt;='Range Tables'!$G$50, 'Range Tables'!$B$50, 'Range Tables'!$B$49)
)</f>
        <v>Petrol</v>
      </c>
      <c r="K175" s="112">
        <v>0.8856830861126584</v>
      </c>
      <c r="L175" s="113">
        <f>if(J175="Petrol",ifs(K175&lt;='Range Tables'!$G$5,'Range Tables'!$B$5,K175&lt;='Range Tables'!$G$6,'Range Tables'!$B$6,K175&lt;='Range Tables'!$G$7,'Range Tables'!$B$7),ifs(K175&lt;='Range Tables'!$G$13,'Range Tables'!$B$13,K175&lt;='Range Tables'!$G$14,'Range Tables'!$B$14))</f>
        <v>4</v>
      </c>
      <c r="M175" s="112">
        <v>0.8601534367466904</v>
      </c>
      <c r="N175" s="113" t="str">
        <f>ifs(H175="Car",ifs(M175&lt;='Range Tables'!$G$125,'Range Tables'!$B$125,M175&lt;='Range Tables'!$G$126,'Range Tables'!$B$126,M175&lt;='Range Tables'!$G$127,'Range Tables'!$B$127,M175&lt;='Range Tables'!$G$128,'Range Tables'!$B$128,M175&lt;='Range Tables'!$G$129,'Range Tables'!$B$129,'Range Tables'!$G$131,'Range Tables'!$B$131),H175="Bike",ifs(M175&lt;='Range Tables'!$G$136,'Range Tables'!$B$136,M175&lt;='Range Tables'!$G$137,'Range Tables'!$B$137,M175&lt;='Range Tables'!$G$138,'Range Tables'!$B$138,M175&lt;='Range Tables'!$G$142,'Range Tables'!$B$142),H175="Scooter",ifs(M175&lt;='Range Tables'!$G$148,'Range Tables'!$B$148,M175&lt;='Range Tables'!$G$149,'Range Tables'!$B$149,M175&lt;='Range Tables'!$G$150,'Range Tables'!$B$150,M175&lt;='Range Tables'!$G$151,'Range Tables'!$B$151),H175="Auto",ifs(M175&lt;='Range Tables'!$G$161,'Range Tables'!$B$161,M175&lt;='Range Tables'!$G$162,'Range Tables'!$B$162,M175&lt;='Range Tables'!$G$163,'Range Tables'!$B$163,M175&lt;='Range Tables'!$G$164,'Range Tables'!$B$164),H175="Carriers*",ifs(M175&lt;='Range Tables'!$G$173,'Range Tables'!$B$173,M175&lt;='Range Tables'!$G$174,'Range Tables'!$B$174,M175&lt;='Range Tables'!$G$175,'Range Tables'!$B$175,M175&lt;='Range Tables'!$G$176,'Range Tables'!$B$176,M175&lt;='Range Tables'!$G$177,'Range Tables'!$B$177,M175&lt;='Range Tables'!$G$179,'Range Tables'!$B$179),H175="Van*",ifs(M175&lt;='Range Tables'!$G$186,'Range Tables'!$B$186))</f>
        <v>180 - 240</v>
      </c>
      <c r="O175" s="113">
        <f>IFERROR(__xludf.DUMMYFUNCTION("SPLIT(N175,""-"")"),180.0)</f>
        <v>180</v>
      </c>
      <c r="P175" s="113">
        <f>IFERROR(__xludf.DUMMYFUNCTION("""COMPUTED_VALUE"""),240.0)</f>
        <v>240</v>
      </c>
      <c r="Q175" s="114">
        <f t="shared" si="2"/>
        <v>231.6092062</v>
      </c>
      <c r="R175" s="115">
        <f t="shared" si="3"/>
        <v>0.1664182182</v>
      </c>
      <c r="S175" s="114">
        <f t="shared" si="39"/>
        <v>14378.53405</v>
      </c>
      <c r="T175" s="113" t="str">
        <f t="shared" si="4"/>
        <v>no</v>
      </c>
      <c r="U175" s="115">
        <f t="shared" si="5"/>
        <v>0</v>
      </c>
      <c r="V175" s="113">
        <f t="shared" si="34"/>
        <v>0</v>
      </c>
      <c r="W175" s="115">
        <f t="shared" si="6"/>
        <v>0</v>
      </c>
      <c r="X175" s="85">
        <f t="shared" si="7"/>
        <v>0</v>
      </c>
      <c r="Y175" s="116">
        <f t="shared" si="8"/>
        <v>0</v>
      </c>
      <c r="Z175" s="113">
        <f t="shared" si="9"/>
        <v>0</v>
      </c>
      <c r="AA175" s="113" t="str">
        <f t="shared" si="10"/>
        <v>no</v>
      </c>
      <c r="AB175" s="115">
        <f t="shared" si="11"/>
        <v>0</v>
      </c>
      <c r="AC175" s="113">
        <f t="shared" si="35"/>
        <v>0</v>
      </c>
      <c r="AD175" s="116">
        <f t="shared" si="12"/>
        <v>0</v>
      </c>
      <c r="AE175" s="113">
        <f t="shared" si="13"/>
        <v>0</v>
      </c>
      <c r="AF175" s="116">
        <f t="shared" si="14"/>
        <v>0</v>
      </c>
      <c r="AG175" s="113">
        <f t="shared" si="15"/>
        <v>0</v>
      </c>
      <c r="AH175" s="113" t="str">
        <f t="shared" si="16"/>
        <v>no</v>
      </c>
      <c r="AI175" s="115">
        <f t="shared" si="17"/>
        <v>0</v>
      </c>
      <c r="AJ175" s="113">
        <f t="shared" si="36"/>
        <v>0</v>
      </c>
      <c r="AK175" s="116">
        <f t="shared" si="18"/>
        <v>0</v>
      </c>
      <c r="AL175" s="113">
        <f t="shared" si="19"/>
        <v>0</v>
      </c>
      <c r="AM175" s="115">
        <f t="shared" si="20"/>
        <v>0</v>
      </c>
      <c r="AN175" s="85">
        <f t="shared" si="21"/>
        <v>0</v>
      </c>
      <c r="AO175" s="113" t="str">
        <f t="shared" si="22"/>
        <v>yes</v>
      </c>
      <c r="AP175" s="115">
        <f t="shared" si="23"/>
        <v>0</v>
      </c>
      <c r="AQ175" s="113">
        <f t="shared" si="37"/>
        <v>0</v>
      </c>
      <c r="AR175" s="116">
        <f t="shared" si="24"/>
        <v>0.1664182182</v>
      </c>
      <c r="AS175" s="114">
        <f t="shared" si="25"/>
        <v>14378.53405</v>
      </c>
      <c r="AT175" s="116">
        <f t="shared" si="26"/>
        <v>0.1690988803</v>
      </c>
      <c r="AU175" s="114">
        <f t="shared" si="27"/>
        <v>14610.14326</v>
      </c>
      <c r="AV175" s="113" t="str">
        <f t="shared" si="28"/>
        <v>no</v>
      </c>
      <c r="AW175" s="115">
        <f t="shared" si="29"/>
        <v>0</v>
      </c>
      <c r="AX175" s="85">
        <f t="shared" si="41"/>
        <v>0</v>
      </c>
      <c r="AY175" s="116">
        <f t="shared" si="30"/>
        <v>0</v>
      </c>
      <c r="AZ175" s="113">
        <f t="shared" si="31"/>
        <v>0</v>
      </c>
      <c r="BA175" s="116">
        <f t="shared" si="32"/>
        <v>0</v>
      </c>
      <c r="BB175" s="113">
        <f t="shared" si="33"/>
        <v>0</v>
      </c>
      <c r="BC175" s="112">
        <v>0.9066512846110115</v>
      </c>
      <c r="BD175" s="113" t="str">
        <f>ifs(BC175&lt;='Range Tables'!$G$81,'Range Tables'!$B$81,BC175&lt;='Range Tables'!$G$82,'Range Tables'!$B$82)</f>
        <v>Offline*</v>
      </c>
      <c r="BE175" s="112">
        <v>0.6930849861282338</v>
      </c>
      <c r="BF175" s="112" t="str">
        <f>ifs(BE175&lt;='Range Tables'!$G$95,'Range Tables'!$B$95,BE175&lt;='Range Tables'!$G$96,'Range Tables'!$B$96,BE175&lt;='Range Tables'!$G$97,'Range Tables'!$B$97,BE175&lt;='Range Tables'!$G$98,'Range Tables'!$B$98,BE175&lt;='Range Tables'!$G$99,'Range Tables'!$B$99,BE175&lt;='Range Tables'!$G$100,'Range Tables'!$B$100,BE175&lt;='Range Tables'!$G$101,'Range Tables'!$B$101,BE175&lt;='Range Tables'!$G$102,'Range Tables'!$B$102,BE175&lt;='Range Tables'!$G$103,'Range Tables'!$B$103)</f>
        <v>Jammu</v>
      </c>
      <c r="BG175" s="112">
        <v>0.5378907841850076</v>
      </c>
      <c r="BH175" s="113" t="str">
        <f>ifs(BG175&lt;='Range Tables'!$G$112,'Range Tables'!$B$112,BG175&lt;='Range Tables'!$G$113,'Range Tables'!$B$113,BG175&lt;='Range Tables'!$G$114,'Range Tables'!$B$114)</f>
        <v>0</v>
      </c>
      <c r="BI175" s="117">
        <v>0.06823972340307383</v>
      </c>
      <c r="BJ175" s="113" t="str">
        <f>ifs(BI175&lt;='Range Tables'!$G$118,'Range Tables'!$B$118,BI175&lt;='Range Tables'!$G$119,'Range Tables'!$B$119)</f>
        <v>Valid</v>
      </c>
    </row>
    <row r="176">
      <c r="A176" s="85">
        <v>173.0</v>
      </c>
      <c r="B176" s="112">
        <v>0.16249866364248</v>
      </c>
      <c r="C176" s="113" t="str">
        <f>ifs(B176&lt;='Range Tables'!$G$54,'Range Tables'!$B$54,B176&lt;='Range Tables'!$G$55,'Range Tables'!$B$55,B176&lt;='Range Tables'!$G$56,'Range Tables'!$B$56,B176&lt;='Range Tables'!$G$57,'Range Tables'!$B$57,B176&lt;='Range Tables'!$G$58,'Range Tables'!$B$58,B176&lt;='Range Tables'!$G$59,'Range Tables'!$B$59,B176&lt;='Range Tables'!$G$60,'Range Tables'!$B$60,B176&lt;='Range Tables'!$G$61,'Range Tables'!$B$61,B176&lt;='Range Tables'!$G$63,'Range Tables'!$B$63,B176&lt;='Range Tables'!$G$64,'Range Tables'!$B$64,B176&lt;='Range Tables'!$G$66,'Range Tables'!$B$66)</f>
        <v>0 - 30</v>
      </c>
      <c r="D176" s="113">
        <f>IFERROR(__xludf.DUMMYFUNCTION("SPLIT(C176,""-"")"),0.0)</f>
        <v>0</v>
      </c>
      <c r="E176" s="113">
        <f>IFERROR(__xludf.DUMMYFUNCTION("""COMPUTED_VALUE"""),30.0)</f>
        <v>30</v>
      </c>
      <c r="F176" s="114">
        <f t="shared" si="40"/>
        <v>4.874959909</v>
      </c>
      <c r="G176" s="112">
        <v>0.2145885332594275</v>
      </c>
      <c r="H176" s="113" t="str">
        <f>ifs(G176&lt;='Range Tables'!$G$86,'Range Tables'!$B$86,G176&lt;='Range Tables'!$G$87,'Range Tables'!$B$87,G176&lt;='Range Tables'!$G$88,'Range Tables'!$B$88,G176&lt;='Range Tables'!$G$89,'Range Tables'!$B$89,G176&lt;='Range Tables'!$G$90,'Range Tables'!$B$90,G176&lt;='Range Tables'!$G$91,'Range Tables'!$B$91)</f>
        <v>Car</v>
      </c>
      <c r="I176" s="112">
        <v>0.06500159203011213</v>
      </c>
      <c r="J176" s="113" t="str">
        <f>IFS(
  H176="Car", IF(I176&lt;='Range Tables'!$G$19, 'Range Tables'!$B$19, 'Range Tables'!$B$20), 
  H176="Bike", IF(I176&lt;='Range Tables'!$G$25, 'Range Tables'!$B$25, 'Range Tables'!$B$26), 
  H176="Scooter", IF(I176&lt;='Range Tables'!$G$31, 'Range Tables'!$B$31, 'Range Tables'!$B$32), 
  H176="Auto", IF(I176&lt;='Range Tables'!$G$37, 'Range Tables'!$B$37, 'Range Tables'!$B$38), 
  H176="Carriers*", IF(I176&lt;='Range Tables'!$G$43, 'Range Tables'!$B$43, 'Range Tables'!$B$44), 
  H176="Van*", IF(I176&lt;='Range Tables'!$G$50, 'Range Tables'!$B$50, 'Range Tables'!$B$49)
)</f>
        <v>Petrol</v>
      </c>
      <c r="K176" s="112">
        <v>0.9356243291296111</v>
      </c>
      <c r="L176" s="113">
        <f>if(J176="Petrol",ifs(K176&lt;='Range Tables'!$G$5,'Range Tables'!$B$5,K176&lt;='Range Tables'!$G$6,'Range Tables'!$B$6,K176&lt;='Range Tables'!$G$7,'Range Tables'!$B$7),ifs(K176&lt;='Range Tables'!$G$13,'Range Tables'!$B$13,K176&lt;='Range Tables'!$G$14,'Range Tables'!$B$14))</f>
        <v>4</v>
      </c>
      <c r="M176" s="112">
        <v>0.7708223925015858</v>
      </c>
      <c r="N176" s="113" t="str">
        <f>ifs(H176="Car",ifs(M176&lt;='Range Tables'!$G$125,'Range Tables'!$B$125,M176&lt;='Range Tables'!$G$126,'Range Tables'!$B$126,M176&lt;='Range Tables'!$G$127,'Range Tables'!$B$127,M176&lt;='Range Tables'!$G$128,'Range Tables'!$B$128,M176&lt;='Range Tables'!$G$129,'Range Tables'!$B$129,'Range Tables'!$G$131,'Range Tables'!$B$131),H176="Bike",ifs(M176&lt;='Range Tables'!$G$136,'Range Tables'!$B$136,M176&lt;='Range Tables'!$G$137,'Range Tables'!$B$137,M176&lt;='Range Tables'!$G$138,'Range Tables'!$B$138,M176&lt;='Range Tables'!$G$142,'Range Tables'!$B$142),H176="Scooter",ifs(M176&lt;='Range Tables'!$G$148,'Range Tables'!$B$148,M176&lt;='Range Tables'!$G$149,'Range Tables'!$B$149,M176&lt;='Range Tables'!$G$150,'Range Tables'!$B$150,M176&lt;='Range Tables'!$G$151,'Range Tables'!$B$151),H176="Auto",ifs(M176&lt;='Range Tables'!$G$161,'Range Tables'!$B$161,M176&lt;='Range Tables'!$G$162,'Range Tables'!$B$162,M176&lt;='Range Tables'!$G$163,'Range Tables'!$B$163,M176&lt;='Range Tables'!$G$164,'Range Tables'!$B$164),H176="Carriers*",ifs(M176&lt;='Range Tables'!$G$173,'Range Tables'!$B$173,M176&lt;='Range Tables'!$G$174,'Range Tables'!$B$174,M176&lt;='Range Tables'!$G$175,'Range Tables'!$B$175,M176&lt;='Range Tables'!$G$176,'Range Tables'!$B$176,M176&lt;='Range Tables'!$G$177,'Range Tables'!$B$177,M176&lt;='Range Tables'!$G$179,'Range Tables'!$B$179),H176="Van*",ifs(M176&lt;='Range Tables'!$G$186,'Range Tables'!$B$186))</f>
        <v>120 - 180</v>
      </c>
      <c r="O176" s="113">
        <f>IFERROR(__xludf.DUMMYFUNCTION("SPLIT(N176,""-"")"),120.0)</f>
        <v>120</v>
      </c>
      <c r="P176" s="113">
        <f>IFERROR(__xludf.DUMMYFUNCTION("""COMPUTED_VALUE"""),180.0)</f>
        <v>180</v>
      </c>
      <c r="Q176" s="114">
        <f t="shared" si="2"/>
        <v>166.2493436</v>
      </c>
      <c r="R176" s="115">
        <f t="shared" si="3"/>
        <v>0.1664327968</v>
      </c>
      <c r="S176" s="114">
        <f t="shared" si="39"/>
        <v>14379.79364</v>
      </c>
      <c r="T176" s="113" t="str">
        <f t="shared" si="4"/>
        <v>no</v>
      </c>
      <c r="U176" s="115">
        <f t="shared" si="5"/>
        <v>0</v>
      </c>
      <c r="V176" s="113">
        <f t="shared" si="34"/>
        <v>0</v>
      </c>
      <c r="W176" s="115">
        <f t="shared" si="6"/>
        <v>0</v>
      </c>
      <c r="X176" s="85">
        <f t="shared" si="7"/>
        <v>0</v>
      </c>
      <c r="Y176" s="116">
        <f t="shared" si="8"/>
        <v>0</v>
      </c>
      <c r="Z176" s="113">
        <f t="shared" si="9"/>
        <v>0</v>
      </c>
      <c r="AA176" s="113" t="str">
        <f t="shared" si="10"/>
        <v>no</v>
      </c>
      <c r="AB176" s="115">
        <f t="shared" si="11"/>
        <v>0</v>
      </c>
      <c r="AC176" s="113">
        <f t="shared" si="35"/>
        <v>0</v>
      </c>
      <c r="AD176" s="116">
        <f t="shared" si="12"/>
        <v>0</v>
      </c>
      <c r="AE176" s="113">
        <f t="shared" si="13"/>
        <v>0</v>
      </c>
      <c r="AF176" s="116">
        <f t="shared" si="14"/>
        <v>0</v>
      </c>
      <c r="AG176" s="113">
        <f t="shared" si="15"/>
        <v>0</v>
      </c>
      <c r="AH176" s="113" t="str">
        <f t="shared" si="16"/>
        <v>no</v>
      </c>
      <c r="AI176" s="115">
        <f t="shared" si="17"/>
        <v>0</v>
      </c>
      <c r="AJ176" s="113">
        <f t="shared" si="36"/>
        <v>0</v>
      </c>
      <c r="AK176" s="116">
        <f t="shared" si="18"/>
        <v>0</v>
      </c>
      <c r="AL176" s="113">
        <f t="shared" si="19"/>
        <v>0</v>
      </c>
      <c r="AM176" s="115">
        <f t="shared" si="20"/>
        <v>0</v>
      </c>
      <c r="AN176" s="85">
        <f t="shared" si="21"/>
        <v>0</v>
      </c>
      <c r="AO176" s="113" t="str">
        <f t="shared" si="22"/>
        <v>yes</v>
      </c>
      <c r="AP176" s="115">
        <f t="shared" si="23"/>
        <v>0.00266608355</v>
      </c>
      <c r="AQ176" s="114">
        <f t="shared" si="37"/>
        <v>230.3496187</v>
      </c>
      <c r="AR176" s="116">
        <f t="shared" si="24"/>
        <v>0.1690988803</v>
      </c>
      <c r="AS176" s="114">
        <f t="shared" si="25"/>
        <v>14610.14326</v>
      </c>
      <c r="AT176" s="116">
        <f t="shared" si="26"/>
        <v>0.1710230625</v>
      </c>
      <c r="AU176" s="114">
        <f t="shared" si="27"/>
        <v>14776.3926</v>
      </c>
      <c r="AV176" s="113" t="str">
        <f t="shared" si="28"/>
        <v>no</v>
      </c>
      <c r="AW176" s="115">
        <f t="shared" si="29"/>
        <v>0</v>
      </c>
      <c r="AX176" s="85">
        <f t="shared" si="41"/>
        <v>0</v>
      </c>
      <c r="AY176" s="116">
        <f t="shared" si="30"/>
        <v>0</v>
      </c>
      <c r="AZ176" s="113">
        <f t="shared" si="31"/>
        <v>0</v>
      </c>
      <c r="BA176" s="116">
        <f t="shared" si="32"/>
        <v>0</v>
      </c>
      <c r="BB176" s="113">
        <f t="shared" si="33"/>
        <v>0</v>
      </c>
      <c r="BC176" s="112">
        <v>0.35299173196932554</v>
      </c>
      <c r="BD176" s="113" t="str">
        <f>ifs(BC176&lt;='Range Tables'!$G$81,'Range Tables'!$B$81,BC176&lt;='Range Tables'!$G$82,'Range Tables'!$B$82)</f>
        <v>Offline*</v>
      </c>
      <c r="BE176" s="112">
        <v>0.24488238871813794</v>
      </c>
      <c r="BF176" s="112" t="str">
        <f>ifs(BE176&lt;='Range Tables'!$G$95,'Range Tables'!$B$95,BE176&lt;='Range Tables'!$G$96,'Range Tables'!$B$96,BE176&lt;='Range Tables'!$G$97,'Range Tables'!$B$97,BE176&lt;='Range Tables'!$G$98,'Range Tables'!$B$98,BE176&lt;='Range Tables'!$G$99,'Range Tables'!$B$99,BE176&lt;='Range Tables'!$G$100,'Range Tables'!$B$100,BE176&lt;='Range Tables'!$G$101,'Range Tables'!$B$101,BE176&lt;='Range Tables'!$G$102,'Range Tables'!$B$102,BE176&lt;='Range Tables'!$G$103,'Range Tables'!$B$103)</f>
        <v>Jammu</v>
      </c>
      <c r="BG176" s="112">
        <v>0.9531394392285037</v>
      </c>
      <c r="BH176" s="113" t="str">
        <f>ifs(BG176&lt;='Range Tables'!$G$112,'Range Tables'!$B$112,BG176&lt;='Range Tables'!$G$113,'Range Tables'!$B$113,BG176&lt;='Range Tables'!$G$114,'Range Tables'!$B$114)</f>
        <v>1-5</v>
      </c>
      <c r="BI176" s="117">
        <v>0.4596461230657014</v>
      </c>
      <c r="BJ176" s="113" t="str">
        <f>ifs(BI176&lt;='Range Tables'!$G$118,'Range Tables'!$B$118,BI176&lt;='Range Tables'!$G$119,'Range Tables'!$B$119)</f>
        <v>Valid</v>
      </c>
    </row>
    <row r="177">
      <c r="A177" s="85">
        <v>174.0</v>
      </c>
      <c r="B177" s="112">
        <v>0.7611794074940862</v>
      </c>
      <c r="C177" s="113" t="str">
        <f>ifs(B177&lt;='Range Tables'!$G$54,'Range Tables'!$B$54,B177&lt;='Range Tables'!$G$55,'Range Tables'!$B$55,B177&lt;='Range Tables'!$G$56,'Range Tables'!$B$56,B177&lt;='Range Tables'!$G$57,'Range Tables'!$B$57,B177&lt;='Range Tables'!$G$58,'Range Tables'!$B$58,B177&lt;='Range Tables'!$G$59,'Range Tables'!$B$59,B177&lt;='Range Tables'!$G$60,'Range Tables'!$B$60,B177&lt;='Range Tables'!$G$61,'Range Tables'!$B$61,B177&lt;='Range Tables'!$G$63,'Range Tables'!$B$63,B177&lt;='Range Tables'!$G$64,'Range Tables'!$B$64,B177&lt;='Range Tables'!$G$66,'Range Tables'!$B$66)</f>
        <v>90 - 120</v>
      </c>
      <c r="D177" s="113">
        <f>IFERROR(__xludf.DUMMYFUNCTION("SPLIT(C177,""-"")"),90.0)</f>
        <v>90</v>
      </c>
      <c r="E177" s="113">
        <f>IFERROR(__xludf.DUMMYFUNCTION("""COMPUTED_VALUE"""),120.0)</f>
        <v>120</v>
      </c>
      <c r="F177" s="114">
        <f t="shared" si="40"/>
        <v>112.8353822</v>
      </c>
      <c r="G177" s="112">
        <v>0.6954865743999035</v>
      </c>
      <c r="H177" s="113" t="str">
        <f>ifs(G177&lt;='Range Tables'!$G$86,'Range Tables'!$B$86,G177&lt;='Range Tables'!$G$87,'Range Tables'!$B$87,G177&lt;='Range Tables'!$G$88,'Range Tables'!$B$88,G177&lt;='Range Tables'!$G$89,'Range Tables'!$B$89,G177&lt;='Range Tables'!$G$90,'Range Tables'!$B$90,G177&lt;='Range Tables'!$G$91,'Range Tables'!$B$91)</f>
        <v>Bike</v>
      </c>
      <c r="I177" s="112">
        <v>0.7249142615851061</v>
      </c>
      <c r="J177" s="113" t="str">
        <f>IFS(
  H177="Car", IF(I177&lt;='Range Tables'!$G$19, 'Range Tables'!$B$19, 'Range Tables'!$B$20), 
  H177="Bike", IF(I177&lt;='Range Tables'!$G$25, 'Range Tables'!$B$25, 'Range Tables'!$B$26), 
  H177="Scooter", IF(I177&lt;='Range Tables'!$G$31, 'Range Tables'!$B$31, 'Range Tables'!$B$32), 
  H177="Auto", IF(I177&lt;='Range Tables'!$G$37, 'Range Tables'!$B$37, 'Range Tables'!$B$38), 
  H177="Carriers*", IF(I177&lt;='Range Tables'!$G$43, 'Range Tables'!$B$43, 'Range Tables'!$B$44), 
  H177="Van*", IF(I177&lt;='Range Tables'!$G$50, 'Range Tables'!$B$50, 'Range Tables'!$B$49)
)</f>
        <v>Petrol</v>
      </c>
      <c r="K177" s="112">
        <v>0.7723899211625782</v>
      </c>
      <c r="L177" s="113">
        <f>if(J177="Petrol",ifs(K177&lt;='Range Tables'!$G$5,'Range Tables'!$B$5,K177&lt;='Range Tables'!$G$6,'Range Tables'!$B$6,K177&lt;='Range Tables'!$G$7,'Range Tables'!$B$7),ifs(K177&lt;='Range Tables'!$G$13,'Range Tables'!$B$13,K177&lt;='Range Tables'!$G$14,'Range Tables'!$B$14))</f>
        <v>3</v>
      </c>
      <c r="M177" s="112">
        <v>0.20638599432721272</v>
      </c>
      <c r="N177" s="113" t="str">
        <f>ifs(H177="Car",ifs(M177&lt;='Range Tables'!$G$125,'Range Tables'!$B$125,M177&lt;='Range Tables'!$G$126,'Range Tables'!$B$126,M177&lt;='Range Tables'!$G$127,'Range Tables'!$B$127,M177&lt;='Range Tables'!$G$128,'Range Tables'!$B$128,M177&lt;='Range Tables'!$G$129,'Range Tables'!$B$129,'Range Tables'!$G$131,'Range Tables'!$B$131),H177="Bike",ifs(M177&lt;='Range Tables'!$G$136,'Range Tables'!$B$136,M177&lt;='Range Tables'!$G$137,'Range Tables'!$B$137,M177&lt;='Range Tables'!$G$138,'Range Tables'!$B$138,M177&lt;='Range Tables'!$G$142,'Range Tables'!$B$142),H177="Scooter",ifs(M177&lt;='Range Tables'!$G$148,'Range Tables'!$B$148,M177&lt;='Range Tables'!$G$149,'Range Tables'!$B$149,M177&lt;='Range Tables'!$G$150,'Range Tables'!$B$150,M177&lt;='Range Tables'!$G$151,'Range Tables'!$B$151),H177="Auto",ifs(M177&lt;='Range Tables'!$G$161,'Range Tables'!$B$161,M177&lt;='Range Tables'!$G$162,'Range Tables'!$B$162,M177&lt;='Range Tables'!$G$163,'Range Tables'!$B$163,M177&lt;='Range Tables'!$G$164,'Range Tables'!$B$164),H177="Carriers*",ifs(M177&lt;='Range Tables'!$G$173,'Range Tables'!$B$173,M177&lt;='Range Tables'!$G$174,'Range Tables'!$B$174,M177&lt;='Range Tables'!$G$175,'Range Tables'!$B$175,M177&lt;='Range Tables'!$G$176,'Range Tables'!$B$176,M177&lt;='Range Tables'!$G$177,'Range Tables'!$B$177,M177&lt;='Range Tables'!$G$179,'Range Tables'!$B$179),H177="Van*",ifs(M177&lt;='Range Tables'!$G$186,'Range Tables'!$B$186))</f>
        <v>60 - 120</v>
      </c>
      <c r="O177" s="113">
        <f>IFERROR(__xludf.DUMMYFUNCTION("SPLIT(N177,""-"")"),60.0)</f>
        <v>60</v>
      </c>
      <c r="P177" s="113">
        <f>IFERROR(__xludf.DUMMYFUNCTION("""COMPUTED_VALUE"""),120.0)</f>
        <v>120</v>
      </c>
      <c r="Q177" s="114">
        <f t="shared" si="2"/>
        <v>72.38315966</v>
      </c>
      <c r="R177" s="115">
        <f t="shared" si="3"/>
        <v>0.1664892199</v>
      </c>
      <c r="S177" s="114">
        <f t="shared" si="39"/>
        <v>14384.6686</v>
      </c>
      <c r="T177" s="113" t="str">
        <f t="shared" si="4"/>
        <v>no</v>
      </c>
      <c r="U177" s="115">
        <f t="shared" si="5"/>
        <v>0</v>
      </c>
      <c r="V177" s="113">
        <f t="shared" si="34"/>
        <v>0</v>
      </c>
      <c r="W177" s="115">
        <f t="shared" si="6"/>
        <v>0</v>
      </c>
      <c r="X177" s="85">
        <f t="shared" si="7"/>
        <v>0</v>
      </c>
      <c r="Y177" s="116">
        <f t="shared" si="8"/>
        <v>0</v>
      </c>
      <c r="Z177" s="113">
        <f t="shared" si="9"/>
        <v>0</v>
      </c>
      <c r="AA177" s="113" t="str">
        <f t="shared" si="10"/>
        <v>no</v>
      </c>
      <c r="AB177" s="115">
        <f t="shared" si="11"/>
        <v>0</v>
      </c>
      <c r="AC177" s="113">
        <f t="shared" si="35"/>
        <v>0</v>
      </c>
      <c r="AD177" s="116">
        <f t="shared" si="12"/>
        <v>0</v>
      </c>
      <c r="AE177" s="113">
        <f t="shared" si="13"/>
        <v>0</v>
      </c>
      <c r="AF177" s="116">
        <f t="shared" si="14"/>
        <v>0</v>
      </c>
      <c r="AG177" s="113">
        <f t="shared" si="15"/>
        <v>0</v>
      </c>
      <c r="AH177" s="113" t="str">
        <f t="shared" si="16"/>
        <v>yes</v>
      </c>
      <c r="AI177" s="115">
        <f t="shared" si="17"/>
        <v>0</v>
      </c>
      <c r="AJ177" s="113">
        <f t="shared" si="36"/>
        <v>0</v>
      </c>
      <c r="AK177" s="116">
        <f t="shared" si="18"/>
        <v>0.1664892199</v>
      </c>
      <c r="AL177" s="114">
        <f t="shared" si="19"/>
        <v>14384.6686</v>
      </c>
      <c r="AM177" s="115">
        <f t="shared" si="20"/>
        <v>0.167326988</v>
      </c>
      <c r="AN177" s="118">
        <f t="shared" si="21"/>
        <v>14457.05176</v>
      </c>
      <c r="AO177" s="113" t="str">
        <f t="shared" si="22"/>
        <v>no</v>
      </c>
      <c r="AP177" s="115">
        <f t="shared" si="23"/>
        <v>0</v>
      </c>
      <c r="AQ177" s="113">
        <f t="shared" si="37"/>
        <v>0</v>
      </c>
      <c r="AR177" s="116">
        <f t="shared" si="24"/>
        <v>0</v>
      </c>
      <c r="AS177" s="113">
        <f t="shared" si="25"/>
        <v>0</v>
      </c>
      <c r="AT177" s="116">
        <f t="shared" si="26"/>
        <v>0</v>
      </c>
      <c r="AU177" s="113">
        <f t="shared" si="27"/>
        <v>0</v>
      </c>
      <c r="AV177" s="113" t="str">
        <f t="shared" si="28"/>
        <v>no</v>
      </c>
      <c r="AW177" s="115">
        <f t="shared" si="29"/>
        <v>0</v>
      </c>
      <c r="AX177" s="85">
        <f t="shared" si="41"/>
        <v>0</v>
      </c>
      <c r="AY177" s="116">
        <f t="shared" si="30"/>
        <v>0</v>
      </c>
      <c r="AZ177" s="113">
        <f t="shared" si="31"/>
        <v>0</v>
      </c>
      <c r="BA177" s="116">
        <f t="shared" si="32"/>
        <v>0</v>
      </c>
      <c r="BB177" s="113">
        <f t="shared" si="33"/>
        <v>0</v>
      </c>
      <c r="BC177" s="112">
        <v>0.20833056705812247</v>
      </c>
      <c r="BD177" s="113" t="str">
        <f>ifs(BC177&lt;='Range Tables'!$G$81,'Range Tables'!$B$81,BC177&lt;='Range Tables'!$G$82,'Range Tables'!$B$82)</f>
        <v>Online*</v>
      </c>
      <c r="BE177" s="112">
        <v>0.615048791250261</v>
      </c>
      <c r="BF177" s="112" t="str">
        <f>ifs(BE177&lt;='Range Tables'!$G$95,'Range Tables'!$B$95,BE177&lt;='Range Tables'!$G$96,'Range Tables'!$B$96,BE177&lt;='Range Tables'!$G$97,'Range Tables'!$B$97,BE177&lt;='Range Tables'!$G$98,'Range Tables'!$B$98,BE177&lt;='Range Tables'!$G$99,'Range Tables'!$B$99,BE177&lt;='Range Tables'!$G$100,'Range Tables'!$B$100,BE177&lt;='Range Tables'!$G$101,'Range Tables'!$B$101,BE177&lt;='Range Tables'!$G$102,'Range Tables'!$B$102,BE177&lt;='Range Tables'!$G$103,'Range Tables'!$B$103)</f>
        <v>Jammu</v>
      </c>
      <c r="BG177" s="112">
        <v>0.4857667850267806</v>
      </c>
      <c r="BH177" s="113" t="str">
        <f>ifs(BG177&lt;='Range Tables'!$G$112,'Range Tables'!$B$112,BG177&lt;='Range Tables'!$G$113,'Range Tables'!$B$113,BG177&lt;='Range Tables'!$G$114,'Range Tables'!$B$114)</f>
        <v>0</v>
      </c>
      <c r="BI177" s="117">
        <v>0.29664458218243805</v>
      </c>
      <c r="BJ177" s="113" t="str">
        <f>ifs(BI177&lt;='Range Tables'!$G$118,'Range Tables'!$B$118,BI177&lt;='Range Tables'!$G$119,'Range Tables'!$B$119)</f>
        <v>Valid</v>
      </c>
    </row>
    <row r="178">
      <c r="A178" s="85">
        <v>175.0</v>
      </c>
      <c r="B178" s="112">
        <v>0.8897410723273392</v>
      </c>
      <c r="C178" s="113" t="str">
        <f>ifs(B178&lt;='Range Tables'!$G$54,'Range Tables'!$B$54,B178&lt;='Range Tables'!$G$55,'Range Tables'!$B$55,B178&lt;='Range Tables'!$G$56,'Range Tables'!$B$56,B178&lt;='Range Tables'!$G$57,'Range Tables'!$B$57,B178&lt;='Range Tables'!$G$58,'Range Tables'!$B$58,B178&lt;='Range Tables'!$G$59,'Range Tables'!$B$59,B178&lt;='Range Tables'!$G$60,'Range Tables'!$B$60,B178&lt;='Range Tables'!$G$61,'Range Tables'!$B$61,B178&lt;='Range Tables'!$G$63,'Range Tables'!$B$63,B178&lt;='Range Tables'!$G$64,'Range Tables'!$B$64,B178&lt;='Range Tables'!$G$66,'Range Tables'!$B$66)</f>
        <v>180 - 210</v>
      </c>
      <c r="D178" s="113">
        <f>IFERROR(__xludf.DUMMYFUNCTION("SPLIT(C178,""-"")"),180.0)</f>
        <v>180</v>
      </c>
      <c r="E178" s="113">
        <f>IFERROR(__xludf.DUMMYFUNCTION("""COMPUTED_VALUE"""),210.0)</f>
        <v>210</v>
      </c>
      <c r="F178" s="114">
        <f t="shared" si="40"/>
        <v>206.6922322</v>
      </c>
      <c r="G178" s="112">
        <v>0.2507826968058272</v>
      </c>
      <c r="H178" s="113" t="str">
        <f>ifs(G178&lt;='Range Tables'!$G$86,'Range Tables'!$B$86,G178&lt;='Range Tables'!$G$87,'Range Tables'!$B$87,G178&lt;='Range Tables'!$G$88,'Range Tables'!$B$88,G178&lt;='Range Tables'!$G$89,'Range Tables'!$B$89,G178&lt;='Range Tables'!$G$90,'Range Tables'!$B$90,G178&lt;='Range Tables'!$G$91,'Range Tables'!$B$91)</f>
        <v>Car</v>
      </c>
      <c r="I178" s="112">
        <v>0.37638895244847437</v>
      </c>
      <c r="J178" s="113" t="str">
        <f>IFS(
  H178="Car", IF(I178&lt;='Range Tables'!$G$19, 'Range Tables'!$B$19, 'Range Tables'!$B$20), 
  H178="Bike", IF(I178&lt;='Range Tables'!$G$25, 'Range Tables'!$B$25, 'Range Tables'!$B$26), 
  H178="Scooter", IF(I178&lt;='Range Tables'!$G$31, 'Range Tables'!$B$31, 'Range Tables'!$B$32), 
  H178="Auto", IF(I178&lt;='Range Tables'!$G$37, 'Range Tables'!$B$37, 'Range Tables'!$B$38), 
  H178="Carriers*", IF(I178&lt;='Range Tables'!$G$43, 'Range Tables'!$B$43, 'Range Tables'!$B$44), 
  H178="Van*", IF(I178&lt;='Range Tables'!$G$50, 'Range Tables'!$B$50, 'Range Tables'!$B$49)
)</f>
        <v>Petrol</v>
      </c>
      <c r="K178" s="112">
        <v>0.9932842800548053</v>
      </c>
      <c r="L178" s="113">
        <f>if(J178="Petrol",ifs(K178&lt;='Range Tables'!$G$5,'Range Tables'!$B$5,K178&lt;='Range Tables'!$G$6,'Range Tables'!$B$6,K178&lt;='Range Tables'!$G$7,'Range Tables'!$B$7),ifs(K178&lt;='Range Tables'!$G$13,'Range Tables'!$B$13,K178&lt;='Range Tables'!$G$14,'Range Tables'!$B$14))</f>
        <v>4</v>
      </c>
      <c r="M178" s="112">
        <v>0.17967415800221365</v>
      </c>
      <c r="N178" s="113" t="str">
        <f>ifs(H178="Car",ifs(M178&lt;='Range Tables'!$G$125,'Range Tables'!$B$125,M178&lt;='Range Tables'!$G$126,'Range Tables'!$B$126,M178&lt;='Range Tables'!$G$127,'Range Tables'!$B$127,M178&lt;='Range Tables'!$G$128,'Range Tables'!$B$128,M178&lt;='Range Tables'!$G$129,'Range Tables'!$B$129,'Range Tables'!$G$131,'Range Tables'!$B$131),H178="Bike",ifs(M178&lt;='Range Tables'!$G$136,'Range Tables'!$B$136,M178&lt;='Range Tables'!$G$137,'Range Tables'!$B$137,M178&lt;='Range Tables'!$G$138,'Range Tables'!$B$138,M178&lt;='Range Tables'!$G$142,'Range Tables'!$B$142),H178="Scooter",ifs(M178&lt;='Range Tables'!$G$148,'Range Tables'!$B$148,M178&lt;='Range Tables'!$G$149,'Range Tables'!$B$149,M178&lt;='Range Tables'!$G$150,'Range Tables'!$B$150,M178&lt;='Range Tables'!$G$151,'Range Tables'!$B$151),H178="Auto",ifs(M178&lt;='Range Tables'!$G$161,'Range Tables'!$B$161,M178&lt;='Range Tables'!$G$162,'Range Tables'!$B$162,M178&lt;='Range Tables'!$G$163,'Range Tables'!$B$163,M178&lt;='Range Tables'!$G$164,'Range Tables'!$B$164),H178="Carriers*",ifs(M178&lt;='Range Tables'!$G$173,'Range Tables'!$B$173,M178&lt;='Range Tables'!$G$174,'Range Tables'!$B$174,M178&lt;='Range Tables'!$G$175,'Range Tables'!$B$175,M178&lt;='Range Tables'!$G$176,'Range Tables'!$B$176,M178&lt;='Range Tables'!$G$177,'Range Tables'!$B$177,M178&lt;='Range Tables'!$G$179,'Range Tables'!$B$179),H178="Van*",ifs(M178&lt;='Range Tables'!$G$186,'Range Tables'!$B$186))</f>
        <v>60 - 120</v>
      </c>
      <c r="O178" s="113">
        <f>IFERROR(__xludf.DUMMYFUNCTION("SPLIT(N178,""-"")"),60.0)</f>
        <v>60</v>
      </c>
      <c r="P178" s="113">
        <f>IFERROR(__xludf.DUMMYFUNCTION("""COMPUTED_VALUE"""),120.0)</f>
        <v>120</v>
      </c>
      <c r="Q178" s="114">
        <f t="shared" si="2"/>
        <v>70.78044948</v>
      </c>
      <c r="R178" s="115">
        <f t="shared" si="3"/>
        <v>0.167795185</v>
      </c>
      <c r="S178" s="114">
        <f t="shared" si="39"/>
        <v>14497.50398</v>
      </c>
      <c r="T178" s="113" t="str">
        <f t="shared" si="4"/>
        <v>no</v>
      </c>
      <c r="U178" s="115">
        <f t="shared" si="5"/>
        <v>0</v>
      </c>
      <c r="V178" s="113">
        <f t="shared" si="34"/>
        <v>0</v>
      </c>
      <c r="W178" s="115">
        <f t="shared" si="6"/>
        <v>0</v>
      </c>
      <c r="X178" s="85">
        <f t="shared" si="7"/>
        <v>0</v>
      </c>
      <c r="Y178" s="116">
        <f t="shared" si="8"/>
        <v>0</v>
      </c>
      <c r="Z178" s="113">
        <f t="shared" si="9"/>
        <v>0</v>
      </c>
      <c r="AA178" s="113" t="str">
        <f t="shared" si="10"/>
        <v>no</v>
      </c>
      <c r="AB178" s="115">
        <f t="shared" si="11"/>
        <v>0</v>
      </c>
      <c r="AC178" s="113">
        <f t="shared" si="35"/>
        <v>0</v>
      </c>
      <c r="AD178" s="116">
        <f t="shared" si="12"/>
        <v>0</v>
      </c>
      <c r="AE178" s="113">
        <f t="shared" si="13"/>
        <v>0</v>
      </c>
      <c r="AF178" s="116">
        <f t="shared" si="14"/>
        <v>0</v>
      </c>
      <c r="AG178" s="113">
        <f t="shared" si="15"/>
        <v>0</v>
      </c>
      <c r="AH178" s="113" t="str">
        <f t="shared" si="16"/>
        <v>no</v>
      </c>
      <c r="AI178" s="115">
        <f t="shared" si="17"/>
        <v>0</v>
      </c>
      <c r="AJ178" s="113">
        <f t="shared" si="36"/>
        <v>0</v>
      </c>
      <c r="AK178" s="116">
        <f t="shared" si="18"/>
        <v>0</v>
      </c>
      <c r="AL178" s="113">
        <f t="shared" si="19"/>
        <v>0</v>
      </c>
      <c r="AM178" s="115">
        <f t="shared" si="20"/>
        <v>0</v>
      </c>
      <c r="AN178" s="85">
        <f t="shared" si="21"/>
        <v>0</v>
      </c>
      <c r="AO178" s="113" t="str">
        <f t="shared" si="22"/>
        <v>yes</v>
      </c>
      <c r="AP178" s="115">
        <f t="shared" si="23"/>
        <v>0</v>
      </c>
      <c r="AQ178" s="113">
        <f t="shared" si="37"/>
        <v>0</v>
      </c>
      <c r="AR178" s="116">
        <f t="shared" si="24"/>
        <v>0.167795185</v>
      </c>
      <c r="AS178" s="114">
        <f t="shared" si="25"/>
        <v>14497.50398</v>
      </c>
      <c r="AT178" s="116">
        <f t="shared" si="26"/>
        <v>0.1686144032</v>
      </c>
      <c r="AU178" s="114">
        <f t="shared" si="27"/>
        <v>14568.28443</v>
      </c>
      <c r="AV178" s="113" t="str">
        <f t="shared" si="28"/>
        <v>no</v>
      </c>
      <c r="AW178" s="115">
        <f t="shared" si="29"/>
        <v>0</v>
      </c>
      <c r="AX178" s="85">
        <f t="shared" si="41"/>
        <v>0</v>
      </c>
      <c r="AY178" s="116">
        <f t="shared" si="30"/>
        <v>0</v>
      </c>
      <c r="AZ178" s="113">
        <f t="shared" si="31"/>
        <v>0</v>
      </c>
      <c r="BA178" s="116">
        <f t="shared" si="32"/>
        <v>0</v>
      </c>
      <c r="BB178" s="113">
        <f t="shared" si="33"/>
        <v>0</v>
      </c>
      <c r="BC178" s="112">
        <v>0.36052973920687303</v>
      </c>
      <c r="BD178" s="113" t="str">
        <f>ifs(BC178&lt;='Range Tables'!$G$81,'Range Tables'!$B$81,BC178&lt;='Range Tables'!$G$82,'Range Tables'!$B$82)</f>
        <v>Offline*</v>
      </c>
      <c r="BE178" s="112">
        <v>0.1745398438849659</v>
      </c>
      <c r="BF178" s="112" t="str">
        <f>ifs(BE178&lt;='Range Tables'!$G$95,'Range Tables'!$B$95,BE178&lt;='Range Tables'!$G$96,'Range Tables'!$B$96,BE178&lt;='Range Tables'!$G$97,'Range Tables'!$B$97,BE178&lt;='Range Tables'!$G$98,'Range Tables'!$B$98,BE178&lt;='Range Tables'!$G$99,'Range Tables'!$B$99,BE178&lt;='Range Tables'!$G$100,'Range Tables'!$B$100,BE178&lt;='Range Tables'!$G$101,'Range Tables'!$B$101,BE178&lt;='Range Tables'!$G$102,'Range Tables'!$B$102,BE178&lt;='Range Tables'!$G$103,'Range Tables'!$B$103)</f>
        <v>Jammu</v>
      </c>
      <c r="BG178" s="112">
        <v>0.9650921870978296</v>
      </c>
      <c r="BH178" s="113" t="str">
        <f>ifs(BG178&lt;='Range Tables'!$G$112,'Range Tables'!$B$112,BG178&lt;='Range Tables'!$G$113,'Range Tables'!$B$113,BG178&lt;='Range Tables'!$G$114,'Range Tables'!$B$114)</f>
        <v>1-5</v>
      </c>
      <c r="BI178" s="117">
        <v>0.10615486921063899</v>
      </c>
      <c r="BJ178" s="113" t="str">
        <f>ifs(BI178&lt;='Range Tables'!$G$118,'Range Tables'!$B$118,BI178&lt;='Range Tables'!$G$119,'Range Tables'!$B$119)</f>
        <v>Valid</v>
      </c>
    </row>
    <row r="179">
      <c r="A179" s="85">
        <v>176.0</v>
      </c>
      <c r="B179" s="112">
        <v>0.37374473451312584</v>
      </c>
      <c r="C179" s="113" t="str">
        <f>ifs(B179&lt;='Range Tables'!$G$54,'Range Tables'!$B$54,B179&lt;='Range Tables'!$G$55,'Range Tables'!$B$55,B179&lt;='Range Tables'!$G$56,'Range Tables'!$B$56,B179&lt;='Range Tables'!$G$57,'Range Tables'!$B$57,B179&lt;='Range Tables'!$G$58,'Range Tables'!$B$58,B179&lt;='Range Tables'!$G$59,'Range Tables'!$B$59,B179&lt;='Range Tables'!$G$60,'Range Tables'!$B$60,B179&lt;='Range Tables'!$G$61,'Range Tables'!$B$61,B179&lt;='Range Tables'!$G$63,'Range Tables'!$B$63,B179&lt;='Range Tables'!$G$64,'Range Tables'!$B$64,B179&lt;='Range Tables'!$G$66,'Range Tables'!$B$66)</f>
        <v>30 - 60 </v>
      </c>
      <c r="D179" s="113">
        <f>IFERROR(__xludf.DUMMYFUNCTION("SPLIT(C179,""-"")"),30.0)</f>
        <v>30</v>
      </c>
      <c r="E179" s="113">
        <f>IFERROR(__xludf.DUMMYFUNCTION("""COMPUTED_VALUE"""),60.0)</f>
        <v>60</v>
      </c>
      <c r="F179" s="114">
        <f t="shared" si="40"/>
        <v>41.21234204</v>
      </c>
      <c r="G179" s="112">
        <v>0.3506482468245181</v>
      </c>
      <c r="H179" s="113" t="str">
        <f>ifs(G179&lt;='Range Tables'!$G$86,'Range Tables'!$B$86,G179&lt;='Range Tables'!$G$87,'Range Tables'!$B$87,G179&lt;='Range Tables'!$G$88,'Range Tables'!$B$88,G179&lt;='Range Tables'!$G$89,'Range Tables'!$B$89,G179&lt;='Range Tables'!$G$90,'Range Tables'!$B$90,G179&lt;='Range Tables'!$G$91,'Range Tables'!$B$91)</f>
        <v>Car</v>
      </c>
      <c r="I179" s="112">
        <v>0.7952939815115182</v>
      </c>
      <c r="J179" s="113" t="str">
        <f>IFS(
  H179="Car", IF(I179&lt;='Range Tables'!$G$19, 'Range Tables'!$B$19, 'Range Tables'!$B$20), 
  H179="Bike", IF(I179&lt;='Range Tables'!$G$25, 'Range Tables'!$B$25, 'Range Tables'!$B$26), 
  H179="Scooter", IF(I179&lt;='Range Tables'!$G$31, 'Range Tables'!$B$31, 'Range Tables'!$B$32), 
  H179="Auto", IF(I179&lt;='Range Tables'!$G$37, 'Range Tables'!$B$37, 'Range Tables'!$B$38), 
  H179="Carriers*", IF(I179&lt;='Range Tables'!$G$43, 'Range Tables'!$B$43, 'Range Tables'!$B$44), 
  H179="Van*", IF(I179&lt;='Range Tables'!$G$50, 'Range Tables'!$B$50, 'Range Tables'!$B$49)
)</f>
        <v>Petrol</v>
      </c>
      <c r="K179" s="112">
        <v>0.33972145625945793</v>
      </c>
      <c r="L179" s="113">
        <f>if(J179="Petrol",ifs(K179&lt;='Range Tables'!$G$5,'Range Tables'!$B$5,K179&lt;='Range Tables'!$G$6,'Range Tables'!$B$6,K179&lt;='Range Tables'!$G$7,'Range Tables'!$B$7),ifs(K179&lt;='Range Tables'!$G$13,'Range Tables'!$B$13,K179&lt;='Range Tables'!$G$14,'Range Tables'!$B$14))</f>
        <v>2</v>
      </c>
      <c r="M179" s="112">
        <v>0.7115541255403935</v>
      </c>
      <c r="N179" s="113" t="str">
        <f>ifs(H179="Car",ifs(M179&lt;='Range Tables'!$G$125,'Range Tables'!$B$125,M179&lt;='Range Tables'!$G$126,'Range Tables'!$B$126,M179&lt;='Range Tables'!$G$127,'Range Tables'!$B$127,M179&lt;='Range Tables'!$G$128,'Range Tables'!$B$128,M179&lt;='Range Tables'!$G$129,'Range Tables'!$B$129,'Range Tables'!$G$131,'Range Tables'!$B$131),H179="Bike",ifs(M179&lt;='Range Tables'!$G$136,'Range Tables'!$B$136,M179&lt;='Range Tables'!$G$137,'Range Tables'!$B$137,M179&lt;='Range Tables'!$G$138,'Range Tables'!$B$138,M179&lt;='Range Tables'!$G$142,'Range Tables'!$B$142),H179="Scooter",ifs(M179&lt;='Range Tables'!$G$148,'Range Tables'!$B$148,M179&lt;='Range Tables'!$G$149,'Range Tables'!$B$149,M179&lt;='Range Tables'!$G$150,'Range Tables'!$B$150,M179&lt;='Range Tables'!$G$151,'Range Tables'!$B$151),H179="Auto",ifs(M179&lt;='Range Tables'!$G$161,'Range Tables'!$B$161,M179&lt;='Range Tables'!$G$162,'Range Tables'!$B$162,M179&lt;='Range Tables'!$G$163,'Range Tables'!$B$163,M179&lt;='Range Tables'!$G$164,'Range Tables'!$B$164),H179="Carriers*",ifs(M179&lt;='Range Tables'!$G$173,'Range Tables'!$B$173,M179&lt;='Range Tables'!$G$174,'Range Tables'!$B$174,M179&lt;='Range Tables'!$G$175,'Range Tables'!$B$175,M179&lt;='Range Tables'!$G$176,'Range Tables'!$B$176,M179&lt;='Range Tables'!$G$177,'Range Tables'!$B$177,M179&lt;='Range Tables'!$G$179,'Range Tables'!$B$179),H179="Van*",ifs(M179&lt;='Range Tables'!$G$186,'Range Tables'!$B$186))</f>
        <v>120 - 180</v>
      </c>
      <c r="O179" s="113">
        <f>IFERROR(__xludf.DUMMYFUNCTION("SPLIT(N179,""-"")"),120.0)</f>
        <v>120</v>
      </c>
      <c r="P179" s="113">
        <f>IFERROR(__xludf.DUMMYFUNCTION("""COMPUTED_VALUE"""),180.0)</f>
        <v>180</v>
      </c>
      <c r="Q179" s="114">
        <f t="shared" si="2"/>
        <v>162.6932475</v>
      </c>
      <c r="R179" s="115">
        <f t="shared" si="3"/>
        <v>0.1701874562</v>
      </c>
      <c r="S179" s="114">
        <f t="shared" si="39"/>
        <v>14704.19621</v>
      </c>
      <c r="T179" s="113" t="str">
        <f t="shared" si="4"/>
        <v>no</v>
      </c>
      <c r="U179" s="115">
        <f t="shared" si="5"/>
        <v>0</v>
      </c>
      <c r="V179" s="113">
        <f t="shared" si="34"/>
        <v>0</v>
      </c>
      <c r="W179" s="115">
        <f t="shared" si="6"/>
        <v>0</v>
      </c>
      <c r="X179" s="85">
        <f t="shared" si="7"/>
        <v>0</v>
      </c>
      <c r="Y179" s="116">
        <f t="shared" si="8"/>
        <v>0</v>
      </c>
      <c r="Z179" s="113">
        <f t="shared" si="9"/>
        <v>0</v>
      </c>
      <c r="AA179" s="113" t="str">
        <f t="shared" si="10"/>
        <v>yes</v>
      </c>
      <c r="AB179" s="115">
        <f t="shared" si="11"/>
        <v>0</v>
      </c>
      <c r="AC179" s="113">
        <f t="shared" si="35"/>
        <v>0</v>
      </c>
      <c r="AD179" s="116">
        <f t="shared" si="12"/>
        <v>0.1701874562</v>
      </c>
      <c r="AE179" s="114">
        <f t="shared" si="13"/>
        <v>14704.19621</v>
      </c>
      <c r="AF179" s="116">
        <f t="shared" si="14"/>
        <v>0.1720704799</v>
      </c>
      <c r="AG179" s="114">
        <f t="shared" si="15"/>
        <v>14866.88946</v>
      </c>
      <c r="AH179" s="113" t="str">
        <f t="shared" si="16"/>
        <v>no</v>
      </c>
      <c r="AI179" s="115">
        <f t="shared" si="17"/>
        <v>0</v>
      </c>
      <c r="AJ179" s="113">
        <f t="shared" si="36"/>
        <v>0</v>
      </c>
      <c r="AK179" s="116">
        <f t="shared" si="18"/>
        <v>0</v>
      </c>
      <c r="AL179" s="113">
        <f t="shared" si="19"/>
        <v>0</v>
      </c>
      <c r="AM179" s="115">
        <f t="shared" si="20"/>
        <v>0</v>
      </c>
      <c r="AN179" s="85">
        <f t="shared" si="21"/>
        <v>0</v>
      </c>
      <c r="AO179" s="113" t="str">
        <f t="shared" si="22"/>
        <v>no</v>
      </c>
      <c r="AP179" s="115">
        <f t="shared" si="23"/>
        <v>0</v>
      </c>
      <c r="AQ179" s="113">
        <f t="shared" si="37"/>
        <v>0</v>
      </c>
      <c r="AR179" s="116">
        <f t="shared" si="24"/>
        <v>0</v>
      </c>
      <c r="AS179" s="113">
        <f t="shared" si="25"/>
        <v>0</v>
      </c>
      <c r="AT179" s="116">
        <f t="shared" si="26"/>
        <v>0</v>
      </c>
      <c r="AU179" s="113">
        <f t="shared" si="27"/>
        <v>0</v>
      </c>
      <c r="AV179" s="113" t="str">
        <f t="shared" si="28"/>
        <v>no</v>
      </c>
      <c r="AW179" s="115">
        <f t="shared" si="29"/>
        <v>0</v>
      </c>
      <c r="AX179" s="85">
        <f t="shared" si="41"/>
        <v>0</v>
      </c>
      <c r="AY179" s="116">
        <f t="shared" si="30"/>
        <v>0</v>
      </c>
      <c r="AZ179" s="113">
        <f t="shared" si="31"/>
        <v>0</v>
      </c>
      <c r="BA179" s="116">
        <f t="shared" si="32"/>
        <v>0</v>
      </c>
      <c r="BB179" s="113">
        <f t="shared" si="33"/>
        <v>0</v>
      </c>
      <c r="BC179" s="112">
        <v>0.5689361286689708</v>
      </c>
      <c r="BD179" s="113" t="str">
        <f>ifs(BC179&lt;='Range Tables'!$G$81,'Range Tables'!$B$81,BC179&lt;='Range Tables'!$G$82,'Range Tables'!$B$82)</f>
        <v>Offline*</v>
      </c>
      <c r="BE179" s="112">
        <v>0.1767092087689569</v>
      </c>
      <c r="BF179" s="112" t="str">
        <f>ifs(BE179&lt;='Range Tables'!$G$95,'Range Tables'!$B$95,BE179&lt;='Range Tables'!$G$96,'Range Tables'!$B$96,BE179&lt;='Range Tables'!$G$97,'Range Tables'!$B$97,BE179&lt;='Range Tables'!$G$98,'Range Tables'!$B$98,BE179&lt;='Range Tables'!$G$99,'Range Tables'!$B$99,BE179&lt;='Range Tables'!$G$100,'Range Tables'!$B$100,BE179&lt;='Range Tables'!$G$101,'Range Tables'!$B$101,BE179&lt;='Range Tables'!$G$102,'Range Tables'!$B$102,BE179&lt;='Range Tables'!$G$103,'Range Tables'!$B$103)</f>
        <v>Jammu</v>
      </c>
      <c r="BG179" s="112">
        <v>0.8222017686083357</v>
      </c>
      <c r="BH179" s="113" t="str">
        <f>ifs(BG179&lt;='Range Tables'!$G$112,'Range Tables'!$B$112,BG179&lt;='Range Tables'!$G$113,'Range Tables'!$B$113,BG179&lt;='Range Tables'!$G$114,'Range Tables'!$B$114)</f>
        <v>1-5</v>
      </c>
      <c r="BI179" s="117">
        <v>0.6150406841753615</v>
      </c>
      <c r="BJ179" s="113" t="str">
        <f>ifs(BI179&lt;='Range Tables'!$G$118,'Range Tables'!$B$118,BI179&lt;='Range Tables'!$G$119,'Range Tables'!$B$119)</f>
        <v>Expired</v>
      </c>
    </row>
    <row r="180">
      <c r="A180" s="85">
        <v>177.0</v>
      </c>
      <c r="B180" s="112">
        <v>0.25650854650744304</v>
      </c>
      <c r="C180" s="113" t="str">
        <f>ifs(B180&lt;='Range Tables'!$G$54,'Range Tables'!$B$54,B180&lt;='Range Tables'!$G$55,'Range Tables'!$B$55,B180&lt;='Range Tables'!$G$56,'Range Tables'!$B$56,B180&lt;='Range Tables'!$G$57,'Range Tables'!$B$57,B180&lt;='Range Tables'!$G$58,'Range Tables'!$B$58,B180&lt;='Range Tables'!$G$59,'Range Tables'!$B$59,B180&lt;='Range Tables'!$G$60,'Range Tables'!$B$60,B180&lt;='Range Tables'!$G$61,'Range Tables'!$B$61,B180&lt;='Range Tables'!$G$63,'Range Tables'!$B$63,B180&lt;='Range Tables'!$G$64,'Range Tables'!$B$64,B180&lt;='Range Tables'!$G$66,'Range Tables'!$B$66)</f>
        <v>0 - 30</v>
      </c>
      <c r="D180" s="113">
        <f>IFERROR(__xludf.DUMMYFUNCTION("SPLIT(C180,""-"")"),0.0)</f>
        <v>0</v>
      </c>
      <c r="E180" s="113">
        <f>IFERROR(__xludf.DUMMYFUNCTION("""COMPUTED_VALUE"""),30.0)</f>
        <v>30</v>
      </c>
      <c r="F180" s="114">
        <f t="shared" si="40"/>
        <v>7.695256395</v>
      </c>
      <c r="G180" s="112">
        <v>0.23889203480881382</v>
      </c>
      <c r="H180" s="113" t="str">
        <f>ifs(G180&lt;='Range Tables'!$G$86,'Range Tables'!$B$86,G180&lt;='Range Tables'!$G$87,'Range Tables'!$B$87,G180&lt;='Range Tables'!$G$88,'Range Tables'!$B$88,G180&lt;='Range Tables'!$G$89,'Range Tables'!$B$89,G180&lt;='Range Tables'!$G$90,'Range Tables'!$B$90,G180&lt;='Range Tables'!$G$91,'Range Tables'!$B$91)</f>
        <v>Car</v>
      </c>
      <c r="I180" s="112">
        <v>0.3705170925506729</v>
      </c>
      <c r="J180" s="113" t="str">
        <f>IFS(
  H180="Car", IF(I180&lt;='Range Tables'!$G$19, 'Range Tables'!$B$19, 'Range Tables'!$B$20), 
  H180="Bike", IF(I180&lt;='Range Tables'!$G$25, 'Range Tables'!$B$25, 'Range Tables'!$B$26), 
  H180="Scooter", IF(I180&lt;='Range Tables'!$G$31, 'Range Tables'!$B$31, 'Range Tables'!$B$32), 
  H180="Auto", IF(I180&lt;='Range Tables'!$G$37, 'Range Tables'!$B$37, 'Range Tables'!$B$38), 
  H180="Carriers*", IF(I180&lt;='Range Tables'!$G$43, 'Range Tables'!$B$43, 'Range Tables'!$B$44), 
  H180="Van*", IF(I180&lt;='Range Tables'!$G$50, 'Range Tables'!$B$50, 'Range Tables'!$B$49)
)</f>
        <v>Petrol</v>
      </c>
      <c r="K180" s="112">
        <v>0.2479790548959625</v>
      </c>
      <c r="L180" s="113">
        <f>if(J180="Petrol",ifs(K180&lt;='Range Tables'!$G$5,'Range Tables'!$B$5,K180&lt;='Range Tables'!$G$6,'Range Tables'!$B$6,K180&lt;='Range Tables'!$G$7,'Range Tables'!$B$7),ifs(K180&lt;='Range Tables'!$G$13,'Range Tables'!$B$13,K180&lt;='Range Tables'!$G$14,'Range Tables'!$B$14))</f>
        <v>2</v>
      </c>
      <c r="M180" s="112">
        <v>0.87482715332491</v>
      </c>
      <c r="N180" s="113" t="str">
        <f>ifs(H180="Car",ifs(M180&lt;='Range Tables'!$G$125,'Range Tables'!$B$125,M180&lt;='Range Tables'!$G$126,'Range Tables'!$B$126,M180&lt;='Range Tables'!$G$127,'Range Tables'!$B$127,M180&lt;='Range Tables'!$G$128,'Range Tables'!$B$128,M180&lt;='Range Tables'!$G$129,'Range Tables'!$B$129,'Range Tables'!$G$131,'Range Tables'!$B$131),H180="Bike",ifs(M180&lt;='Range Tables'!$G$136,'Range Tables'!$B$136,M180&lt;='Range Tables'!$G$137,'Range Tables'!$B$137,M180&lt;='Range Tables'!$G$138,'Range Tables'!$B$138,M180&lt;='Range Tables'!$G$142,'Range Tables'!$B$142),H180="Scooter",ifs(M180&lt;='Range Tables'!$G$148,'Range Tables'!$B$148,M180&lt;='Range Tables'!$G$149,'Range Tables'!$B$149,M180&lt;='Range Tables'!$G$150,'Range Tables'!$B$150,M180&lt;='Range Tables'!$G$151,'Range Tables'!$B$151),H180="Auto",ifs(M180&lt;='Range Tables'!$G$161,'Range Tables'!$B$161,M180&lt;='Range Tables'!$G$162,'Range Tables'!$B$162,M180&lt;='Range Tables'!$G$163,'Range Tables'!$B$163,M180&lt;='Range Tables'!$G$164,'Range Tables'!$B$164),H180="Carriers*",ifs(M180&lt;='Range Tables'!$G$173,'Range Tables'!$B$173,M180&lt;='Range Tables'!$G$174,'Range Tables'!$B$174,M180&lt;='Range Tables'!$G$175,'Range Tables'!$B$175,M180&lt;='Range Tables'!$G$176,'Range Tables'!$B$176,M180&lt;='Range Tables'!$G$177,'Range Tables'!$B$177,M180&lt;='Range Tables'!$G$179,'Range Tables'!$B$179),H180="Van*",ifs(M180&lt;='Range Tables'!$G$186,'Range Tables'!$B$186))</f>
        <v>180 - 240</v>
      </c>
      <c r="O180" s="113">
        <f>IFERROR(__xludf.DUMMYFUNCTION("SPLIT(N180,""-"")"),180.0)</f>
        <v>180</v>
      </c>
      <c r="P180" s="113">
        <f>IFERROR(__xludf.DUMMYFUNCTION("""COMPUTED_VALUE"""),240.0)</f>
        <v>240</v>
      </c>
      <c r="Q180" s="114">
        <f t="shared" si="2"/>
        <v>232.4896292</v>
      </c>
      <c r="R180" s="115">
        <f t="shared" si="3"/>
        <v>0.1706644509</v>
      </c>
      <c r="S180" s="114">
        <f t="shared" si="39"/>
        <v>14745.40856</v>
      </c>
      <c r="T180" s="113" t="str">
        <f t="shared" si="4"/>
        <v>no</v>
      </c>
      <c r="U180" s="115">
        <f t="shared" si="5"/>
        <v>0</v>
      </c>
      <c r="V180" s="113">
        <f t="shared" si="34"/>
        <v>0</v>
      </c>
      <c r="W180" s="115">
        <f t="shared" si="6"/>
        <v>0</v>
      </c>
      <c r="X180" s="85">
        <f t="shared" si="7"/>
        <v>0</v>
      </c>
      <c r="Y180" s="116">
        <f t="shared" si="8"/>
        <v>0</v>
      </c>
      <c r="Z180" s="113">
        <f t="shared" si="9"/>
        <v>0</v>
      </c>
      <c r="AA180" s="113" t="str">
        <f t="shared" si="10"/>
        <v>yes</v>
      </c>
      <c r="AB180" s="115">
        <f t="shared" si="11"/>
        <v>0.001406028999</v>
      </c>
      <c r="AC180" s="114">
        <f t="shared" si="35"/>
        <v>121.4809055</v>
      </c>
      <c r="AD180" s="116">
        <f t="shared" si="12"/>
        <v>0.1720704799</v>
      </c>
      <c r="AE180" s="114">
        <f t="shared" si="13"/>
        <v>14866.88946</v>
      </c>
      <c r="AF180" s="116">
        <f t="shared" si="14"/>
        <v>0.1747613321</v>
      </c>
      <c r="AG180" s="114">
        <f t="shared" si="15"/>
        <v>15099.37909</v>
      </c>
      <c r="AH180" s="113" t="str">
        <f t="shared" si="16"/>
        <v>no</v>
      </c>
      <c r="AI180" s="115">
        <f t="shared" si="17"/>
        <v>0</v>
      </c>
      <c r="AJ180" s="113">
        <f t="shared" si="36"/>
        <v>0</v>
      </c>
      <c r="AK180" s="116">
        <f t="shared" si="18"/>
        <v>0</v>
      </c>
      <c r="AL180" s="113">
        <f t="shared" si="19"/>
        <v>0</v>
      </c>
      <c r="AM180" s="115">
        <f t="shared" si="20"/>
        <v>0</v>
      </c>
      <c r="AN180" s="85">
        <f t="shared" si="21"/>
        <v>0</v>
      </c>
      <c r="AO180" s="113" t="str">
        <f t="shared" si="22"/>
        <v>no</v>
      </c>
      <c r="AP180" s="115">
        <f t="shared" si="23"/>
        <v>0</v>
      </c>
      <c r="AQ180" s="113">
        <f t="shared" si="37"/>
        <v>0</v>
      </c>
      <c r="AR180" s="116">
        <f t="shared" si="24"/>
        <v>0</v>
      </c>
      <c r="AS180" s="113">
        <f t="shared" si="25"/>
        <v>0</v>
      </c>
      <c r="AT180" s="116">
        <f t="shared" si="26"/>
        <v>0</v>
      </c>
      <c r="AU180" s="113">
        <f t="shared" si="27"/>
        <v>0</v>
      </c>
      <c r="AV180" s="113" t="str">
        <f t="shared" si="28"/>
        <v>no</v>
      </c>
      <c r="AW180" s="115">
        <f t="shared" si="29"/>
        <v>0</v>
      </c>
      <c r="AX180" s="85">
        <f t="shared" si="41"/>
        <v>0</v>
      </c>
      <c r="AY180" s="116">
        <f t="shared" si="30"/>
        <v>0</v>
      </c>
      <c r="AZ180" s="113">
        <f t="shared" si="31"/>
        <v>0</v>
      </c>
      <c r="BA180" s="116">
        <f t="shared" si="32"/>
        <v>0</v>
      </c>
      <c r="BB180" s="113">
        <f t="shared" si="33"/>
        <v>0</v>
      </c>
      <c r="BC180" s="112">
        <v>0.5885295749432403</v>
      </c>
      <c r="BD180" s="113" t="str">
        <f>ifs(BC180&lt;='Range Tables'!$G$81,'Range Tables'!$B$81,BC180&lt;='Range Tables'!$G$82,'Range Tables'!$B$82)</f>
        <v>Offline*</v>
      </c>
      <c r="BE180" s="112">
        <v>0.6378885994173146</v>
      </c>
      <c r="BF180" s="112" t="str">
        <f>ifs(BE180&lt;='Range Tables'!$G$95,'Range Tables'!$B$95,BE180&lt;='Range Tables'!$G$96,'Range Tables'!$B$96,BE180&lt;='Range Tables'!$G$97,'Range Tables'!$B$97,BE180&lt;='Range Tables'!$G$98,'Range Tables'!$B$98,BE180&lt;='Range Tables'!$G$99,'Range Tables'!$B$99,BE180&lt;='Range Tables'!$G$100,'Range Tables'!$B$100,BE180&lt;='Range Tables'!$G$101,'Range Tables'!$B$101,BE180&lt;='Range Tables'!$G$102,'Range Tables'!$B$102,BE180&lt;='Range Tables'!$G$103,'Range Tables'!$B$103)</f>
        <v>Jammu</v>
      </c>
      <c r="BG180" s="112">
        <v>0.8759806333344266</v>
      </c>
      <c r="BH180" s="113" t="str">
        <f>ifs(BG180&lt;='Range Tables'!$G$112,'Range Tables'!$B$112,BG180&lt;='Range Tables'!$G$113,'Range Tables'!$B$113,BG180&lt;='Range Tables'!$G$114,'Range Tables'!$B$114)</f>
        <v>1-5</v>
      </c>
      <c r="BI180" s="117">
        <v>0.16738465907615263</v>
      </c>
      <c r="BJ180" s="113" t="str">
        <f>ifs(BI180&lt;='Range Tables'!$G$118,'Range Tables'!$B$118,BI180&lt;='Range Tables'!$G$119,'Range Tables'!$B$119)</f>
        <v>Valid</v>
      </c>
    </row>
    <row r="181">
      <c r="A181" s="85">
        <v>178.0</v>
      </c>
      <c r="B181" s="112">
        <v>0.6217508832632977</v>
      </c>
      <c r="C181" s="113" t="str">
        <f>ifs(B181&lt;='Range Tables'!$G$54,'Range Tables'!$B$54,B181&lt;='Range Tables'!$G$55,'Range Tables'!$B$55,B181&lt;='Range Tables'!$G$56,'Range Tables'!$B$56,B181&lt;='Range Tables'!$G$57,'Range Tables'!$B$57,B181&lt;='Range Tables'!$G$58,'Range Tables'!$B$58,B181&lt;='Range Tables'!$G$59,'Range Tables'!$B$59,B181&lt;='Range Tables'!$G$60,'Range Tables'!$B$60,B181&lt;='Range Tables'!$G$61,'Range Tables'!$B$61,B181&lt;='Range Tables'!$G$63,'Range Tables'!$B$63,B181&lt;='Range Tables'!$G$64,'Range Tables'!$B$64,B181&lt;='Range Tables'!$G$66,'Range Tables'!$B$66)</f>
        <v>60 - 90</v>
      </c>
      <c r="D181" s="113">
        <f>IFERROR(__xludf.DUMMYFUNCTION("SPLIT(C181,""-"")"),60.0)</f>
        <v>60</v>
      </c>
      <c r="E181" s="113">
        <f>IFERROR(__xludf.DUMMYFUNCTION("""COMPUTED_VALUE"""),90.0)</f>
        <v>90</v>
      </c>
      <c r="F181" s="114">
        <f t="shared" si="40"/>
        <v>78.6525265</v>
      </c>
      <c r="G181" s="112">
        <v>0.8567962260183906</v>
      </c>
      <c r="H181" s="113" t="str">
        <f>ifs(G181&lt;='Range Tables'!$G$86,'Range Tables'!$B$86,G181&lt;='Range Tables'!$G$87,'Range Tables'!$B$87,G181&lt;='Range Tables'!$G$88,'Range Tables'!$B$88,G181&lt;='Range Tables'!$G$89,'Range Tables'!$B$89,G181&lt;='Range Tables'!$G$90,'Range Tables'!$B$90,G181&lt;='Range Tables'!$G$91,'Range Tables'!$B$91)</f>
        <v>Auto</v>
      </c>
      <c r="I181" s="112">
        <v>0.5503636954696394</v>
      </c>
      <c r="J181" s="113" t="str">
        <f>IFS(
  H181="Car", IF(I181&lt;='Range Tables'!$G$19, 'Range Tables'!$B$19, 'Range Tables'!$B$20), 
  H181="Bike", IF(I181&lt;='Range Tables'!$G$25, 'Range Tables'!$B$25, 'Range Tables'!$B$26), 
  H181="Scooter", IF(I181&lt;='Range Tables'!$G$31, 'Range Tables'!$B$31, 'Range Tables'!$B$32), 
  H181="Auto", IF(I181&lt;='Range Tables'!$G$37, 'Range Tables'!$B$37, 'Range Tables'!$B$38), 
  H181="Carriers*", IF(I181&lt;='Range Tables'!$G$43, 'Range Tables'!$B$43, 'Range Tables'!$B$44), 
  H181="Van*", IF(I181&lt;='Range Tables'!$G$50, 'Range Tables'!$B$50, 'Range Tables'!$B$49)
)</f>
        <v>Petrol</v>
      </c>
      <c r="K181" s="112">
        <v>0.4158548833505564</v>
      </c>
      <c r="L181" s="113">
        <f>if(J181="Petrol",ifs(K181&lt;='Range Tables'!$G$5,'Range Tables'!$B$5,K181&lt;='Range Tables'!$G$6,'Range Tables'!$B$6,K181&lt;='Range Tables'!$G$7,'Range Tables'!$B$7),ifs(K181&lt;='Range Tables'!$G$13,'Range Tables'!$B$13,K181&lt;='Range Tables'!$G$14,'Range Tables'!$B$14))</f>
        <v>2</v>
      </c>
      <c r="M181" s="112">
        <v>0.9207677733457881</v>
      </c>
      <c r="N181" s="113" t="str">
        <f>ifs(H181="Car",ifs(M181&lt;='Range Tables'!$G$125,'Range Tables'!$B$125,M181&lt;='Range Tables'!$G$126,'Range Tables'!$B$126,M181&lt;='Range Tables'!$G$127,'Range Tables'!$B$127,M181&lt;='Range Tables'!$G$128,'Range Tables'!$B$128,M181&lt;='Range Tables'!$G$129,'Range Tables'!$B$129,'Range Tables'!$G$131,'Range Tables'!$B$131),H181="Bike",ifs(M181&lt;='Range Tables'!$G$136,'Range Tables'!$B$136,M181&lt;='Range Tables'!$G$137,'Range Tables'!$B$137,M181&lt;='Range Tables'!$G$138,'Range Tables'!$B$138,M181&lt;='Range Tables'!$G$142,'Range Tables'!$B$142),H181="Scooter",ifs(M181&lt;='Range Tables'!$G$148,'Range Tables'!$B$148,M181&lt;='Range Tables'!$G$149,'Range Tables'!$B$149,M181&lt;='Range Tables'!$G$150,'Range Tables'!$B$150,M181&lt;='Range Tables'!$G$151,'Range Tables'!$B$151),H181="Auto",ifs(M181&lt;='Range Tables'!$G$161,'Range Tables'!$B$161,M181&lt;='Range Tables'!$G$162,'Range Tables'!$B$162,M181&lt;='Range Tables'!$G$163,'Range Tables'!$B$163,M181&lt;='Range Tables'!$G$164,'Range Tables'!$B$164),H181="Carriers*",ifs(M181&lt;='Range Tables'!$G$173,'Range Tables'!$B$173,M181&lt;='Range Tables'!$G$174,'Range Tables'!$B$174,M181&lt;='Range Tables'!$G$175,'Range Tables'!$B$175,M181&lt;='Range Tables'!$G$176,'Range Tables'!$B$176,M181&lt;='Range Tables'!$G$177,'Range Tables'!$B$177,M181&lt;='Range Tables'!$G$179,'Range Tables'!$B$179),H181="Van*",ifs(M181&lt;='Range Tables'!$G$186,'Range Tables'!$B$186))</f>
        <v>240 - 300</v>
      </c>
      <c r="O181" s="113">
        <f>IFERROR(__xludf.DUMMYFUNCTION("SPLIT(N181,""-"")"),240.0)</f>
        <v>240</v>
      </c>
      <c r="P181" s="113">
        <f>IFERROR(__xludf.DUMMYFUNCTION("""COMPUTED_VALUE"""),300.0)</f>
        <v>300</v>
      </c>
      <c r="Q181" s="114">
        <f t="shared" si="2"/>
        <v>295.2460664</v>
      </c>
      <c r="R181" s="115">
        <f t="shared" si="3"/>
        <v>0.1707535164</v>
      </c>
      <c r="S181" s="114">
        <f t="shared" si="39"/>
        <v>14753.10381</v>
      </c>
      <c r="T181" s="113" t="str">
        <f t="shared" si="4"/>
        <v>no</v>
      </c>
      <c r="U181" s="115">
        <f t="shared" si="5"/>
        <v>0</v>
      </c>
      <c r="V181" s="113">
        <f t="shared" si="34"/>
        <v>0</v>
      </c>
      <c r="W181" s="115">
        <f t="shared" si="6"/>
        <v>0</v>
      </c>
      <c r="X181" s="85">
        <f t="shared" si="7"/>
        <v>0</v>
      </c>
      <c r="Y181" s="116">
        <f t="shared" si="8"/>
        <v>0</v>
      </c>
      <c r="Z181" s="113">
        <f t="shared" si="9"/>
        <v>0</v>
      </c>
      <c r="AA181" s="113" t="str">
        <f t="shared" si="10"/>
        <v>yes</v>
      </c>
      <c r="AB181" s="115">
        <f t="shared" si="11"/>
        <v>0.004007815721</v>
      </c>
      <c r="AC181" s="114">
        <f t="shared" si="35"/>
        <v>346.2752783</v>
      </c>
      <c r="AD181" s="116">
        <f t="shared" si="12"/>
        <v>0.1747613321</v>
      </c>
      <c r="AE181" s="114">
        <f t="shared" si="13"/>
        <v>15099.37909</v>
      </c>
      <c r="AF181" s="116">
        <f t="shared" si="14"/>
        <v>0.1781785319</v>
      </c>
      <c r="AG181" s="114">
        <f t="shared" si="15"/>
        <v>15394.62516</v>
      </c>
      <c r="AH181" s="113" t="str">
        <f t="shared" si="16"/>
        <v>no</v>
      </c>
      <c r="AI181" s="115">
        <f t="shared" si="17"/>
        <v>0</v>
      </c>
      <c r="AJ181" s="113">
        <f t="shared" si="36"/>
        <v>0</v>
      </c>
      <c r="AK181" s="116">
        <f t="shared" si="18"/>
        <v>0</v>
      </c>
      <c r="AL181" s="113">
        <f t="shared" si="19"/>
        <v>0</v>
      </c>
      <c r="AM181" s="115">
        <f t="shared" si="20"/>
        <v>0</v>
      </c>
      <c r="AN181" s="85">
        <f t="shared" si="21"/>
        <v>0</v>
      </c>
      <c r="AO181" s="113" t="str">
        <f t="shared" si="22"/>
        <v>no</v>
      </c>
      <c r="AP181" s="115">
        <f t="shared" si="23"/>
        <v>0</v>
      </c>
      <c r="AQ181" s="113">
        <f t="shared" si="37"/>
        <v>0</v>
      </c>
      <c r="AR181" s="116">
        <f t="shared" si="24"/>
        <v>0</v>
      </c>
      <c r="AS181" s="113">
        <f t="shared" si="25"/>
        <v>0</v>
      </c>
      <c r="AT181" s="116">
        <f t="shared" si="26"/>
        <v>0</v>
      </c>
      <c r="AU181" s="113">
        <f t="shared" si="27"/>
        <v>0</v>
      </c>
      <c r="AV181" s="113" t="str">
        <f t="shared" si="28"/>
        <v>no</v>
      </c>
      <c r="AW181" s="115">
        <f t="shared" si="29"/>
        <v>0</v>
      </c>
      <c r="AX181" s="85">
        <f t="shared" si="41"/>
        <v>0</v>
      </c>
      <c r="AY181" s="116">
        <f t="shared" si="30"/>
        <v>0</v>
      </c>
      <c r="AZ181" s="113">
        <f t="shared" si="31"/>
        <v>0</v>
      </c>
      <c r="BA181" s="116">
        <f t="shared" si="32"/>
        <v>0</v>
      </c>
      <c r="BB181" s="113">
        <f t="shared" si="33"/>
        <v>0</v>
      </c>
      <c r="BC181" s="112">
        <v>0.2734305651778688</v>
      </c>
      <c r="BD181" s="113" t="str">
        <f>ifs(BC181&lt;='Range Tables'!$G$81,'Range Tables'!$B$81,BC181&lt;='Range Tables'!$G$82,'Range Tables'!$B$82)</f>
        <v>Online*</v>
      </c>
      <c r="BE181" s="112">
        <v>0.9134201279378148</v>
      </c>
      <c r="BF181" s="112" t="str">
        <f>ifs(BE181&lt;='Range Tables'!$G$95,'Range Tables'!$B$95,BE181&lt;='Range Tables'!$G$96,'Range Tables'!$B$96,BE181&lt;='Range Tables'!$G$97,'Range Tables'!$B$97,BE181&lt;='Range Tables'!$G$98,'Range Tables'!$B$98,BE181&lt;='Range Tables'!$G$99,'Range Tables'!$B$99,BE181&lt;='Range Tables'!$G$100,'Range Tables'!$B$100,BE181&lt;='Range Tables'!$G$101,'Range Tables'!$B$101,BE181&lt;='Range Tables'!$G$102,'Range Tables'!$B$102,BE181&lt;='Range Tables'!$G$103,'Range Tables'!$B$103)</f>
        <v>Resai</v>
      </c>
      <c r="BG181" s="112">
        <v>0.2886312917883932</v>
      </c>
      <c r="BH181" s="113" t="str">
        <f>ifs(BG181&lt;='Range Tables'!$G$112,'Range Tables'!$B$112,BG181&lt;='Range Tables'!$G$113,'Range Tables'!$B$113,BG181&lt;='Range Tables'!$G$114,'Range Tables'!$B$114)</f>
        <v>0</v>
      </c>
      <c r="BI181" s="117">
        <v>0.2125063780819194</v>
      </c>
      <c r="BJ181" s="113" t="str">
        <f>ifs(BI181&lt;='Range Tables'!$G$118,'Range Tables'!$B$118,BI181&lt;='Range Tables'!$G$119,'Range Tables'!$B$119)</f>
        <v>Valid</v>
      </c>
    </row>
    <row r="182">
      <c r="A182" s="85">
        <v>179.0</v>
      </c>
      <c r="B182" s="112">
        <v>0.4722677418134211</v>
      </c>
      <c r="C182" s="113" t="str">
        <f>ifs(B182&lt;='Range Tables'!$G$54,'Range Tables'!$B$54,B182&lt;='Range Tables'!$G$55,'Range Tables'!$B$55,B182&lt;='Range Tables'!$G$56,'Range Tables'!$B$56,B182&lt;='Range Tables'!$G$57,'Range Tables'!$B$57,B182&lt;='Range Tables'!$G$58,'Range Tables'!$B$58,B182&lt;='Range Tables'!$G$59,'Range Tables'!$B$59,B182&lt;='Range Tables'!$G$60,'Range Tables'!$B$60,B182&lt;='Range Tables'!$G$61,'Range Tables'!$B$61,B182&lt;='Range Tables'!$G$63,'Range Tables'!$B$63,B182&lt;='Range Tables'!$G$64,'Range Tables'!$B$64,B182&lt;='Range Tables'!$G$66,'Range Tables'!$B$66)</f>
        <v>30 - 60 </v>
      </c>
      <c r="D182" s="113">
        <f>IFERROR(__xludf.DUMMYFUNCTION("SPLIT(C182,""-"")"),30.0)</f>
        <v>30</v>
      </c>
      <c r="E182" s="113">
        <f>IFERROR(__xludf.DUMMYFUNCTION("""COMPUTED_VALUE"""),60.0)</f>
        <v>60</v>
      </c>
      <c r="F182" s="114">
        <f t="shared" si="40"/>
        <v>44.16803225</v>
      </c>
      <c r="G182" s="112">
        <v>0.189841570730914</v>
      </c>
      <c r="H182" s="113" t="str">
        <f>ifs(G182&lt;='Range Tables'!$G$86,'Range Tables'!$B$86,G182&lt;='Range Tables'!$G$87,'Range Tables'!$B$87,G182&lt;='Range Tables'!$G$88,'Range Tables'!$B$88,G182&lt;='Range Tables'!$G$89,'Range Tables'!$B$89,G182&lt;='Range Tables'!$G$90,'Range Tables'!$B$90,G182&lt;='Range Tables'!$G$91,'Range Tables'!$B$91)</f>
        <v>Car</v>
      </c>
      <c r="I182" s="112">
        <v>0.22194914203550353</v>
      </c>
      <c r="J182" s="113" t="str">
        <f>IFS(
  H182="Car", IF(I182&lt;='Range Tables'!$G$19, 'Range Tables'!$B$19, 'Range Tables'!$B$20), 
  H182="Bike", IF(I182&lt;='Range Tables'!$G$25, 'Range Tables'!$B$25, 'Range Tables'!$B$26), 
  H182="Scooter", IF(I182&lt;='Range Tables'!$G$31, 'Range Tables'!$B$31, 'Range Tables'!$B$32), 
  H182="Auto", IF(I182&lt;='Range Tables'!$G$37, 'Range Tables'!$B$37, 'Range Tables'!$B$38), 
  H182="Carriers*", IF(I182&lt;='Range Tables'!$G$43, 'Range Tables'!$B$43, 'Range Tables'!$B$44), 
  H182="Van*", IF(I182&lt;='Range Tables'!$G$50, 'Range Tables'!$B$50, 'Range Tables'!$B$49)
)</f>
        <v>Petrol</v>
      </c>
      <c r="K182" s="112">
        <v>0.7308266494999569</v>
      </c>
      <c r="L182" s="113">
        <f>if(J182="Petrol",ifs(K182&lt;='Range Tables'!$G$5,'Range Tables'!$B$5,K182&lt;='Range Tables'!$G$6,'Range Tables'!$B$6,K182&lt;='Range Tables'!$G$7,'Range Tables'!$B$7),ifs(K182&lt;='Range Tables'!$G$13,'Range Tables'!$B$13,K182&lt;='Range Tables'!$G$14,'Range Tables'!$B$14))</f>
        <v>3</v>
      </c>
      <c r="M182" s="112">
        <v>0.36256556514933314</v>
      </c>
      <c r="N182" s="113" t="str">
        <f>ifs(H182="Car",ifs(M182&lt;='Range Tables'!$G$125,'Range Tables'!$B$125,M182&lt;='Range Tables'!$G$126,'Range Tables'!$B$126,M182&lt;='Range Tables'!$G$127,'Range Tables'!$B$127,M182&lt;='Range Tables'!$G$128,'Range Tables'!$B$128,M182&lt;='Range Tables'!$G$129,'Range Tables'!$B$129,'Range Tables'!$G$131,'Range Tables'!$B$131),H182="Bike",ifs(M182&lt;='Range Tables'!$G$136,'Range Tables'!$B$136,M182&lt;='Range Tables'!$G$137,'Range Tables'!$B$137,M182&lt;='Range Tables'!$G$138,'Range Tables'!$B$138,M182&lt;='Range Tables'!$G$142,'Range Tables'!$B$142),H182="Scooter",ifs(M182&lt;='Range Tables'!$G$148,'Range Tables'!$B$148,M182&lt;='Range Tables'!$G$149,'Range Tables'!$B$149,M182&lt;='Range Tables'!$G$150,'Range Tables'!$B$150,M182&lt;='Range Tables'!$G$151,'Range Tables'!$B$151),H182="Auto",ifs(M182&lt;='Range Tables'!$G$161,'Range Tables'!$B$161,M182&lt;='Range Tables'!$G$162,'Range Tables'!$B$162,M182&lt;='Range Tables'!$G$163,'Range Tables'!$B$163,M182&lt;='Range Tables'!$G$164,'Range Tables'!$B$164),H182="Carriers*",ifs(M182&lt;='Range Tables'!$G$173,'Range Tables'!$B$173,M182&lt;='Range Tables'!$G$174,'Range Tables'!$B$174,M182&lt;='Range Tables'!$G$175,'Range Tables'!$B$175,M182&lt;='Range Tables'!$G$176,'Range Tables'!$B$176,M182&lt;='Range Tables'!$G$177,'Range Tables'!$B$177,M182&lt;='Range Tables'!$G$179,'Range Tables'!$B$179),H182="Van*",ifs(M182&lt;='Range Tables'!$G$186,'Range Tables'!$B$186))</f>
        <v>60 - 120</v>
      </c>
      <c r="O182" s="113">
        <f>IFERROR(__xludf.DUMMYFUNCTION("SPLIT(N182,""-"")"),60.0)</f>
        <v>60</v>
      </c>
      <c r="P182" s="113">
        <f>IFERROR(__xludf.DUMMYFUNCTION("""COMPUTED_VALUE"""),120.0)</f>
        <v>120</v>
      </c>
      <c r="Q182" s="114">
        <f t="shared" si="2"/>
        <v>81.75393391</v>
      </c>
      <c r="R182" s="115">
        <f t="shared" si="3"/>
        <v>0.1716638465</v>
      </c>
      <c r="S182" s="114">
        <f t="shared" si="39"/>
        <v>14831.75634</v>
      </c>
      <c r="T182" s="113" t="str">
        <f t="shared" si="4"/>
        <v>no</v>
      </c>
      <c r="U182" s="115">
        <f t="shared" si="5"/>
        <v>0</v>
      </c>
      <c r="V182" s="113">
        <f t="shared" si="34"/>
        <v>0</v>
      </c>
      <c r="W182" s="115">
        <f t="shared" si="6"/>
        <v>0</v>
      </c>
      <c r="X182" s="85">
        <f t="shared" si="7"/>
        <v>0</v>
      </c>
      <c r="Y182" s="116">
        <f t="shared" si="8"/>
        <v>0</v>
      </c>
      <c r="Z182" s="113">
        <f t="shared" si="9"/>
        <v>0</v>
      </c>
      <c r="AA182" s="113" t="str">
        <f t="shared" si="10"/>
        <v>no</v>
      </c>
      <c r="AB182" s="115">
        <f t="shared" si="11"/>
        <v>0</v>
      </c>
      <c r="AC182" s="113">
        <f t="shared" si="35"/>
        <v>0</v>
      </c>
      <c r="AD182" s="116">
        <f t="shared" si="12"/>
        <v>0</v>
      </c>
      <c r="AE182" s="113">
        <f t="shared" si="13"/>
        <v>0</v>
      </c>
      <c r="AF182" s="116">
        <f t="shared" si="14"/>
        <v>0</v>
      </c>
      <c r="AG182" s="113">
        <f t="shared" si="15"/>
        <v>0</v>
      </c>
      <c r="AH182" s="113" t="str">
        <f t="shared" si="16"/>
        <v>yes</v>
      </c>
      <c r="AI182" s="115">
        <f t="shared" si="17"/>
        <v>0</v>
      </c>
      <c r="AJ182" s="113">
        <f t="shared" si="36"/>
        <v>0</v>
      </c>
      <c r="AK182" s="116">
        <f t="shared" si="18"/>
        <v>0.1716638465</v>
      </c>
      <c r="AL182" s="114">
        <f t="shared" si="19"/>
        <v>14831.75634</v>
      </c>
      <c r="AM182" s="115">
        <f t="shared" si="20"/>
        <v>0.1726100726</v>
      </c>
      <c r="AN182" s="118">
        <f t="shared" si="21"/>
        <v>14913.51027</v>
      </c>
      <c r="AO182" s="113" t="str">
        <f t="shared" si="22"/>
        <v>no</v>
      </c>
      <c r="AP182" s="115">
        <f t="shared" si="23"/>
        <v>0</v>
      </c>
      <c r="AQ182" s="113">
        <f t="shared" si="37"/>
        <v>0</v>
      </c>
      <c r="AR182" s="116">
        <f t="shared" si="24"/>
        <v>0</v>
      </c>
      <c r="AS182" s="113">
        <f t="shared" si="25"/>
        <v>0</v>
      </c>
      <c r="AT182" s="116">
        <f t="shared" si="26"/>
        <v>0</v>
      </c>
      <c r="AU182" s="113">
        <f t="shared" si="27"/>
        <v>0</v>
      </c>
      <c r="AV182" s="113" t="str">
        <f t="shared" si="28"/>
        <v>no</v>
      </c>
      <c r="AW182" s="115">
        <f t="shared" si="29"/>
        <v>0</v>
      </c>
      <c r="AX182" s="85">
        <f t="shared" si="41"/>
        <v>0</v>
      </c>
      <c r="AY182" s="116">
        <f t="shared" si="30"/>
        <v>0</v>
      </c>
      <c r="AZ182" s="113">
        <f t="shared" si="31"/>
        <v>0</v>
      </c>
      <c r="BA182" s="116">
        <f t="shared" si="32"/>
        <v>0</v>
      </c>
      <c r="BB182" s="113">
        <f t="shared" si="33"/>
        <v>0</v>
      </c>
      <c r="BC182" s="112">
        <v>0.2588683749043449</v>
      </c>
      <c r="BD182" s="113" t="str">
        <f>ifs(BC182&lt;='Range Tables'!$G$81,'Range Tables'!$B$81,BC182&lt;='Range Tables'!$G$82,'Range Tables'!$B$82)</f>
        <v>Online*</v>
      </c>
      <c r="BE182" s="112">
        <v>0.4700411024026495</v>
      </c>
      <c r="BF182" s="112" t="str">
        <f>ifs(BE182&lt;='Range Tables'!$G$95,'Range Tables'!$B$95,BE182&lt;='Range Tables'!$G$96,'Range Tables'!$B$96,BE182&lt;='Range Tables'!$G$97,'Range Tables'!$B$97,BE182&lt;='Range Tables'!$G$98,'Range Tables'!$B$98,BE182&lt;='Range Tables'!$G$99,'Range Tables'!$B$99,BE182&lt;='Range Tables'!$G$100,'Range Tables'!$B$100,BE182&lt;='Range Tables'!$G$101,'Range Tables'!$B$101,BE182&lt;='Range Tables'!$G$102,'Range Tables'!$B$102,BE182&lt;='Range Tables'!$G$103,'Range Tables'!$B$103)</f>
        <v>Jammu</v>
      </c>
      <c r="BG182" s="112">
        <v>0.0758500982282202</v>
      </c>
      <c r="BH182" s="113" t="str">
        <f>ifs(BG182&lt;='Range Tables'!$G$112,'Range Tables'!$B$112,BG182&lt;='Range Tables'!$G$113,'Range Tables'!$B$113,BG182&lt;='Range Tables'!$G$114,'Range Tables'!$B$114)</f>
        <v>0</v>
      </c>
      <c r="BI182" s="117">
        <v>0.48099490062613537</v>
      </c>
      <c r="BJ182" s="113" t="str">
        <f>ifs(BI182&lt;='Range Tables'!$G$118,'Range Tables'!$B$118,BI182&lt;='Range Tables'!$G$119,'Range Tables'!$B$119)</f>
        <v>Valid</v>
      </c>
    </row>
    <row r="183">
      <c r="A183" s="85">
        <v>180.0</v>
      </c>
      <c r="B183" s="112">
        <v>0.1327983787234579</v>
      </c>
      <c r="C183" s="113" t="str">
        <f>ifs(B183&lt;='Range Tables'!$G$54,'Range Tables'!$B$54,B183&lt;='Range Tables'!$G$55,'Range Tables'!$B$55,B183&lt;='Range Tables'!$G$56,'Range Tables'!$B$56,B183&lt;='Range Tables'!$G$57,'Range Tables'!$B$57,B183&lt;='Range Tables'!$G$58,'Range Tables'!$B$58,B183&lt;='Range Tables'!$G$59,'Range Tables'!$B$59,B183&lt;='Range Tables'!$G$60,'Range Tables'!$B$60,B183&lt;='Range Tables'!$G$61,'Range Tables'!$B$61,B183&lt;='Range Tables'!$G$63,'Range Tables'!$B$63,B183&lt;='Range Tables'!$G$64,'Range Tables'!$B$64,B183&lt;='Range Tables'!$G$66,'Range Tables'!$B$66)</f>
        <v>0 - 30</v>
      </c>
      <c r="D183" s="113">
        <f>IFERROR(__xludf.DUMMYFUNCTION("SPLIT(C183,""-"")"),0.0)</f>
        <v>0</v>
      </c>
      <c r="E183" s="113">
        <f>IFERROR(__xludf.DUMMYFUNCTION("""COMPUTED_VALUE"""),30.0)</f>
        <v>30</v>
      </c>
      <c r="F183" s="114">
        <f t="shared" si="40"/>
        <v>3.983951362</v>
      </c>
      <c r="G183" s="112">
        <v>0.17085729935864113</v>
      </c>
      <c r="H183" s="113" t="str">
        <f>ifs(G183&lt;='Range Tables'!$G$86,'Range Tables'!$B$86,G183&lt;='Range Tables'!$G$87,'Range Tables'!$B$87,G183&lt;='Range Tables'!$G$88,'Range Tables'!$B$88,G183&lt;='Range Tables'!$G$89,'Range Tables'!$B$89,G183&lt;='Range Tables'!$G$90,'Range Tables'!$B$90,G183&lt;='Range Tables'!$G$91,'Range Tables'!$B$91)</f>
        <v>Car</v>
      </c>
      <c r="I183" s="112">
        <v>0.12345478986619085</v>
      </c>
      <c r="J183" s="113" t="str">
        <f>IFS(
  H183="Car", IF(I183&lt;='Range Tables'!$G$19, 'Range Tables'!$B$19, 'Range Tables'!$B$20), 
  H183="Bike", IF(I183&lt;='Range Tables'!$G$25, 'Range Tables'!$B$25, 'Range Tables'!$B$26), 
  H183="Scooter", IF(I183&lt;='Range Tables'!$G$31, 'Range Tables'!$B$31, 'Range Tables'!$B$32), 
  H183="Auto", IF(I183&lt;='Range Tables'!$G$37, 'Range Tables'!$B$37, 'Range Tables'!$B$38), 
  H183="Carriers*", IF(I183&lt;='Range Tables'!$G$43, 'Range Tables'!$B$43, 'Range Tables'!$B$44), 
  H183="Van*", IF(I183&lt;='Range Tables'!$G$50, 'Range Tables'!$B$50, 'Range Tables'!$B$49)
)</f>
        <v>Petrol</v>
      </c>
      <c r="K183" s="112">
        <v>0.25119584369702974</v>
      </c>
      <c r="L183" s="113">
        <f>if(J183="Petrol",ifs(K183&lt;='Range Tables'!$G$5,'Range Tables'!$B$5,K183&lt;='Range Tables'!$G$6,'Range Tables'!$B$6,K183&lt;='Range Tables'!$G$7,'Range Tables'!$B$7),ifs(K183&lt;='Range Tables'!$G$13,'Range Tables'!$B$13,K183&lt;='Range Tables'!$G$14,'Range Tables'!$B$14))</f>
        <v>2</v>
      </c>
      <c r="M183" s="112">
        <v>0.9607309073842502</v>
      </c>
      <c r="N183" s="113" t="str">
        <f>ifs(H183="Car",ifs(M183&lt;='Range Tables'!$G$125,'Range Tables'!$B$125,M183&lt;='Range Tables'!$G$126,'Range Tables'!$B$126,M183&lt;='Range Tables'!$G$127,'Range Tables'!$B$127,M183&lt;='Range Tables'!$G$128,'Range Tables'!$B$128,M183&lt;='Range Tables'!$G$129,'Range Tables'!$B$129,'Range Tables'!$G$131,'Range Tables'!$B$131),H183="Bike",ifs(M183&lt;='Range Tables'!$G$136,'Range Tables'!$B$136,M183&lt;='Range Tables'!$G$137,'Range Tables'!$B$137,M183&lt;='Range Tables'!$G$138,'Range Tables'!$B$138,M183&lt;='Range Tables'!$G$142,'Range Tables'!$B$142),H183="Scooter",ifs(M183&lt;='Range Tables'!$G$148,'Range Tables'!$B$148,M183&lt;='Range Tables'!$G$149,'Range Tables'!$B$149,M183&lt;='Range Tables'!$G$150,'Range Tables'!$B$150,M183&lt;='Range Tables'!$G$151,'Range Tables'!$B$151),H183="Auto",ifs(M183&lt;='Range Tables'!$G$161,'Range Tables'!$B$161,M183&lt;='Range Tables'!$G$162,'Range Tables'!$B$162,M183&lt;='Range Tables'!$G$163,'Range Tables'!$B$163,M183&lt;='Range Tables'!$G$164,'Range Tables'!$B$164),H183="Carriers*",ifs(M183&lt;='Range Tables'!$G$173,'Range Tables'!$B$173,M183&lt;='Range Tables'!$G$174,'Range Tables'!$B$174,M183&lt;='Range Tables'!$G$175,'Range Tables'!$B$175,M183&lt;='Range Tables'!$G$176,'Range Tables'!$B$176,M183&lt;='Range Tables'!$G$177,'Range Tables'!$B$177,M183&lt;='Range Tables'!$G$179,'Range Tables'!$B$179),H183="Van*",ifs(M183&lt;='Range Tables'!$G$186,'Range Tables'!$B$186))</f>
        <v>300 - 360</v>
      </c>
      <c r="O183" s="113">
        <f>IFERROR(__xludf.DUMMYFUNCTION("SPLIT(N183,""-"")"),300.0)</f>
        <v>300</v>
      </c>
      <c r="P183" s="113">
        <f>IFERROR(__xludf.DUMMYFUNCTION("""COMPUTED_VALUE"""),360.0)</f>
        <v>360</v>
      </c>
      <c r="Q183" s="114">
        <f t="shared" si="2"/>
        <v>357.6438544</v>
      </c>
      <c r="R183" s="115">
        <f t="shared" si="3"/>
        <v>0.1721750506</v>
      </c>
      <c r="S183" s="114">
        <f t="shared" si="39"/>
        <v>14875.92437</v>
      </c>
      <c r="T183" s="113" t="str">
        <f t="shared" si="4"/>
        <v>no</v>
      </c>
      <c r="U183" s="115">
        <f t="shared" si="5"/>
        <v>0</v>
      </c>
      <c r="V183" s="113">
        <f t="shared" si="34"/>
        <v>0</v>
      </c>
      <c r="W183" s="115">
        <f t="shared" si="6"/>
        <v>0</v>
      </c>
      <c r="X183" s="85">
        <f t="shared" si="7"/>
        <v>0</v>
      </c>
      <c r="Y183" s="116">
        <f t="shared" si="8"/>
        <v>0</v>
      </c>
      <c r="Z183" s="113">
        <f t="shared" si="9"/>
        <v>0</v>
      </c>
      <c r="AA183" s="113" t="str">
        <f t="shared" si="10"/>
        <v>yes</v>
      </c>
      <c r="AB183" s="115">
        <f t="shared" si="11"/>
        <v>0</v>
      </c>
      <c r="AC183" s="113">
        <f t="shared" si="35"/>
        <v>0</v>
      </c>
      <c r="AD183" s="116">
        <f t="shared" si="12"/>
        <v>0.1721750506</v>
      </c>
      <c r="AE183" s="114">
        <f t="shared" si="13"/>
        <v>14875.92437</v>
      </c>
      <c r="AF183" s="116">
        <f t="shared" si="14"/>
        <v>0.1763144471</v>
      </c>
      <c r="AG183" s="114">
        <f t="shared" si="15"/>
        <v>15233.56823</v>
      </c>
      <c r="AH183" s="113" t="str">
        <f t="shared" si="16"/>
        <v>no</v>
      </c>
      <c r="AI183" s="115">
        <f t="shared" si="17"/>
        <v>0</v>
      </c>
      <c r="AJ183" s="113">
        <f t="shared" si="36"/>
        <v>0</v>
      </c>
      <c r="AK183" s="116">
        <f t="shared" si="18"/>
        <v>0</v>
      </c>
      <c r="AL183" s="113">
        <f t="shared" si="19"/>
        <v>0</v>
      </c>
      <c r="AM183" s="115">
        <f t="shared" si="20"/>
        <v>0</v>
      </c>
      <c r="AN183" s="85">
        <f t="shared" si="21"/>
        <v>0</v>
      </c>
      <c r="AO183" s="113" t="str">
        <f t="shared" si="22"/>
        <v>no</v>
      </c>
      <c r="AP183" s="115">
        <f t="shared" si="23"/>
        <v>0</v>
      </c>
      <c r="AQ183" s="113">
        <f t="shared" si="37"/>
        <v>0</v>
      </c>
      <c r="AR183" s="116">
        <f t="shared" si="24"/>
        <v>0</v>
      </c>
      <c r="AS183" s="113">
        <f t="shared" si="25"/>
        <v>0</v>
      </c>
      <c r="AT183" s="116">
        <f t="shared" si="26"/>
        <v>0</v>
      </c>
      <c r="AU183" s="113">
        <f t="shared" si="27"/>
        <v>0</v>
      </c>
      <c r="AV183" s="113" t="str">
        <f t="shared" si="28"/>
        <v>no</v>
      </c>
      <c r="AW183" s="115">
        <f t="shared" si="29"/>
        <v>0</v>
      </c>
      <c r="AX183" s="85">
        <f t="shared" si="41"/>
        <v>0</v>
      </c>
      <c r="AY183" s="116">
        <f t="shared" si="30"/>
        <v>0</v>
      </c>
      <c r="AZ183" s="113">
        <f t="shared" si="31"/>
        <v>0</v>
      </c>
      <c r="BA183" s="116">
        <f t="shared" si="32"/>
        <v>0</v>
      </c>
      <c r="BB183" s="113">
        <f t="shared" si="33"/>
        <v>0</v>
      </c>
      <c r="BC183" s="112">
        <v>0.4626759636836535</v>
      </c>
      <c r="BD183" s="113" t="str">
        <f>ifs(BC183&lt;='Range Tables'!$G$81,'Range Tables'!$B$81,BC183&lt;='Range Tables'!$G$82,'Range Tables'!$B$82)</f>
        <v>Offline*</v>
      </c>
      <c r="BE183" s="112">
        <v>0.35887375101075714</v>
      </c>
      <c r="BF183" s="112" t="str">
        <f>ifs(BE183&lt;='Range Tables'!$G$95,'Range Tables'!$B$95,BE183&lt;='Range Tables'!$G$96,'Range Tables'!$B$96,BE183&lt;='Range Tables'!$G$97,'Range Tables'!$B$97,BE183&lt;='Range Tables'!$G$98,'Range Tables'!$B$98,BE183&lt;='Range Tables'!$G$99,'Range Tables'!$B$99,BE183&lt;='Range Tables'!$G$100,'Range Tables'!$B$100,BE183&lt;='Range Tables'!$G$101,'Range Tables'!$B$101,BE183&lt;='Range Tables'!$G$102,'Range Tables'!$B$102,BE183&lt;='Range Tables'!$G$103,'Range Tables'!$B$103)</f>
        <v>Jammu</v>
      </c>
      <c r="BG183" s="112">
        <v>0.35484682875559215</v>
      </c>
      <c r="BH183" s="113" t="str">
        <f>ifs(BG183&lt;='Range Tables'!$G$112,'Range Tables'!$B$112,BG183&lt;='Range Tables'!$G$113,'Range Tables'!$B$113,BG183&lt;='Range Tables'!$G$114,'Range Tables'!$B$114)</f>
        <v>0</v>
      </c>
      <c r="BI183" s="117">
        <v>0.02903038733021801</v>
      </c>
      <c r="BJ183" s="113" t="str">
        <f>ifs(BI183&lt;='Range Tables'!$G$118,'Range Tables'!$B$118,BI183&lt;='Range Tables'!$G$119,'Range Tables'!$B$119)</f>
        <v>Valid</v>
      </c>
    </row>
    <row r="184">
      <c r="A184" s="85">
        <v>181.0</v>
      </c>
      <c r="B184" s="112">
        <v>0.6158250521225604</v>
      </c>
      <c r="C184" s="113" t="str">
        <f>ifs(B184&lt;='Range Tables'!$G$54,'Range Tables'!$B$54,B184&lt;='Range Tables'!$G$55,'Range Tables'!$B$55,B184&lt;='Range Tables'!$G$56,'Range Tables'!$B$56,B184&lt;='Range Tables'!$G$57,'Range Tables'!$B$57,B184&lt;='Range Tables'!$G$58,'Range Tables'!$B$58,B184&lt;='Range Tables'!$G$59,'Range Tables'!$B$59,B184&lt;='Range Tables'!$G$60,'Range Tables'!$B$60,B184&lt;='Range Tables'!$G$61,'Range Tables'!$B$61,B184&lt;='Range Tables'!$G$63,'Range Tables'!$B$63,B184&lt;='Range Tables'!$G$64,'Range Tables'!$B$64,B184&lt;='Range Tables'!$G$66,'Range Tables'!$B$66)</f>
        <v>60 - 90</v>
      </c>
      <c r="D184" s="113">
        <f>IFERROR(__xludf.DUMMYFUNCTION("SPLIT(C184,""-"")"),60.0)</f>
        <v>60</v>
      </c>
      <c r="E184" s="113">
        <f>IFERROR(__xludf.DUMMYFUNCTION("""COMPUTED_VALUE"""),90.0)</f>
        <v>90</v>
      </c>
      <c r="F184" s="114">
        <f t="shared" si="40"/>
        <v>78.47475156</v>
      </c>
      <c r="G184" s="112">
        <v>0.6005902584947458</v>
      </c>
      <c r="H184" s="113" t="str">
        <f>ifs(G184&lt;='Range Tables'!$G$86,'Range Tables'!$B$86,G184&lt;='Range Tables'!$G$87,'Range Tables'!$B$87,G184&lt;='Range Tables'!$G$88,'Range Tables'!$B$88,G184&lt;='Range Tables'!$G$89,'Range Tables'!$B$89,G184&lt;='Range Tables'!$G$90,'Range Tables'!$B$90,G184&lt;='Range Tables'!$G$91,'Range Tables'!$B$91)</f>
        <v>Bike</v>
      </c>
      <c r="I184" s="112">
        <v>0.9057899518168983</v>
      </c>
      <c r="J184" s="113" t="str">
        <f>IFS(
  H184="Car", IF(I184&lt;='Range Tables'!$G$19, 'Range Tables'!$B$19, 'Range Tables'!$B$20), 
  H184="Bike", IF(I184&lt;='Range Tables'!$G$25, 'Range Tables'!$B$25, 'Range Tables'!$B$26), 
  H184="Scooter", IF(I184&lt;='Range Tables'!$G$31, 'Range Tables'!$B$31, 'Range Tables'!$B$32), 
  H184="Auto", IF(I184&lt;='Range Tables'!$G$37, 'Range Tables'!$B$37, 'Range Tables'!$B$38), 
  H184="Carriers*", IF(I184&lt;='Range Tables'!$G$43, 'Range Tables'!$B$43, 'Range Tables'!$B$44), 
  H184="Van*", IF(I184&lt;='Range Tables'!$G$50, 'Range Tables'!$B$50, 'Range Tables'!$B$49)
)</f>
        <v>Petrol</v>
      </c>
      <c r="K184" s="112">
        <v>0.1747419954661925</v>
      </c>
      <c r="L184" s="113">
        <f>if(J184="Petrol",ifs(K184&lt;='Range Tables'!$G$5,'Range Tables'!$B$5,K184&lt;='Range Tables'!$G$6,'Range Tables'!$B$6,K184&lt;='Range Tables'!$G$7,'Range Tables'!$B$7),ifs(K184&lt;='Range Tables'!$G$13,'Range Tables'!$B$13,K184&lt;='Range Tables'!$G$14,'Range Tables'!$B$14))</f>
        <v>2</v>
      </c>
      <c r="M184" s="112">
        <v>0.7123701772606705</v>
      </c>
      <c r="N184" s="113" t="str">
        <f>ifs(H184="Car",ifs(M184&lt;='Range Tables'!$G$125,'Range Tables'!$B$125,M184&lt;='Range Tables'!$G$126,'Range Tables'!$B$126,M184&lt;='Range Tables'!$G$127,'Range Tables'!$B$127,M184&lt;='Range Tables'!$G$128,'Range Tables'!$B$128,M184&lt;='Range Tables'!$G$129,'Range Tables'!$B$129,'Range Tables'!$G$131,'Range Tables'!$B$131),H184="Bike",ifs(M184&lt;='Range Tables'!$G$136,'Range Tables'!$B$136,M184&lt;='Range Tables'!$G$137,'Range Tables'!$B$137,M184&lt;='Range Tables'!$G$138,'Range Tables'!$B$138,M184&lt;='Range Tables'!$G$142,'Range Tables'!$B$142),H184="Scooter",ifs(M184&lt;='Range Tables'!$G$148,'Range Tables'!$B$148,M184&lt;='Range Tables'!$G$149,'Range Tables'!$B$149,M184&lt;='Range Tables'!$G$150,'Range Tables'!$B$150,M184&lt;='Range Tables'!$G$151,'Range Tables'!$B$151),H184="Auto",ifs(M184&lt;='Range Tables'!$G$161,'Range Tables'!$B$161,M184&lt;='Range Tables'!$G$162,'Range Tables'!$B$162,M184&lt;='Range Tables'!$G$163,'Range Tables'!$B$163,M184&lt;='Range Tables'!$G$164,'Range Tables'!$B$164),H184="Carriers*",ifs(M184&lt;='Range Tables'!$G$173,'Range Tables'!$B$173,M184&lt;='Range Tables'!$G$174,'Range Tables'!$B$174,M184&lt;='Range Tables'!$G$175,'Range Tables'!$B$175,M184&lt;='Range Tables'!$G$176,'Range Tables'!$B$176,M184&lt;='Range Tables'!$G$177,'Range Tables'!$B$177,M184&lt;='Range Tables'!$G$179,'Range Tables'!$B$179),H184="Van*",ifs(M184&lt;='Range Tables'!$G$186,'Range Tables'!$B$186))</f>
        <v>120 - 180</v>
      </c>
      <c r="O184" s="113">
        <f>IFERROR(__xludf.DUMMYFUNCTION("SPLIT(N184,""-"")"),120.0)</f>
        <v>120</v>
      </c>
      <c r="P184" s="113">
        <f>IFERROR(__xludf.DUMMYFUNCTION("""COMPUTED_VALUE"""),180.0)</f>
        <v>180</v>
      </c>
      <c r="Q184" s="114">
        <f t="shared" si="2"/>
        <v>162.7422106</v>
      </c>
      <c r="R184" s="115">
        <f t="shared" si="3"/>
        <v>0.1722211612</v>
      </c>
      <c r="S184" s="114">
        <f t="shared" si="39"/>
        <v>14879.90832</v>
      </c>
      <c r="T184" s="113" t="str">
        <f t="shared" si="4"/>
        <v>no</v>
      </c>
      <c r="U184" s="115">
        <f t="shared" si="5"/>
        <v>0</v>
      </c>
      <c r="V184" s="113">
        <f t="shared" si="34"/>
        <v>0</v>
      </c>
      <c r="W184" s="115">
        <f t="shared" si="6"/>
        <v>0</v>
      </c>
      <c r="X184" s="85">
        <f t="shared" si="7"/>
        <v>0</v>
      </c>
      <c r="Y184" s="116">
        <f t="shared" si="8"/>
        <v>0</v>
      </c>
      <c r="Z184" s="113">
        <f t="shared" si="9"/>
        <v>0</v>
      </c>
      <c r="AA184" s="113" t="str">
        <f t="shared" si="10"/>
        <v>yes</v>
      </c>
      <c r="AB184" s="115">
        <f t="shared" si="11"/>
        <v>0.004093285915</v>
      </c>
      <c r="AC184" s="114">
        <f t="shared" si="35"/>
        <v>353.6599031</v>
      </c>
      <c r="AD184" s="116">
        <f t="shared" si="12"/>
        <v>0.1763144471</v>
      </c>
      <c r="AE184" s="114">
        <f t="shared" si="13"/>
        <v>15233.56823</v>
      </c>
      <c r="AF184" s="116">
        <f t="shared" si="14"/>
        <v>0.1781980375</v>
      </c>
      <c r="AG184" s="114">
        <f t="shared" si="15"/>
        <v>15396.31044</v>
      </c>
      <c r="AH184" s="113" t="str">
        <f t="shared" si="16"/>
        <v>no</v>
      </c>
      <c r="AI184" s="115">
        <f t="shared" si="17"/>
        <v>0</v>
      </c>
      <c r="AJ184" s="113">
        <f t="shared" si="36"/>
        <v>0</v>
      </c>
      <c r="AK184" s="116">
        <f t="shared" si="18"/>
        <v>0</v>
      </c>
      <c r="AL184" s="113">
        <f t="shared" si="19"/>
        <v>0</v>
      </c>
      <c r="AM184" s="115">
        <f t="shared" si="20"/>
        <v>0</v>
      </c>
      <c r="AN184" s="85">
        <f t="shared" si="21"/>
        <v>0</v>
      </c>
      <c r="AO184" s="113" t="str">
        <f t="shared" si="22"/>
        <v>no</v>
      </c>
      <c r="AP184" s="115">
        <f t="shared" si="23"/>
        <v>0</v>
      </c>
      <c r="AQ184" s="113">
        <f t="shared" si="37"/>
        <v>0</v>
      </c>
      <c r="AR184" s="116">
        <f t="shared" si="24"/>
        <v>0</v>
      </c>
      <c r="AS184" s="113">
        <f t="shared" si="25"/>
        <v>0</v>
      </c>
      <c r="AT184" s="116">
        <f t="shared" si="26"/>
        <v>0</v>
      </c>
      <c r="AU184" s="113">
        <f t="shared" si="27"/>
        <v>0</v>
      </c>
      <c r="AV184" s="113" t="str">
        <f t="shared" si="28"/>
        <v>no</v>
      </c>
      <c r="AW184" s="115">
        <f t="shared" si="29"/>
        <v>0</v>
      </c>
      <c r="AX184" s="85">
        <f t="shared" si="41"/>
        <v>0</v>
      </c>
      <c r="AY184" s="116">
        <f t="shared" si="30"/>
        <v>0</v>
      </c>
      <c r="AZ184" s="113">
        <f t="shared" si="31"/>
        <v>0</v>
      </c>
      <c r="BA184" s="116">
        <f t="shared" si="32"/>
        <v>0</v>
      </c>
      <c r="BB184" s="113">
        <f t="shared" si="33"/>
        <v>0</v>
      </c>
      <c r="BC184" s="112">
        <v>0.7031355691273519</v>
      </c>
      <c r="BD184" s="113" t="str">
        <f>ifs(BC184&lt;='Range Tables'!$G$81,'Range Tables'!$B$81,BC184&lt;='Range Tables'!$G$82,'Range Tables'!$B$82)</f>
        <v>Offline*</v>
      </c>
      <c r="BE184" s="112">
        <v>0.7963769552219206</v>
      </c>
      <c r="BF184" s="112" t="str">
        <f>ifs(BE184&lt;='Range Tables'!$G$95,'Range Tables'!$B$95,BE184&lt;='Range Tables'!$G$96,'Range Tables'!$B$96,BE184&lt;='Range Tables'!$G$97,'Range Tables'!$B$97,BE184&lt;='Range Tables'!$G$98,'Range Tables'!$B$98,BE184&lt;='Range Tables'!$G$99,'Range Tables'!$B$99,BE184&lt;='Range Tables'!$G$100,'Range Tables'!$B$100,BE184&lt;='Range Tables'!$G$101,'Range Tables'!$B$101,BE184&lt;='Range Tables'!$G$102,'Range Tables'!$B$102,BE184&lt;='Range Tables'!$G$103,'Range Tables'!$B$103)</f>
        <v>Other State Cities</v>
      </c>
      <c r="BG184" s="112">
        <v>0.9359579666342238</v>
      </c>
      <c r="BH184" s="113" t="str">
        <f>ifs(BG184&lt;='Range Tables'!$G$112,'Range Tables'!$B$112,BG184&lt;='Range Tables'!$G$113,'Range Tables'!$B$113,BG184&lt;='Range Tables'!$G$114,'Range Tables'!$B$114)</f>
        <v>1-5</v>
      </c>
      <c r="BI184" s="117">
        <v>0.5798117153458197</v>
      </c>
      <c r="BJ184" s="113" t="str">
        <f>ifs(BI184&lt;='Range Tables'!$G$118,'Range Tables'!$B$118,BI184&lt;='Range Tables'!$G$119,'Range Tables'!$B$119)</f>
        <v>Valid</v>
      </c>
    </row>
    <row r="185">
      <c r="A185" s="85">
        <v>182.0</v>
      </c>
      <c r="B185" s="112">
        <v>0.11058094551618702</v>
      </c>
      <c r="C185" s="113" t="str">
        <f>ifs(B185&lt;='Range Tables'!$G$54,'Range Tables'!$B$54,B185&lt;='Range Tables'!$G$55,'Range Tables'!$B$55,B185&lt;='Range Tables'!$G$56,'Range Tables'!$B$56,B185&lt;='Range Tables'!$G$57,'Range Tables'!$B$57,B185&lt;='Range Tables'!$G$58,'Range Tables'!$B$58,B185&lt;='Range Tables'!$G$59,'Range Tables'!$B$59,B185&lt;='Range Tables'!$G$60,'Range Tables'!$B$60,B185&lt;='Range Tables'!$G$61,'Range Tables'!$B$61,B185&lt;='Range Tables'!$G$63,'Range Tables'!$B$63,B185&lt;='Range Tables'!$G$64,'Range Tables'!$B$64,B185&lt;='Range Tables'!$G$66,'Range Tables'!$B$66)</f>
        <v>0 - 30</v>
      </c>
      <c r="D185" s="113">
        <f>IFERROR(__xludf.DUMMYFUNCTION("SPLIT(C185,""-"")"),0.0)</f>
        <v>0</v>
      </c>
      <c r="E185" s="113">
        <f>IFERROR(__xludf.DUMMYFUNCTION("""COMPUTED_VALUE"""),30.0)</f>
        <v>30</v>
      </c>
      <c r="F185" s="114">
        <f t="shared" si="40"/>
        <v>3.317428365</v>
      </c>
      <c r="G185" s="112">
        <v>0.5705598091448679</v>
      </c>
      <c r="H185" s="113" t="str">
        <f>ifs(G185&lt;='Range Tables'!$G$86,'Range Tables'!$B$86,G185&lt;='Range Tables'!$G$87,'Range Tables'!$B$87,G185&lt;='Range Tables'!$G$88,'Range Tables'!$B$88,G185&lt;='Range Tables'!$G$89,'Range Tables'!$B$89,G185&lt;='Range Tables'!$G$90,'Range Tables'!$B$90,G185&lt;='Range Tables'!$G$91,'Range Tables'!$B$91)</f>
        <v>Bike</v>
      </c>
      <c r="I185" s="112">
        <v>0.7374537444123402</v>
      </c>
      <c r="J185" s="113" t="str">
        <f>IFS(
  H185="Car", IF(I185&lt;='Range Tables'!$G$19, 'Range Tables'!$B$19, 'Range Tables'!$B$20), 
  H185="Bike", IF(I185&lt;='Range Tables'!$G$25, 'Range Tables'!$B$25, 'Range Tables'!$B$26), 
  H185="Scooter", IF(I185&lt;='Range Tables'!$G$31, 'Range Tables'!$B$31, 'Range Tables'!$B$32), 
  H185="Auto", IF(I185&lt;='Range Tables'!$G$37, 'Range Tables'!$B$37, 'Range Tables'!$B$38), 
  H185="Carriers*", IF(I185&lt;='Range Tables'!$G$43, 'Range Tables'!$B$43, 'Range Tables'!$B$44), 
  H185="Van*", IF(I185&lt;='Range Tables'!$G$50, 'Range Tables'!$B$50, 'Range Tables'!$B$49)
)</f>
        <v>Petrol</v>
      </c>
      <c r="K185" s="112">
        <v>0.663214197226846</v>
      </c>
      <c r="L185" s="113">
        <f>if(J185="Petrol",ifs(K185&lt;='Range Tables'!$G$5,'Range Tables'!$B$5,K185&lt;='Range Tables'!$G$6,'Range Tables'!$B$6,K185&lt;='Range Tables'!$G$7,'Range Tables'!$B$7),ifs(K185&lt;='Range Tables'!$G$13,'Range Tables'!$B$13,K185&lt;='Range Tables'!$G$14,'Range Tables'!$B$14))</f>
        <v>3</v>
      </c>
      <c r="M185" s="112">
        <v>0.1513195039598927</v>
      </c>
      <c r="N185" s="113" t="str">
        <f>ifs(H185="Car",ifs(M185&lt;='Range Tables'!$G$125,'Range Tables'!$B$125,M185&lt;='Range Tables'!$G$126,'Range Tables'!$B$126,M185&lt;='Range Tables'!$G$127,'Range Tables'!$B$127,M185&lt;='Range Tables'!$G$128,'Range Tables'!$B$128,M185&lt;='Range Tables'!$G$129,'Range Tables'!$B$129,'Range Tables'!$G$131,'Range Tables'!$B$131),H185="Bike",ifs(M185&lt;='Range Tables'!$G$136,'Range Tables'!$B$136,M185&lt;='Range Tables'!$G$137,'Range Tables'!$B$137,M185&lt;='Range Tables'!$G$138,'Range Tables'!$B$138,M185&lt;='Range Tables'!$G$142,'Range Tables'!$B$142),H185="Scooter",ifs(M185&lt;='Range Tables'!$G$148,'Range Tables'!$B$148,M185&lt;='Range Tables'!$G$149,'Range Tables'!$B$149,M185&lt;='Range Tables'!$G$150,'Range Tables'!$B$150,M185&lt;='Range Tables'!$G$151,'Range Tables'!$B$151),H185="Auto",ifs(M185&lt;='Range Tables'!$G$161,'Range Tables'!$B$161,M185&lt;='Range Tables'!$G$162,'Range Tables'!$B$162,M185&lt;='Range Tables'!$G$163,'Range Tables'!$B$163,M185&lt;='Range Tables'!$G$164,'Range Tables'!$B$164),H185="Carriers*",ifs(M185&lt;='Range Tables'!$G$173,'Range Tables'!$B$173,M185&lt;='Range Tables'!$G$174,'Range Tables'!$B$174,M185&lt;='Range Tables'!$G$175,'Range Tables'!$B$175,M185&lt;='Range Tables'!$G$176,'Range Tables'!$B$176,M185&lt;='Range Tables'!$G$177,'Range Tables'!$B$177,M185&lt;='Range Tables'!$G$179,'Range Tables'!$B$179),H185="Van*",ifs(M185&lt;='Range Tables'!$G$186,'Range Tables'!$B$186))</f>
        <v>30 - 60</v>
      </c>
      <c r="O185" s="113">
        <f>IFERROR(__xludf.DUMMYFUNCTION("SPLIT(N185,""-"")"),30.0)</f>
        <v>30</v>
      </c>
      <c r="P185" s="113">
        <f>IFERROR(__xludf.DUMMYFUNCTION("""COMPUTED_VALUE"""),60.0)</f>
        <v>60</v>
      </c>
      <c r="Q185" s="114">
        <f t="shared" si="2"/>
        <v>34.53958512</v>
      </c>
      <c r="R185" s="115">
        <f t="shared" si="3"/>
        <v>0.1731294337</v>
      </c>
      <c r="S185" s="114">
        <f t="shared" si="39"/>
        <v>14958.38308</v>
      </c>
      <c r="T185" s="113" t="str">
        <f t="shared" si="4"/>
        <v>no</v>
      </c>
      <c r="U185" s="115">
        <f t="shared" si="5"/>
        <v>0</v>
      </c>
      <c r="V185" s="113">
        <f t="shared" si="34"/>
        <v>0</v>
      </c>
      <c r="W185" s="115">
        <f t="shared" si="6"/>
        <v>0</v>
      </c>
      <c r="X185" s="85">
        <f t="shared" si="7"/>
        <v>0</v>
      </c>
      <c r="Y185" s="116">
        <f t="shared" si="8"/>
        <v>0</v>
      </c>
      <c r="Z185" s="113">
        <f t="shared" si="9"/>
        <v>0</v>
      </c>
      <c r="AA185" s="113" t="str">
        <f t="shared" si="10"/>
        <v>no</v>
      </c>
      <c r="AB185" s="115">
        <f t="shared" si="11"/>
        <v>0</v>
      </c>
      <c r="AC185" s="113">
        <f t="shared" si="35"/>
        <v>0</v>
      </c>
      <c r="AD185" s="116">
        <f t="shared" si="12"/>
        <v>0</v>
      </c>
      <c r="AE185" s="113">
        <f t="shared" si="13"/>
        <v>0</v>
      </c>
      <c r="AF185" s="116">
        <f t="shared" si="14"/>
        <v>0</v>
      </c>
      <c r="AG185" s="113">
        <f t="shared" si="15"/>
        <v>0</v>
      </c>
      <c r="AH185" s="113" t="str">
        <f t="shared" si="16"/>
        <v>yes</v>
      </c>
      <c r="AI185" s="115">
        <f t="shared" si="17"/>
        <v>0</v>
      </c>
      <c r="AJ185" s="113">
        <f t="shared" si="36"/>
        <v>0</v>
      </c>
      <c r="AK185" s="116">
        <f t="shared" si="18"/>
        <v>0.1731294337</v>
      </c>
      <c r="AL185" s="114">
        <f t="shared" si="19"/>
        <v>14958.38308</v>
      </c>
      <c r="AM185" s="115">
        <f t="shared" si="20"/>
        <v>0.1735291975</v>
      </c>
      <c r="AN185" s="118">
        <f t="shared" si="21"/>
        <v>14992.92266</v>
      </c>
      <c r="AO185" s="113" t="str">
        <f t="shared" si="22"/>
        <v>no</v>
      </c>
      <c r="AP185" s="115">
        <f t="shared" si="23"/>
        <v>0</v>
      </c>
      <c r="AQ185" s="113">
        <f t="shared" si="37"/>
        <v>0</v>
      </c>
      <c r="AR185" s="116">
        <f t="shared" si="24"/>
        <v>0</v>
      </c>
      <c r="AS185" s="113">
        <f t="shared" si="25"/>
        <v>0</v>
      </c>
      <c r="AT185" s="116">
        <f t="shared" si="26"/>
        <v>0</v>
      </c>
      <c r="AU185" s="113">
        <f t="shared" si="27"/>
        <v>0</v>
      </c>
      <c r="AV185" s="113" t="str">
        <f t="shared" si="28"/>
        <v>no</v>
      </c>
      <c r="AW185" s="115">
        <f t="shared" si="29"/>
        <v>0</v>
      </c>
      <c r="AX185" s="85">
        <f t="shared" si="41"/>
        <v>0</v>
      </c>
      <c r="AY185" s="116">
        <f t="shared" si="30"/>
        <v>0</v>
      </c>
      <c r="AZ185" s="113">
        <f t="shared" si="31"/>
        <v>0</v>
      </c>
      <c r="BA185" s="116">
        <f t="shared" si="32"/>
        <v>0</v>
      </c>
      <c r="BB185" s="113">
        <f t="shared" si="33"/>
        <v>0</v>
      </c>
      <c r="BC185" s="112">
        <v>0.29338072645615787</v>
      </c>
      <c r="BD185" s="113" t="str">
        <f>ifs(BC185&lt;='Range Tables'!$G$81,'Range Tables'!$B$81,BC185&lt;='Range Tables'!$G$82,'Range Tables'!$B$82)</f>
        <v>Online*</v>
      </c>
      <c r="BE185" s="112">
        <v>0.7522208997239939</v>
      </c>
      <c r="BF185" s="112" t="str">
        <f>ifs(BE185&lt;='Range Tables'!$G$95,'Range Tables'!$B$95,BE185&lt;='Range Tables'!$G$96,'Range Tables'!$B$96,BE185&lt;='Range Tables'!$G$97,'Range Tables'!$B$97,BE185&lt;='Range Tables'!$G$98,'Range Tables'!$B$98,BE185&lt;='Range Tables'!$G$99,'Range Tables'!$B$99,BE185&lt;='Range Tables'!$G$100,'Range Tables'!$B$100,BE185&lt;='Range Tables'!$G$101,'Range Tables'!$B$101,BE185&lt;='Range Tables'!$G$102,'Range Tables'!$B$102,BE185&lt;='Range Tables'!$G$103,'Range Tables'!$B$103)</f>
        <v>Jammu</v>
      </c>
      <c r="BG185" s="112">
        <v>0.46950378760798117</v>
      </c>
      <c r="BH185" s="113" t="str">
        <f>ifs(BG185&lt;='Range Tables'!$G$112,'Range Tables'!$B$112,BG185&lt;='Range Tables'!$G$113,'Range Tables'!$B$113,BG185&lt;='Range Tables'!$G$114,'Range Tables'!$B$114)</f>
        <v>0</v>
      </c>
      <c r="BI185" s="117">
        <v>0.5480429046600476</v>
      </c>
      <c r="BJ185" s="113" t="str">
        <f>ifs(BI185&lt;='Range Tables'!$G$118,'Range Tables'!$B$118,BI185&lt;='Range Tables'!$G$119,'Range Tables'!$B$119)</f>
        <v>Valid</v>
      </c>
    </row>
    <row r="186">
      <c r="A186" s="85">
        <v>183.0</v>
      </c>
      <c r="B186" s="112">
        <v>0.4719099341601908</v>
      </c>
      <c r="C186" s="113" t="str">
        <f>ifs(B186&lt;='Range Tables'!$G$54,'Range Tables'!$B$54,B186&lt;='Range Tables'!$G$55,'Range Tables'!$B$55,B186&lt;='Range Tables'!$G$56,'Range Tables'!$B$56,B186&lt;='Range Tables'!$G$57,'Range Tables'!$B$57,B186&lt;='Range Tables'!$G$58,'Range Tables'!$B$58,B186&lt;='Range Tables'!$G$59,'Range Tables'!$B$59,B186&lt;='Range Tables'!$G$60,'Range Tables'!$B$60,B186&lt;='Range Tables'!$G$61,'Range Tables'!$B$61,B186&lt;='Range Tables'!$G$63,'Range Tables'!$B$63,B186&lt;='Range Tables'!$G$64,'Range Tables'!$B$64,B186&lt;='Range Tables'!$G$66,'Range Tables'!$B$66)</f>
        <v>30 - 60 </v>
      </c>
      <c r="D186" s="113">
        <f>IFERROR(__xludf.DUMMYFUNCTION("SPLIT(C186,""-"")"),30.0)</f>
        <v>30</v>
      </c>
      <c r="E186" s="113">
        <f>IFERROR(__xludf.DUMMYFUNCTION("""COMPUTED_VALUE"""),60.0)</f>
        <v>60</v>
      </c>
      <c r="F186" s="114">
        <f t="shared" si="40"/>
        <v>44.15729802</v>
      </c>
      <c r="G186" s="112">
        <v>0.5841936564525664</v>
      </c>
      <c r="H186" s="113" t="str">
        <f>ifs(G186&lt;='Range Tables'!$G$86,'Range Tables'!$B$86,G186&lt;='Range Tables'!$G$87,'Range Tables'!$B$87,G186&lt;='Range Tables'!$G$88,'Range Tables'!$B$88,G186&lt;='Range Tables'!$G$89,'Range Tables'!$B$89,G186&lt;='Range Tables'!$G$90,'Range Tables'!$B$90,G186&lt;='Range Tables'!$G$91,'Range Tables'!$B$91)</f>
        <v>Bike</v>
      </c>
      <c r="I186" s="112">
        <v>0.31601556967772104</v>
      </c>
      <c r="J186" s="113" t="str">
        <f>IFS(
  H186="Car", IF(I186&lt;='Range Tables'!$G$19, 'Range Tables'!$B$19, 'Range Tables'!$B$20), 
  H186="Bike", IF(I186&lt;='Range Tables'!$G$25, 'Range Tables'!$B$25, 'Range Tables'!$B$26), 
  H186="Scooter", IF(I186&lt;='Range Tables'!$G$31, 'Range Tables'!$B$31, 'Range Tables'!$B$32), 
  H186="Auto", IF(I186&lt;='Range Tables'!$G$37, 'Range Tables'!$B$37, 'Range Tables'!$B$38), 
  H186="Carriers*", IF(I186&lt;='Range Tables'!$G$43, 'Range Tables'!$B$43, 'Range Tables'!$B$44), 
  H186="Van*", IF(I186&lt;='Range Tables'!$G$50, 'Range Tables'!$B$50, 'Range Tables'!$B$49)
)</f>
        <v>Petrol</v>
      </c>
      <c r="K186" s="112">
        <v>0.9368868166726233</v>
      </c>
      <c r="L186" s="113">
        <f>if(J186="Petrol",ifs(K186&lt;='Range Tables'!$G$5,'Range Tables'!$B$5,K186&lt;='Range Tables'!$G$6,'Range Tables'!$B$6,K186&lt;='Range Tables'!$G$7,'Range Tables'!$B$7),ifs(K186&lt;='Range Tables'!$G$13,'Range Tables'!$B$13,K186&lt;='Range Tables'!$G$14,'Range Tables'!$B$14))</f>
        <v>4</v>
      </c>
      <c r="M186" s="112">
        <v>0.7854338991865786</v>
      </c>
      <c r="N186" s="113" t="str">
        <f>ifs(H186="Car",ifs(M186&lt;='Range Tables'!$G$125,'Range Tables'!$B$125,M186&lt;='Range Tables'!$G$126,'Range Tables'!$B$126,M186&lt;='Range Tables'!$G$127,'Range Tables'!$B$127,M186&lt;='Range Tables'!$G$128,'Range Tables'!$B$128,M186&lt;='Range Tables'!$G$129,'Range Tables'!$B$129,'Range Tables'!$G$131,'Range Tables'!$B$131),H186="Bike",ifs(M186&lt;='Range Tables'!$G$136,'Range Tables'!$B$136,M186&lt;='Range Tables'!$G$137,'Range Tables'!$B$137,M186&lt;='Range Tables'!$G$138,'Range Tables'!$B$138,M186&lt;='Range Tables'!$G$142,'Range Tables'!$B$142),H186="Scooter",ifs(M186&lt;='Range Tables'!$G$148,'Range Tables'!$B$148,M186&lt;='Range Tables'!$G$149,'Range Tables'!$B$149,M186&lt;='Range Tables'!$G$150,'Range Tables'!$B$150,M186&lt;='Range Tables'!$G$151,'Range Tables'!$B$151),H186="Auto",ifs(M186&lt;='Range Tables'!$G$161,'Range Tables'!$B$161,M186&lt;='Range Tables'!$G$162,'Range Tables'!$B$162,M186&lt;='Range Tables'!$G$163,'Range Tables'!$B$163,M186&lt;='Range Tables'!$G$164,'Range Tables'!$B$164),H186="Carriers*",ifs(M186&lt;='Range Tables'!$G$173,'Range Tables'!$B$173,M186&lt;='Range Tables'!$G$174,'Range Tables'!$B$174,M186&lt;='Range Tables'!$G$175,'Range Tables'!$B$175,M186&lt;='Range Tables'!$G$176,'Range Tables'!$B$176,M186&lt;='Range Tables'!$G$177,'Range Tables'!$B$177,M186&lt;='Range Tables'!$G$179,'Range Tables'!$B$179),H186="Van*",ifs(M186&lt;='Range Tables'!$G$186,'Range Tables'!$B$186))</f>
        <v>120 - 180</v>
      </c>
      <c r="O186" s="113">
        <f>IFERROR(__xludf.DUMMYFUNCTION("SPLIT(N186,""-"")"),120.0)</f>
        <v>120</v>
      </c>
      <c r="P186" s="113">
        <f>IFERROR(__xludf.DUMMYFUNCTION("""COMPUTED_VALUE"""),180.0)</f>
        <v>180</v>
      </c>
      <c r="Q186" s="114">
        <f t="shared" si="2"/>
        <v>167.126034</v>
      </c>
      <c r="R186" s="115">
        <f t="shared" si="3"/>
        <v>0.1731678299</v>
      </c>
      <c r="S186" s="114">
        <f t="shared" si="39"/>
        <v>14961.7005</v>
      </c>
      <c r="T186" s="113" t="str">
        <f t="shared" si="4"/>
        <v>no</v>
      </c>
      <c r="U186" s="115">
        <f t="shared" si="5"/>
        <v>0</v>
      </c>
      <c r="V186" s="113">
        <f t="shared" si="34"/>
        <v>0</v>
      </c>
      <c r="W186" s="115">
        <f t="shared" si="6"/>
        <v>0</v>
      </c>
      <c r="X186" s="85">
        <f t="shared" si="7"/>
        <v>0</v>
      </c>
      <c r="Y186" s="116">
        <f t="shared" si="8"/>
        <v>0</v>
      </c>
      <c r="Z186" s="113">
        <f t="shared" si="9"/>
        <v>0</v>
      </c>
      <c r="AA186" s="113" t="str">
        <f t="shared" si="10"/>
        <v>no</v>
      </c>
      <c r="AB186" s="115">
        <f t="shared" si="11"/>
        <v>0</v>
      </c>
      <c r="AC186" s="113">
        <f t="shared" si="35"/>
        <v>0</v>
      </c>
      <c r="AD186" s="116">
        <f t="shared" si="12"/>
        <v>0</v>
      </c>
      <c r="AE186" s="113">
        <f t="shared" si="13"/>
        <v>0</v>
      </c>
      <c r="AF186" s="116">
        <f t="shared" si="14"/>
        <v>0</v>
      </c>
      <c r="AG186" s="113">
        <f t="shared" si="15"/>
        <v>0</v>
      </c>
      <c r="AH186" s="113" t="str">
        <f t="shared" si="16"/>
        <v>no</v>
      </c>
      <c r="AI186" s="115">
        <f t="shared" si="17"/>
        <v>0</v>
      </c>
      <c r="AJ186" s="113">
        <f t="shared" si="36"/>
        <v>0</v>
      </c>
      <c r="AK186" s="116">
        <f t="shared" si="18"/>
        <v>0</v>
      </c>
      <c r="AL186" s="113">
        <f t="shared" si="19"/>
        <v>0</v>
      </c>
      <c r="AM186" s="115">
        <f t="shared" si="20"/>
        <v>0</v>
      </c>
      <c r="AN186" s="85">
        <f t="shared" si="21"/>
        <v>0</v>
      </c>
      <c r="AO186" s="113" t="str">
        <f t="shared" si="22"/>
        <v>yes</v>
      </c>
      <c r="AP186" s="115">
        <f t="shared" si="23"/>
        <v>0</v>
      </c>
      <c r="AQ186" s="113">
        <f t="shared" si="37"/>
        <v>0</v>
      </c>
      <c r="AR186" s="116">
        <f t="shared" si="24"/>
        <v>0.1731678299</v>
      </c>
      <c r="AS186" s="114">
        <f t="shared" si="25"/>
        <v>14961.7005</v>
      </c>
      <c r="AT186" s="116">
        <f t="shared" si="26"/>
        <v>0.175102159</v>
      </c>
      <c r="AU186" s="114">
        <f t="shared" si="27"/>
        <v>15128.82654</v>
      </c>
      <c r="AV186" s="113" t="str">
        <f t="shared" si="28"/>
        <v>no</v>
      </c>
      <c r="AW186" s="115">
        <f t="shared" si="29"/>
        <v>0</v>
      </c>
      <c r="AX186" s="85">
        <f t="shared" si="41"/>
        <v>0</v>
      </c>
      <c r="AY186" s="116">
        <f t="shared" si="30"/>
        <v>0</v>
      </c>
      <c r="AZ186" s="113">
        <f t="shared" si="31"/>
        <v>0</v>
      </c>
      <c r="BA186" s="116">
        <f t="shared" si="32"/>
        <v>0</v>
      </c>
      <c r="BB186" s="113">
        <f t="shared" si="33"/>
        <v>0</v>
      </c>
      <c r="BC186" s="112">
        <v>0.6033467440673485</v>
      </c>
      <c r="BD186" s="113" t="str">
        <f>ifs(BC186&lt;='Range Tables'!$G$81,'Range Tables'!$B$81,BC186&lt;='Range Tables'!$G$82,'Range Tables'!$B$82)</f>
        <v>Offline*</v>
      </c>
      <c r="BE186" s="112">
        <v>0.037529382109808496</v>
      </c>
      <c r="BF186" s="112" t="str">
        <f>ifs(BE186&lt;='Range Tables'!$G$95,'Range Tables'!$B$95,BE186&lt;='Range Tables'!$G$96,'Range Tables'!$B$96,BE186&lt;='Range Tables'!$G$97,'Range Tables'!$B$97,BE186&lt;='Range Tables'!$G$98,'Range Tables'!$B$98,BE186&lt;='Range Tables'!$G$99,'Range Tables'!$B$99,BE186&lt;='Range Tables'!$G$100,'Range Tables'!$B$100,BE186&lt;='Range Tables'!$G$101,'Range Tables'!$B$101,BE186&lt;='Range Tables'!$G$102,'Range Tables'!$B$102,BE186&lt;='Range Tables'!$G$103,'Range Tables'!$B$103)</f>
        <v>Jammu</v>
      </c>
      <c r="BG186" s="112">
        <v>0.30180204987310466</v>
      </c>
      <c r="BH186" s="113" t="str">
        <f>ifs(BG186&lt;='Range Tables'!$G$112,'Range Tables'!$B$112,BG186&lt;='Range Tables'!$G$113,'Range Tables'!$B$113,BG186&lt;='Range Tables'!$G$114,'Range Tables'!$B$114)</f>
        <v>0</v>
      </c>
      <c r="BI186" s="117">
        <v>0.24602527130648966</v>
      </c>
      <c r="BJ186" s="113" t="str">
        <f>ifs(BI186&lt;='Range Tables'!$G$118,'Range Tables'!$B$118,BI186&lt;='Range Tables'!$G$119,'Range Tables'!$B$119)</f>
        <v>Valid</v>
      </c>
    </row>
    <row r="187">
      <c r="A187" s="85">
        <v>184.0</v>
      </c>
      <c r="B187" s="112">
        <v>0.30383692272312723</v>
      </c>
      <c r="C187" s="113" t="str">
        <f>ifs(B187&lt;='Range Tables'!$G$54,'Range Tables'!$B$54,B187&lt;='Range Tables'!$G$55,'Range Tables'!$B$55,B187&lt;='Range Tables'!$G$56,'Range Tables'!$B$56,B187&lt;='Range Tables'!$G$57,'Range Tables'!$B$57,B187&lt;='Range Tables'!$G$58,'Range Tables'!$B$58,B187&lt;='Range Tables'!$G$59,'Range Tables'!$B$59,B187&lt;='Range Tables'!$G$60,'Range Tables'!$B$60,B187&lt;='Range Tables'!$G$61,'Range Tables'!$B$61,B187&lt;='Range Tables'!$G$63,'Range Tables'!$B$63,B187&lt;='Range Tables'!$G$64,'Range Tables'!$B$64,B187&lt;='Range Tables'!$G$66,'Range Tables'!$B$66)</f>
        <v>30 - 60 </v>
      </c>
      <c r="D187" s="113">
        <f>IFERROR(__xludf.DUMMYFUNCTION("SPLIT(C187,""-"")"),30.0)</f>
        <v>30</v>
      </c>
      <c r="E187" s="113">
        <f>IFERROR(__xludf.DUMMYFUNCTION("""COMPUTED_VALUE"""),60.0)</f>
        <v>60</v>
      </c>
      <c r="F187" s="114">
        <f t="shared" si="40"/>
        <v>39.11510768</v>
      </c>
      <c r="G187" s="112">
        <v>0.5743634187034703</v>
      </c>
      <c r="H187" s="113" t="str">
        <f>ifs(G187&lt;='Range Tables'!$G$86,'Range Tables'!$B$86,G187&lt;='Range Tables'!$G$87,'Range Tables'!$B$87,G187&lt;='Range Tables'!$G$88,'Range Tables'!$B$88,G187&lt;='Range Tables'!$G$89,'Range Tables'!$B$89,G187&lt;='Range Tables'!$G$90,'Range Tables'!$B$90,G187&lt;='Range Tables'!$G$91,'Range Tables'!$B$91)</f>
        <v>Bike</v>
      </c>
      <c r="I187" s="112">
        <v>0.043084265753118745</v>
      </c>
      <c r="J187" s="113" t="str">
        <f>IFS(
  H187="Car", IF(I187&lt;='Range Tables'!$G$19, 'Range Tables'!$B$19, 'Range Tables'!$B$20), 
  H187="Bike", IF(I187&lt;='Range Tables'!$G$25, 'Range Tables'!$B$25, 'Range Tables'!$B$26), 
  H187="Scooter", IF(I187&lt;='Range Tables'!$G$31, 'Range Tables'!$B$31, 'Range Tables'!$B$32), 
  H187="Auto", IF(I187&lt;='Range Tables'!$G$37, 'Range Tables'!$B$37, 'Range Tables'!$B$38), 
  H187="Carriers*", IF(I187&lt;='Range Tables'!$G$43, 'Range Tables'!$B$43, 'Range Tables'!$B$44), 
  H187="Van*", IF(I187&lt;='Range Tables'!$G$50, 'Range Tables'!$B$50, 'Range Tables'!$B$49)
)</f>
        <v>Petrol</v>
      </c>
      <c r="K187" s="112">
        <v>0.5977272560638649</v>
      </c>
      <c r="L187" s="113">
        <f>if(J187="Petrol",ifs(K187&lt;='Range Tables'!$G$5,'Range Tables'!$B$5,K187&lt;='Range Tables'!$G$6,'Range Tables'!$B$6,K187&lt;='Range Tables'!$G$7,'Range Tables'!$B$7),ifs(K187&lt;='Range Tables'!$G$13,'Range Tables'!$B$13,K187&lt;='Range Tables'!$G$14,'Range Tables'!$B$14))</f>
        <v>3</v>
      </c>
      <c r="M187" s="112">
        <v>0.1694779198174381</v>
      </c>
      <c r="N187" s="113" t="str">
        <f>ifs(H187="Car",ifs(M187&lt;='Range Tables'!$G$125,'Range Tables'!$B$125,M187&lt;='Range Tables'!$G$126,'Range Tables'!$B$126,M187&lt;='Range Tables'!$G$127,'Range Tables'!$B$127,M187&lt;='Range Tables'!$G$128,'Range Tables'!$B$128,M187&lt;='Range Tables'!$G$129,'Range Tables'!$B$129,'Range Tables'!$G$131,'Range Tables'!$B$131),H187="Bike",ifs(M187&lt;='Range Tables'!$G$136,'Range Tables'!$B$136,M187&lt;='Range Tables'!$G$137,'Range Tables'!$B$137,M187&lt;='Range Tables'!$G$138,'Range Tables'!$B$138,M187&lt;='Range Tables'!$G$142,'Range Tables'!$B$142),H187="Scooter",ifs(M187&lt;='Range Tables'!$G$148,'Range Tables'!$B$148,M187&lt;='Range Tables'!$G$149,'Range Tables'!$B$149,M187&lt;='Range Tables'!$G$150,'Range Tables'!$B$150,M187&lt;='Range Tables'!$G$151,'Range Tables'!$B$151),H187="Auto",ifs(M187&lt;='Range Tables'!$G$161,'Range Tables'!$B$161,M187&lt;='Range Tables'!$G$162,'Range Tables'!$B$162,M187&lt;='Range Tables'!$G$163,'Range Tables'!$B$163,M187&lt;='Range Tables'!$G$164,'Range Tables'!$B$164),H187="Carriers*",ifs(M187&lt;='Range Tables'!$G$173,'Range Tables'!$B$173,M187&lt;='Range Tables'!$G$174,'Range Tables'!$B$174,M187&lt;='Range Tables'!$G$175,'Range Tables'!$B$175,M187&lt;='Range Tables'!$G$176,'Range Tables'!$B$176,M187&lt;='Range Tables'!$G$177,'Range Tables'!$B$177,M187&lt;='Range Tables'!$G$179,'Range Tables'!$B$179),H187="Van*",ifs(M187&lt;='Range Tables'!$G$186,'Range Tables'!$B$186))</f>
        <v>30 - 60</v>
      </c>
      <c r="O187" s="113">
        <f>IFERROR(__xludf.DUMMYFUNCTION("SPLIT(N187,""-"")"),30.0)</f>
        <v>30</v>
      </c>
      <c r="P187" s="113">
        <f>IFERROR(__xludf.DUMMYFUNCTION("""COMPUTED_VALUE"""),60.0)</f>
        <v>60</v>
      </c>
      <c r="Q187" s="114">
        <f t="shared" si="2"/>
        <v>35.08433759</v>
      </c>
      <c r="R187" s="115">
        <f t="shared" si="3"/>
        <v>0.1736789097</v>
      </c>
      <c r="S187" s="114">
        <f t="shared" si="39"/>
        <v>15005.8578</v>
      </c>
      <c r="T187" s="113" t="str">
        <f t="shared" si="4"/>
        <v>no</v>
      </c>
      <c r="U187" s="115">
        <f t="shared" si="5"/>
        <v>0</v>
      </c>
      <c r="V187" s="113">
        <f t="shared" si="34"/>
        <v>0</v>
      </c>
      <c r="W187" s="115">
        <f t="shared" si="6"/>
        <v>0</v>
      </c>
      <c r="X187" s="85">
        <f t="shared" si="7"/>
        <v>0</v>
      </c>
      <c r="Y187" s="116">
        <f t="shared" si="8"/>
        <v>0</v>
      </c>
      <c r="Z187" s="113">
        <f t="shared" si="9"/>
        <v>0</v>
      </c>
      <c r="AA187" s="113" t="str">
        <f t="shared" si="10"/>
        <v>no</v>
      </c>
      <c r="AB187" s="115">
        <f t="shared" si="11"/>
        <v>0</v>
      </c>
      <c r="AC187" s="113">
        <f t="shared" si="35"/>
        <v>0</v>
      </c>
      <c r="AD187" s="116">
        <f t="shared" si="12"/>
        <v>0</v>
      </c>
      <c r="AE187" s="113">
        <f t="shared" si="13"/>
        <v>0</v>
      </c>
      <c r="AF187" s="116">
        <f t="shared" si="14"/>
        <v>0</v>
      </c>
      <c r="AG187" s="113">
        <f t="shared" si="15"/>
        <v>0</v>
      </c>
      <c r="AH187" s="113" t="str">
        <f t="shared" si="16"/>
        <v>yes</v>
      </c>
      <c r="AI187" s="115">
        <f t="shared" si="17"/>
        <v>0</v>
      </c>
      <c r="AJ187" s="113">
        <f t="shared" si="36"/>
        <v>0</v>
      </c>
      <c r="AK187" s="116">
        <f t="shared" si="18"/>
        <v>0.1736789097</v>
      </c>
      <c r="AL187" s="114">
        <f t="shared" si="19"/>
        <v>15005.8578</v>
      </c>
      <c r="AM187" s="115">
        <f t="shared" si="20"/>
        <v>0.1740849785</v>
      </c>
      <c r="AN187" s="118">
        <f t="shared" si="21"/>
        <v>15040.94214</v>
      </c>
      <c r="AO187" s="113" t="str">
        <f t="shared" si="22"/>
        <v>no</v>
      </c>
      <c r="AP187" s="115">
        <f t="shared" si="23"/>
        <v>0</v>
      </c>
      <c r="AQ187" s="113">
        <f t="shared" si="37"/>
        <v>0</v>
      </c>
      <c r="AR187" s="116">
        <f t="shared" si="24"/>
        <v>0</v>
      </c>
      <c r="AS187" s="113">
        <f t="shared" si="25"/>
        <v>0</v>
      </c>
      <c r="AT187" s="116">
        <f t="shared" si="26"/>
        <v>0</v>
      </c>
      <c r="AU187" s="113">
        <f t="shared" si="27"/>
        <v>0</v>
      </c>
      <c r="AV187" s="113" t="str">
        <f t="shared" si="28"/>
        <v>no</v>
      </c>
      <c r="AW187" s="115">
        <f t="shared" si="29"/>
        <v>0</v>
      </c>
      <c r="AX187" s="85">
        <f t="shared" si="41"/>
        <v>0</v>
      </c>
      <c r="AY187" s="116">
        <f t="shared" si="30"/>
        <v>0</v>
      </c>
      <c r="AZ187" s="113">
        <f t="shared" si="31"/>
        <v>0</v>
      </c>
      <c r="BA187" s="116">
        <f t="shared" si="32"/>
        <v>0</v>
      </c>
      <c r="BB187" s="113">
        <f t="shared" si="33"/>
        <v>0</v>
      </c>
      <c r="BC187" s="112">
        <v>0.5950167730711536</v>
      </c>
      <c r="BD187" s="113" t="str">
        <f>ifs(BC187&lt;='Range Tables'!$G$81,'Range Tables'!$B$81,BC187&lt;='Range Tables'!$G$82,'Range Tables'!$B$82)</f>
        <v>Offline*</v>
      </c>
      <c r="BE187" s="112">
        <v>0.9031249955160073</v>
      </c>
      <c r="BF187" s="112" t="str">
        <f>ifs(BE187&lt;='Range Tables'!$G$95,'Range Tables'!$B$95,BE187&lt;='Range Tables'!$G$96,'Range Tables'!$B$96,BE187&lt;='Range Tables'!$G$97,'Range Tables'!$B$97,BE187&lt;='Range Tables'!$G$98,'Range Tables'!$B$98,BE187&lt;='Range Tables'!$G$99,'Range Tables'!$B$99,BE187&lt;='Range Tables'!$G$100,'Range Tables'!$B$100,BE187&lt;='Range Tables'!$G$101,'Range Tables'!$B$101,BE187&lt;='Range Tables'!$G$102,'Range Tables'!$B$102,BE187&lt;='Range Tables'!$G$103,'Range Tables'!$B$103)</f>
        <v>Resai</v>
      </c>
      <c r="BG187" s="112">
        <v>0.29125395080632965</v>
      </c>
      <c r="BH187" s="113" t="str">
        <f>ifs(BG187&lt;='Range Tables'!$G$112,'Range Tables'!$B$112,BG187&lt;='Range Tables'!$G$113,'Range Tables'!$B$113,BG187&lt;='Range Tables'!$G$114,'Range Tables'!$B$114)</f>
        <v>0</v>
      </c>
      <c r="BI187" s="117">
        <v>0.9257711189852733</v>
      </c>
      <c r="BJ187" s="113" t="str">
        <f>ifs(BI187&lt;='Range Tables'!$G$118,'Range Tables'!$B$118,BI187&lt;='Range Tables'!$G$119,'Range Tables'!$B$119)</f>
        <v>Expired</v>
      </c>
    </row>
    <row r="188">
      <c r="A188" s="85">
        <v>185.0</v>
      </c>
      <c r="B188" s="112">
        <v>0.6203955540967087</v>
      </c>
      <c r="C188" s="113" t="str">
        <f>ifs(B188&lt;='Range Tables'!$G$54,'Range Tables'!$B$54,B188&lt;='Range Tables'!$G$55,'Range Tables'!$B$55,B188&lt;='Range Tables'!$G$56,'Range Tables'!$B$56,B188&lt;='Range Tables'!$G$57,'Range Tables'!$B$57,B188&lt;='Range Tables'!$G$58,'Range Tables'!$B$58,B188&lt;='Range Tables'!$G$59,'Range Tables'!$B$59,B188&lt;='Range Tables'!$G$60,'Range Tables'!$B$60,B188&lt;='Range Tables'!$G$61,'Range Tables'!$B$61,B188&lt;='Range Tables'!$G$63,'Range Tables'!$B$63,B188&lt;='Range Tables'!$G$64,'Range Tables'!$B$64,B188&lt;='Range Tables'!$G$66,'Range Tables'!$B$66)</f>
        <v>60 - 90</v>
      </c>
      <c r="D188" s="113">
        <f>IFERROR(__xludf.DUMMYFUNCTION("SPLIT(C188,""-"")"),60.0)</f>
        <v>60</v>
      </c>
      <c r="E188" s="113">
        <f>IFERROR(__xludf.DUMMYFUNCTION("""COMPUTED_VALUE"""),90.0)</f>
        <v>90</v>
      </c>
      <c r="F188" s="114">
        <f t="shared" si="40"/>
        <v>78.61186662</v>
      </c>
      <c r="G188" s="112">
        <v>0.2698790398881181</v>
      </c>
      <c r="H188" s="113" t="str">
        <f>ifs(G188&lt;='Range Tables'!$G$86,'Range Tables'!$B$86,G188&lt;='Range Tables'!$G$87,'Range Tables'!$B$87,G188&lt;='Range Tables'!$G$88,'Range Tables'!$B$88,G188&lt;='Range Tables'!$G$89,'Range Tables'!$B$89,G188&lt;='Range Tables'!$G$90,'Range Tables'!$B$90,G188&lt;='Range Tables'!$G$91,'Range Tables'!$B$91)</f>
        <v>Car</v>
      </c>
      <c r="I188" s="112">
        <v>0.7615463230113607</v>
      </c>
      <c r="J188" s="113" t="str">
        <f>IFS(
  H188="Car", IF(I188&lt;='Range Tables'!$G$19, 'Range Tables'!$B$19, 'Range Tables'!$B$20), 
  H188="Bike", IF(I188&lt;='Range Tables'!$G$25, 'Range Tables'!$B$25, 'Range Tables'!$B$26), 
  H188="Scooter", IF(I188&lt;='Range Tables'!$G$31, 'Range Tables'!$B$31, 'Range Tables'!$B$32), 
  H188="Auto", IF(I188&lt;='Range Tables'!$G$37, 'Range Tables'!$B$37, 'Range Tables'!$B$38), 
  H188="Carriers*", IF(I188&lt;='Range Tables'!$G$43, 'Range Tables'!$B$43, 'Range Tables'!$B$44), 
  H188="Van*", IF(I188&lt;='Range Tables'!$G$50, 'Range Tables'!$B$50, 'Range Tables'!$B$49)
)</f>
        <v>Petrol</v>
      </c>
      <c r="K188" s="112">
        <v>0.2230272260573749</v>
      </c>
      <c r="L188" s="113">
        <f>if(J188="Petrol",ifs(K188&lt;='Range Tables'!$G$5,'Range Tables'!$B$5,K188&lt;='Range Tables'!$G$6,'Range Tables'!$B$6,K188&lt;='Range Tables'!$G$7,'Range Tables'!$B$7),ifs(K188&lt;='Range Tables'!$G$13,'Range Tables'!$B$13,K188&lt;='Range Tables'!$G$14,'Range Tables'!$B$14))</f>
        <v>2</v>
      </c>
      <c r="M188" s="112">
        <v>0.8598521897101291</v>
      </c>
      <c r="N188" s="113" t="str">
        <f>ifs(H188="Car",ifs(M188&lt;='Range Tables'!$G$125,'Range Tables'!$B$125,M188&lt;='Range Tables'!$G$126,'Range Tables'!$B$126,M188&lt;='Range Tables'!$G$127,'Range Tables'!$B$127,M188&lt;='Range Tables'!$G$128,'Range Tables'!$B$128,M188&lt;='Range Tables'!$G$129,'Range Tables'!$B$129,'Range Tables'!$G$131,'Range Tables'!$B$131),H188="Bike",ifs(M188&lt;='Range Tables'!$G$136,'Range Tables'!$B$136,M188&lt;='Range Tables'!$G$137,'Range Tables'!$B$137,M188&lt;='Range Tables'!$G$138,'Range Tables'!$B$138,M188&lt;='Range Tables'!$G$142,'Range Tables'!$B$142),H188="Scooter",ifs(M188&lt;='Range Tables'!$G$148,'Range Tables'!$B$148,M188&lt;='Range Tables'!$G$149,'Range Tables'!$B$149,M188&lt;='Range Tables'!$G$150,'Range Tables'!$B$150,M188&lt;='Range Tables'!$G$151,'Range Tables'!$B$151),H188="Auto",ifs(M188&lt;='Range Tables'!$G$161,'Range Tables'!$B$161,M188&lt;='Range Tables'!$G$162,'Range Tables'!$B$162,M188&lt;='Range Tables'!$G$163,'Range Tables'!$B$163,M188&lt;='Range Tables'!$G$164,'Range Tables'!$B$164),H188="Carriers*",ifs(M188&lt;='Range Tables'!$G$173,'Range Tables'!$B$173,M188&lt;='Range Tables'!$G$174,'Range Tables'!$B$174,M188&lt;='Range Tables'!$G$175,'Range Tables'!$B$175,M188&lt;='Range Tables'!$G$176,'Range Tables'!$B$176,M188&lt;='Range Tables'!$G$177,'Range Tables'!$B$177,M188&lt;='Range Tables'!$G$179,'Range Tables'!$B$179),H188="Van*",ifs(M188&lt;='Range Tables'!$G$186,'Range Tables'!$B$186))</f>
        <v>180 - 240</v>
      </c>
      <c r="O188" s="113">
        <f>IFERROR(__xludf.DUMMYFUNCTION("SPLIT(N188,""-"")"),180.0)</f>
        <v>180</v>
      </c>
      <c r="P188" s="113">
        <f>IFERROR(__xludf.DUMMYFUNCTION("""COMPUTED_VALUE"""),240.0)</f>
        <v>240</v>
      </c>
      <c r="Q188" s="114">
        <f t="shared" si="2"/>
        <v>231.5911314</v>
      </c>
      <c r="R188" s="115">
        <f t="shared" si="3"/>
        <v>0.1741316309</v>
      </c>
      <c r="S188" s="114">
        <f t="shared" si="39"/>
        <v>15044.97291</v>
      </c>
      <c r="T188" s="113" t="str">
        <f t="shared" si="4"/>
        <v>no</v>
      </c>
      <c r="U188" s="115">
        <f t="shared" si="5"/>
        <v>0</v>
      </c>
      <c r="V188" s="113">
        <f t="shared" si="34"/>
        <v>0</v>
      </c>
      <c r="W188" s="115">
        <f t="shared" si="6"/>
        <v>0</v>
      </c>
      <c r="X188" s="85">
        <f t="shared" si="7"/>
        <v>0</v>
      </c>
      <c r="Y188" s="116">
        <f t="shared" si="8"/>
        <v>0</v>
      </c>
      <c r="Z188" s="113">
        <f t="shared" si="9"/>
        <v>0</v>
      </c>
      <c r="AA188" s="113" t="str">
        <f t="shared" si="10"/>
        <v>yes</v>
      </c>
      <c r="AB188" s="115">
        <f t="shared" si="11"/>
        <v>0</v>
      </c>
      <c r="AC188" s="113">
        <f t="shared" si="35"/>
        <v>0</v>
      </c>
      <c r="AD188" s="116">
        <f t="shared" si="12"/>
        <v>0.1741316309</v>
      </c>
      <c r="AE188" s="114">
        <f t="shared" si="13"/>
        <v>15044.97291</v>
      </c>
      <c r="AF188" s="116">
        <f t="shared" si="14"/>
        <v>0.1768120838</v>
      </c>
      <c r="AG188" s="114">
        <f t="shared" si="15"/>
        <v>15276.56404</v>
      </c>
      <c r="AH188" s="113" t="str">
        <f t="shared" si="16"/>
        <v>no</v>
      </c>
      <c r="AI188" s="115">
        <f t="shared" si="17"/>
        <v>0</v>
      </c>
      <c r="AJ188" s="113">
        <f t="shared" si="36"/>
        <v>0</v>
      </c>
      <c r="AK188" s="116">
        <f t="shared" si="18"/>
        <v>0</v>
      </c>
      <c r="AL188" s="113">
        <f t="shared" si="19"/>
        <v>0</v>
      </c>
      <c r="AM188" s="115">
        <f t="shared" si="20"/>
        <v>0</v>
      </c>
      <c r="AN188" s="85">
        <f t="shared" si="21"/>
        <v>0</v>
      </c>
      <c r="AO188" s="113" t="str">
        <f t="shared" si="22"/>
        <v>no</v>
      </c>
      <c r="AP188" s="115">
        <f t="shared" si="23"/>
        <v>0</v>
      </c>
      <c r="AQ188" s="113">
        <f t="shared" si="37"/>
        <v>0</v>
      </c>
      <c r="AR188" s="116">
        <f t="shared" si="24"/>
        <v>0</v>
      </c>
      <c r="AS188" s="113">
        <f t="shared" si="25"/>
        <v>0</v>
      </c>
      <c r="AT188" s="116">
        <f t="shared" si="26"/>
        <v>0</v>
      </c>
      <c r="AU188" s="113">
        <f t="shared" si="27"/>
        <v>0</v>
      </c>
      <c r="AV188" s="113" t="str">
        <f t="shared" si="28"/>
        <v>no</v>
      </c>
      <c r="AW188" s="115">
        <f t="shared" si="29"/>
        <v>0</v>
      </c>
      <c r="AX188" s="85">
        <f t="shared" si="41"/>
        <v>0</v>
      </c>
      <c r="AY188" s="116">
        <f t="shared" si="30"/>
        <v>0</v>
      </c>
      <c r="AZ188" s="113">
        <f t="shared" si="31"/>
        <v>0</v>
      </c>
      <c r="BA188" s="116">
        <f t="shared" si="32"/>
        <v>0</v>
      </c>
      <c r="BB188" s="113">
        <f t="shared" si="33"/>
        <v>0</v>
      </c>
      <c r="BC188" s="112">
        <v>0.8774447371163543</v>
      </c>
      <c r="BD188" s="113" t="str">
        <f>ifs(BC188&lt;='Range Tables'!$G$81,'Range Tables'!$B$81,BC188&lt;='Range Tables'!$G$82,'Range Tables'!$B$82)</f>
        <v>Offline*</v>
      </c>
      <c r="BE188" s="112">
        <v>0.7760274024746526</v>
      </c>
      <c r="BF188" s="112" t="str">
        <f>ifs(BE188&lt;='Range Tables'!$G$95,'Range Tables'!$B$95,BE188&lt;='Range Tables'!$G$96,'Range Tables'!$B$96,BE188&lt;='Range Tables'!$G$97,'Range Tables'!$B$97,BE188&lt;='Range Tables'!$G$98,'Range Tables'!$B$98,BE188&lt;='Range Tables'!$G$99,'Range Tables'!$B$99,BE188&lt;='Range Tables'!$G$100,'Range Tables'!$B$100,BE188&lt;='Range Tables'!$G$101,'Range Tables'!$B$101,BE188&lt;='Range Tables'!$G$102,'Range Tables'!$B$102,BE188&lt;='Range Tables'!$G$103,'Range Tables'!$B$103)</f>
        <v>Other State Cities</v>
      </c>
      <c r="BG188" s="112">
        <v>0.06826992327867298</v>
      </c>
      <c r="BH188" s="113" t="str">
        <f>ifs(BG188&lt;='Range Tables'!$G$112,'Range Tables'!$B$112,BG188&lt;='Range Tables'!$G$113,'Range Tables'!$B$113,BG188&lt;='Range Tables'!$G$114,'Range Tables'!$B$114)</f>
        <v>0</v>
      </c>
      <c r="BI188" s="117">
        <v>0.5465661906042838</v>
      </c>
      <c r="BJ188" s="113" t="str">
        <f>ifs(BI188&lt;='Range Tables'!$G$118,'Range Tables'!$B$118,BI188&lt;='Range Tables'!$G$119,'Range Tables'!$B$119)</f>
        <v>Valid</v>
      </c>
    </row>
    <row r="189">
      <c r="A189" s="85">
        <v>186.0</v>
      </c>
      <c r="B189" s="112">
        <v>0.3477247858775607</v>
      </c>
      <c r="C189" s="113" t="str">
        <f>ifs(B189&lt;='Range Tables'!$G$54,'Range Tables'!$B$54,B189&lt;='Range Tables'!$G$55,'Range Tables'!$B$55,B189&lt;='Range Tables'!$G$56,'Range Tables'!$B$56,B189&lt;='Range Tables'!$G$57,'Range Tables'!$B$57,B189&lt;='Range Tables'!$G$58,'Range Tables'!$B$58,B189&lt;='Range Tables'!$G$59,'Range Tables'!$B$59,B189&lt;='Range Tables'!$G$60,'Range Tables'!$B$60,B189&lt;='Range Tables'!$G$61,'Range Tables'!$B$61,B189&lt;='Range Tables'!$G$63,'Range Tables'!$B$63,B189&lt;='Range Tables'!$G$64,'Range Tables'!$B$64,B189&lt;='Range Tables'!$G$66,'Range Tables'!$B$66)</f>
        <v>30 - 60 </v>
      </c>
      <c r="D189" s="113">
        <f>IFERROR(__xludf.DUMMYFUNCTION("SPLIT(C189,""-"")"),30.0)</f>
        <v>30</v>
      </c>
      <c r="E189" s="113">
        <f>IFERROR(__xludf.DUMMYFUNCTION("""COMPUTED_VALUE"""),60.0)</f>
        <v>60</v>
      </c>
      <c r="F189" s="114">
        <f t="shared" si="40"/>
        <v>40.43174358</v>
      </c>
      <c r="G189" s="112">
        <v>0.7878501653681997</v>
      </c>
      <c r="H189" s="113" t="str">
        <f>ifs(G189&lt;='Range Tables'!$G$86,'Range Tables'!$B$86,G189&lt;='Range Tables'!$G$87,'Range Tables'!$B$87,G189&lt;='Range Tables'!$G$88,'Range Tables'!$B$88,G189&lt;='Range Tables'!$G$89,'Range Tables'!$B$89,G189&lt;='Range Tables'!$G$90,'Range Tables'!$B$90,G189&lt;='Range Tables'!$G$91,'Range Tables'!$B$91)</f>
        <v>Scooter</v>
      </c>
      <c r="I189" s="112">
        <v>0.4876777235354962</v>
      </c>
      <c r="J189" s="113" t="str">
        <f>IFS(
  H189="Car", IF(I189&lt;='Range Tables'!$G$19, 'Range Tables'!$B$19, 'Range Tables'!$B$20), 
  H189="Bike", IF(I189&lt;='Range Tables'!$G$25, 'Range Tables'!$B$25, 'Range Tables'!$B$26), 
  H189="Scooter", IF(I189&lt;='Range Tables'!$G$31, 'Range Tables'!$B$31, 'Range Tables'!$B$32), 
  H189="Auto", IF(I189&lt;='Range Tables'!$G$37, 'Range Tables'!$B$37, 'Range Tables'!$B$38), 
  H189="Carriers*", IF(I189&lt;='Range Tables'!$G$43, 'Range Tables'!$B$43, 'Range Tables'!$B$44), 
  H189="Van*", IF(I189&lt;='Range Tables'!$G$50, 'Range Tables'!$B$50, 'Range Tables'!$B$49)
)</f>
        <v>Petrol</v>
      </c>
      <c r="K189" s="112">
        <v>0.4930417979293945</v>
      </c>
      <c r="L189" s="113">
        <f>if(J189="Petrol",ifs(K189&lt;='Range Tables'!$G$5,'Range Tables'!$B$5,K189&lt;='Range Tables'!$G$6,'Range Tables'!$B$6,K189&lt;='Range Tables'!$G$7,'Range Tables'!$B$7),ifs(K189&lt;='Range Tables'!$G$13,'Range Tables'!$B$13,K189&lt;='Range Tables'!$G$14,'Range Tables'!$B$14))</f>
        <v>2</v>
      </c>
      <c r="M189" s="112">
        <v>0.5702781500760243</v>
      </c>
      <c r="N189" s="113" t="str">
        <f>ifs(H189="Car",ifs(M189&lt;='Range Tables'!$G$125,'Range Tables'!$B$125,M189&lt;='Range Tables'!$G$126,'Range Tables'!$B$126,M189&lt;='Range Tables'!$G$127,'Range Tables'!$B$127,M189&lt;='Range Tables'!$G$128,'Range Tables'!$B$128,M189&lt;='Range Tables'!$G$129,'Range Tables'!$B$129,'Range Tables'!$G$131,'Range Tables'!$B$131),H189="Bike",ifs(M189&lt;='Range Tables'!$G$136,'Range Tables'!$B$136,M189&lt;='Range Tables'!$G$137,'Range Tables'!$B$137,M189&lt;='Range Tables'!$G$138,'Range Tables'!$B$138,M189&lt;='Range Tables'!$G$142,'Range Tables'!$B$142),H189="Scooter",ifs(M189&lt;='Range Tables'!$G$148,'Range Tables'!$B$148,M189&lt;='Range Tables'!$G$149,'Range Tables'!$B$149,M189&lt;='Range Tables'!$G$150,'Range Tables'!$B$150,M189&lt;='Range Tables'!$G$151,'Range Tables'!$B$151),H189="Auto",ifs(M189&lt;='Range Tables'!$G$161,'Range Tables'!$B$161,M189&lt;='Range Tables'!$G$162,'Range Tables'!$B$162,M189&lt;='Range Tables'!$G$163,'Range Tables'!$B$163,M189&lt;='Range Tables'!$G$164,'Range Tables'!$B$164),H189="Carriers*",ifs(M189&lt;='Range Tables'!$G$173,'Range Tables'!$B$173,M189&lt;='Range Tables'!$G$174,'Range Tables'!$B$174,M189&lt;='Range Tables'!$G$175,'Range Tables'!$B$175,M189&lt;='Range Tables'!$G$176,'Range Tables'!$B$176,M189&lt;='Range Tables'!$G$177,'Range Tables'!$B$177,M189&lt;='Range Tables'!$G$179,'Range Tables'!$B$179),H189="Van*",ifs(M189&lt;='Range Tables'!$G$186,'Range Tables'!$B$186))</f>
        <v>120 - 180</v>
      </c>
      <c r="O189" s="113">
        <f>IFERROR(__xludf.DUMMYFUNCTION("SPLIT(N189,""-"")"),120.0)</f>
        <v>120</v>
      </c>
      <c r="P189" s="113">
        <f>IFERROR(__xludf.DUMMYFUNCTION("""COMPUTED_VALUE"""),180.0)</f>
        <v>180</v>
      </c>
      <c r="Q189" s="114">
        <f t="shared" si="2"/>
        <v>154.216689</v>
      </c>
      <c r="R189" s="115">
        <f t="shared" si="3"/>
        <v>0.1750414905</v>
      </c>
      <c r="S189" s="114">
        <f t="shared" si="39"/>
        <v>15123.58478</v>
      </c>
      <c r="T189" s="113" t="str">
        <f t="shared" si="4"/>
        <v>no</v>
      </c>
      <c r="U189" s="115">
        <f t="shared" si="5"/>
        <v>0</v>
      </c>
      <c r="V189" s="113">
        <f t="shared" si="34"/>
        <v>0</v>
      </c>
      <c r="W189" s="115">
        <f t="shared" si="6"/>
        <v>0</v>
      </c>
      <c r="X189" s="85">
        <f t="shared" si="7"/>
        <v>0</v>
      </c>
      <c r="Y189" s="116">
        <f t="shared" si="8"/>
        <v>0</v>
      </c>
      <c r="Z189" s="113">
        <f t="shared" si="9"/>
        <v>0</v>
      </c>
      <c r="AA189" s="113" t="str">
        <f t="shared" si="10"/>
        <v>yes</v>
      </c>
      <c r="AB189" s="115">
        <f t="shared" si="11"/>
        <v>0.001770593342</v>
      </c>
      <c r="AC189" s="114">
        <f t="shared" si="35"/>
        <v>152.9792648</v>
      </c>
      <c r="AD189" s="116">
        <f t="shared" si="12"/>
        <v>0.1768120838</v>
      </c>
      <c r="AE189" s="114">
        <f t="shared" si="13"/>
        <v>15276.56404</v>
      </c>
      <c r="AF189" s="116">
        <f t="shared" si="14"/>
        <v>0.1785969992</v>
      </c>
      <c r="AG189" s="114">
        <f t="shared" si="15"/>
        <v>15430.78073</v>
      </c>
      <c r="AH189" s="113" t="str">
        <f t="shared" si="16"/>
        <v>no</v>
      </c>
      <c r="AI189" s="115">
        <f t="shared" si="17"/>
        <v>0</v>
      </c>
      <c r="AJ189" s="113">
        <f t="shared" si="36"/>
        <v>0</v>
      </c>
      <c r="AK189" s="116">
        <f t="shared" si="18"/>
        <v>0</v>
      </c>
      <c r="AL189" s="113">
        <f t="shared" si="19"/>
        <v>0</v>
      </c>
      <c r="AM189" s="115">
        <f t="shared" si="20"/>
        <v>0</v>
      </c>
      <c r="AN189" s="85">
        <f t="shared" si="21"/>
        <v>0</v>
      </c>
      <c r="AO189" s="113" t="str">
        <f t="shared" si="22"/>
        <v>no</v>
      </c>
      <c r="AP189" s="115">
        <f t="shared" si="23"/>
        <v>0</v>
      </c>
      <c r="AQ189" s="113">
        <f t="shared" si="37"/>
        <v>0</v>
      </c>
      <c r="AR189" s="116">
        <f t="shared" si="24"/>
        <v>0</v>
      </c>
      <c r="AS189" s="113">
        <f t="shared" si="25"/>
        <v>0</v>
      </c>
      <c r="AT189" s="116">
        <f t="shared" si="26"/>
        <v>0</v>
      </c>
      <c r="AU189" s="113">
        <f t="shared" si="27"/>
        <v>0</v>
      </c>
      <c r="AV189" s="113" t="str">
        <f t="shared" si="28"/>
        <v>no</v>
      </c>
      <c r="AW189" s="115">
        <f t="shared" si="29"/>
        <v>0</v>
      </c>
      <c r="AX189" s="85">
        <f t="shared" si="41"/>
        <v>0</v>
      </c>
      <c r="AY189" s="116">
        <f t="shared" si="30"/>
        <v>0</v>
      </c>
      <c r="AZ189" s="113">
        <f t="shared" si="31"/>
        <v>0</v>
      </c>
      <c r="BA189" s="116">
        <f t="shared" si="32"/>
        <v>0</v>
      </c>
      <c r="BB189" s="113">
        <f t="shared" si="33"/>
        <v>0</v>
      </c>
      <c r="BC189" s="112">
        <v>0.8532351690642097</v>
      </c>
      <c r="BD189" s="113" t="str">
        <f>ifs(BC189&lt;='Range Tables'!$G$81,'Range Tables'!$B$81,BC189&lt;='Range Tables'!$G$82,'Range Tables'!$B$82)</f>
        <v>Offline*</v>
      </c>
      <c r="BE189" s="112">
        <v>0.08791953604047886</v>
      </c>
      <c r="BF189" s="112" t="str">
        <f>ifs(BE189&lt;='Range Tables'!$G$95,'Range Tables'!$B$95,BE189&lt;='Range Tables'!$G$96,'Range Tables'!$B$96,BE189&lt;='Range Tables'!$G$97,'Range Tables'!$B$97,BE189&lt;='Range Tables'!$G$98,'Range Tables'!$B$98,BE189&lt;='Range Tables'!$G$99,'Range Tables'!$B$99,BE189&lt;='Range Tables'!$G$100,'Range Tables'!$B$100,BE189&lt;='Range Tables'!$G$101,'Range Tables'!$B$101,BE189&lt;='Range Tables'!$G$102,'Range Tables'!$B$102,BE189&lt;='Range Tables'!$G$103,'Range Tables'!$B$103)</f>
        <v>Jammu</v>
      </c>
      <c r="BG189" s="112">
        <v>0.24101265297761765</v>
      </c>
      <c r="BH189" s="113" t="str">
        <f>ifs(BG189&lt;='Range Tables'!$G$112,'Range Tables'!$B$112,BG189&lt;='Range Tables'!$G$113,'Range Tables'!$B$113,BG189&lt;='Range Tables'!$G$114,'Range Tables'!$B$114)</f>
        <v>0</v>
      </c>
      <c r="BI189" s="117">
        <v>0.05641680385625414</v>
      </c>
      <c r="BJ189" s="113" t="str">
        <f>ifs(BI189&lt;='Range Tables'!$G$118,'Range Tables'!$B$118,BI189&lt;='Range Tables'!$G$119,'Range Tables'!$B$119)</f>
        <v>Valid</v>
      </c>
    </row>
    <row r="190">
      <c r="A190" s="85">
        <v>187.0</v>
      </c>
      <c r="B190" s="112">
        <v>0.8799216839180501</v>
      </c>
      <c r="C190" s="113" t="str">
        <f>ifs(B190&lt;='Range Tables'!$G$54,'Range Tables'!$B$54,B190&lt;='Range Tables'!$G$55,'Range Tables'!$B$55,B190&lt;='Range Tables'!$G$56,'Range Tables'!$B$56,B190&lt;='Range Tables'!$G$57,'Range Tables'!$B$57,B190&lt;='Range Tables'!$G$58,'Range Tables'!$B$58,B190&lt;='Range Tables'!$G$59,'Range Tables'!$B$59,B190&lt;='Range Tables'!$G$60,'Range Tables'!$B$60,B190&lt;='Range Tables'!$G$61,'Range Tables'!$B$61,B190&lt;='Range Tables'!$G$63,'Range Tables'!$B$63,B190&lt;='Range Tables'!$G$64,'Range Tables'!$B$64,B190&lt;='Range Tables'!$G$66,'Range Tables'!$B$66)</f>
        <v>180 - 210</v>
      </c>
      <c r="D190" s="113">
        <f>IFERROR(__xludf.DUMMYFUNCTION("SPLIT(C190,""-"")"),180.0)</f>
        <v>180</v>
      </c>
      <c r="E190" s="113">
        <f>IFERROR(__xludf.DUMMYFUNCTION("""COMPUTED_VALUE"""),210.0)</f>
        <v>210</v>
      </c>
      <c r="F190" s="114">
        <f t="shared" si="40"/>
        <v>206.3976505</v>
      </c>
      <c r="G190" s="112">
        <v>0.3160608054769387</v>
      </c>
      <c r="H190" s="113" t="str">
        <f>ifs(G190&lt;='Range Tables'!$G$86,'Range Tables'!$B$86,G190&lt;='Range Tables'!$G$87,'Range Tables'!$B$87,G190&lt;='Range Tables'!$G$88,'Range Tables'!$B$88,G190&lt;='Range Tables'!$G$89,'Range Tables'!$B$89,G190&lt;='Range Tables'!$G$90,'Range Tables'!$B$90,G190&lt;='Range Tables'!$G$91,'Range Tables'!$B$91)</f>
        <v>Car</v>
      </c>
      <c r="I190" s="112">
        <v>0.8079383210162313</v>
      </c>
      <c r="J190" s="113" t="str">
        <f>IFS(
  H190="Car", IF(I190&lt;='Range Tables'!$G$19, 'Range Tables'!$B$19, 'Range Tables'!$B$20), 
  H190="Bike", IF(I190&lt;='Range Tables'!$G$25, 'Range Tables'!$B$25, 'Range Tables'!$B$26), 
  H190="Scooter", IF(I190&lt;='Range Tables'!$G$31, 'Range Tables'!$B$31, 'Range Tables'!$B$32), 
  H190="Auto", IF(I190&lt;='Range Tables'!$G$37, 'Range Tables'!$B$37, 'Range Tables'!$B$38), 
  H190="Carriers*", IF(I190&lt;='Range Tables'!$G$43, 'Range Tables'!$B$43, 'Range Tables'!$B$44), 
  H190="Van*", IF(I190&lt;='Range Tables'!$G$50, 'Range Tables'!$B$50, 'Range Tables'!$B$49)
)</f>
        <v>Petrol</v>
      </c>
      <c r="K190" s="112">
        <v>0.8989851414657747</v>
      </c>
      <c r="L190" s="113">
        <f>if(J190="Petrol",ifs(K190&lt;='Range Tables'!$G$5,'Range Tables'!$B$5,K190&lt;='Range Tables'!$G$6,'Range Tables'!$B$6,K190&lt;='Range Tables'!$G$7,'Range Tables'!$B$7),ifs(K190&lt;='Range Tables'!$G$13,'Range Tables'!$B$13,K190&lt;='Range Tables'!$G$14,'Range Tables'!$B$14))</f>
        <v>4</v>
      </c>
      <c r="M190" s="112">
        <v>0.0646655336395554</v>
      </c>
      <c r="N190" s="113" t="str">
        <f>ifs(H190="Car",ifs(M190&lt;='Range Tables'!$G$125,'Range Tables'!$B$125,M190&lt;='Range Tables'!$G$126,'Range Tables'!$B$126,M190&lt;='Range Tables'!$G$127,'Range Tables'!$B$127,M190&lt;='Range Tables'!$G$128,'Range Tables'!$B$128,M190&lt;='Range Tables'!$G$129,'Range Tables'!$B$129,'Range Tables'!$G$131,'Range Tables'!$B$131),H190="Bike",ifs(M190&lt;='Range Tables'!$G$136,'Range Tables'!$B$136,M190&lt;='Range Tables'!$G$137,'Range Tables'!$B$137,M190&lt;='Range Tables'!$G$138,'Range Tables'!$B$138,M190&lt;='Range Tables'!$G$142,'Range Tables'!$B$142),H190="Scooter",ifs(M190&lt;='Range Tables'!$G$148,'Range Tables'!$B$148,M190&lt;='Range Tables'!$G$149,'Range Tables'!$B$149,M190&lt;='Range Tables'!$G$150,'Range Tables'!$B$150,M190&lt;='Range Tables'!$G$151,'Range Tables'!$B$151),H190="Auto",ifs(M190&lt;='Range Tables'!$G$161,'Range Tables'!$B$161,M190&lt;='Range Tables'!$G$162,'Range Tables'!$B$162,M190&lt;='Range Tables'!$G$163,'Range Tables'!$B$163,M190&lt;='Range Tables'!$G$164,'Range Tables'!$B$164),H190="Carriers*",ifs(M190&lt;='Range Tables'!$G$173,'Range Tables'!$B$173,M190&lt;='Range Tables'!$G$174,'Range Tables'!$B$174,M190&lt;='Range Tables'!$G$175,'Range Tables'!$B$175,M190&lt;='Range Tables'!$G$176,'Range Tables'!$B$176,M190&lt;='Range Tables'!$G$177,'Range Tables'!$B$177,M190&lt;='Range Tables'!$G$179,'Range Tables'!$B$179),H190="Van*",ifs(M190&lt;='Range Tables'!$G$186,'Range Tables'!$B$186))</f>
        <v>60 - 120</v>
      </c>
      <c r="O190" s="113">
        <f>IFERROR(__xludf.DUMMYFUNCTION("SPLIT(N190,""-"")"),60.0)</f>
        <v>60</v>
      </c>
      <c r="P190" s="113">
        <f>IFERROR(__xludf.DUMMYFUNCTION("""COMPUTED_VALUE"""),120.0)</f>
        <v>120</v>
      </c>
      <c r="Q190" s="114">
        <f t="shared" si="2"/>
        <v>63.87993202</v>
      </c>
      <c r="R190" s="115">
        <f t="shared" si="3"/>
        <v>0.1755094505</v>
      </c>
      <c r="S190" s="114">
        <f t="shared" si="39"/>
        <v>15164.01652</v>
      </c>
      <c r="T190" s="113" t="str">
        <f t="shared" si="4"/>
        <v>no</v>
      </c>
      <c r="U190" s="115">
        <f t="shared" si="5"/>
        <v>0</v>
      </c>
      <c r="V190" s="113">
        <f t="shared" si="34"/>
        <v>0</v>
      </c>
      <c r="W190" s="115">
        <f t="shared" si="6"/>
        <v>0</v>
      </c>
      <c r="X190" s="85">
        <f t="shared" si="7"/>
        <v>0</v>
      </c>
      <c r="Y190" s="116">
        <f t="shared" si="8"/>
        <v>0</v>
      </c>
      <c r="Z190" s="113">
        <f t="shared" si="9"/>
        <v>0</v>
      </c>
      <c r="AA190" s="113" t="str">
        <f t="shared" si="10"/>
        <v>no</v>
      </c>
      <c r="AB190" s="115">
        <f t="shared" si="11"/>
        <v>0</v>
      </c>
      <c r="AC190" s="113">
        <f t="shared" si="35"/>
        <v>0</v>
      </c>
      <c r="AD190" s="116">
        <f t="shared" si="12"/>
        <v>0</v>
      </c>
      <c r="AE190" s="113">
        <f t="shared" si="13"/>
        <v>0</v>
      </c>
      <c r="AF190" s="116">
        <f t="shared" si="14"/>
        <v>0</v>
      </c>
      <c r="AG190" s="113">
        <f t="shared" si="15"/>
        <v>0</v>
      </c>
      <c r="AH190" s="113" t="str">
        <f t="shared" si="16"/>
        <v>no</v>
      </c>
      <c r="AI190" s="115">
        <f t="shared" si="17"/>
        <v>0</v>
      </c>
      <c r="AJ190" s="113">
        <f t="shared" si="36"/>
        <v>0</v>
      </c>
      <c r="AK190" s="116">
        <f t="shared" si="18"/>
        <v>0</v>
      </c>
      <c r="AL190" s="113">
        <f t="shared" si="19"/>
        <v>0</v>
      </c>
      <c r="AM190" s="115">
        <f t="shared" si="20"/>
        <v>0</v>
      </c>
      <c r="AN190" s="85">
        <f t="shared" si="21"/>
        <v>0</v>
      </c>
      <c r="AO190" s="113" t="str">
        <f t="shared" si="22"/>
        <v>yes</v>
      </c>
      <c r="AP190" s="115">
        <f t="shared" si="23"/>
        <v>0</v>
      </c>
      <c r="AQ190" s="113">
        <f t="shared" si="37"/>
        <v>0</v>
      </c>
      <c r="AR190" s="116">
        <f t="shared" si="24"/>
        <v>0.1755094505</v>
      </c>
      <c r="AS190" s="114">
        <f t="shared" si="25"/>
        <v>15164.01652</v>
      </c>
      <c r="AT190" s="116">
        <f t="shared" si="26"/>
        <v>0.1762488015</v>
      </c>
      <c r="AU190" s="114">
        <f t="shared" si="27"/>
        <v>15227.89645</v>
      </c>
      <c r="AV190" s="113" t="str">
        <f t="shared" si="28"/>
        <v>no</v>
      </c>
      <c r="AW190" s="115">
        <f t="shared" si="29"/>
        <v>0</v>
      </c>
      <c r="AX190" s="85">
        <f t="shared" si="41"/>
        <v>0</v>
      </c>
      <c r="AY190" s="116">
        <f t="shared" si="30"/>
        <v>0</v>
      </c>
      <c r="AZ190" s="113">
        <f t="shared" si="31"/>
        <v>0</v>
      </c>
      <c r="BA190" s="116">
        <f t="shared" si="32"/>
        <v>0</v>
      </c>
      <c r="BB190" s="113">
        <f t="shared" si="33"/>
        <v>0</v>
      </c>
      <c r="BC190" s="112">
        <v>0.4019566210855754</v>
      </c>
      <c r="BD190" s="113" t="str">
        <f>ifs(BC190&lt;='Range Tables'!$G$81,'Range Tables'!$B$81,BC190&lt;='Range Tables'!$G$82,'Range Tables'!$B$82)</f>
        <v>Offline*</v>
      </c>
      <c r="BE190" s="112">
        <v>0.9830096729865893</v>
      </c>
      <c r="BF190" s="112" t="str">
        <f>ifs(BE190&lt;='Range Tables'!$G$95,'Range Tables'!$B$95,BE190&lt;='Range Tables'!$G$96,'Range Tables'!$B$96,BE190&lt;='Range Tables'!$G$97,'Range Tables'!$B$97,BE190&lt;='Range Tables'!$G$98,'Range Tables'!$B$98,BE190&lt;='Range Tables'!$G$99,'Range Tables'!$B$99,BE190&lt;='Range Tables'!$G$100,'Range Tables'!$B$100,BE190&lt;='Range Tables'!$G$101,'Range Tables'!$B$101,BE190&lt;='Range Tables'!$G$102,'Range Tables'!$B$102,BE190&lt;='Range Tables'!$G$103,'Range Tables'!$B$103)</f>
        <v>Samba</v>
      </c>
      <c r="BG190" s="112">
        <v>0.7976762570529556</v>
      </c>
      <c r="BH190" s="113" t="str">
        <f>ifs(BG190&lt;='Range Tables'!$G$112,'Range Tables'!$B$112,BG190&lt;='Range Tables'!$G$113,'Range Tables'!$B$113,BG190&lt;='Range Tables'!$G$114,'Range Tables'!$B$114)</f>
        <v>1-5</v>
      </c>
      <c r="BI190" s="117">
        <v>0.17761072819121615</v>
      </c>
      <c r="BJ190" s="113" t="str">
        <f>ifs(BI190&lt;='Range Tables'!$G$118,'Range Tables'!$B$118,BI190&lt;='Range Tables'!$G$119,'Range Tables'!$B$119)</f>
        <v>Valid</v>
      </c>
    </row>
    <row r="191">
      <c r="A191" s="85">
        <v>188.0</v>
      </c>
      <c r="B191" s="112">
        <v>0.18112778900696036</v>
      </c>
      <c r="C191" s="113" t="str">
        <f>ifs(B191&lt;='Range Tables'!$G$54,'Range Tables'!$B$54,B191&lt;='Range Tables'!$G$55,'Range Tables'!$B$55,B191&lt;='Range Tables'!$G$56,'Range Tables'!$B$56,B191&lt;='Range Tables'!$G$57,'Range Tables'!$B$57,B191&lt;='Range Tables'!$G$58,'Range Tables'!$B$58,B191&lt;='Range Tables'!$G$59,'Range Tables'!$B$59,B191&lt;='Range Tables'!$G$60,'Range Tables'!$B$60,B191&lt;='Range Tables'!$G$61,'Range Tables'!$B$61,B191&lt;='Range Tables'!$G$63,'Range Tables'!$B$63,B191&lt;='Range Tables'!$G$64,'Range Tables'!$B$64,B191&lt;='Range Tables'!$G$66,'Range Tables'!$B$66)</f>
        <v>0 - 30</v>
      </c>
      <c r="D191" s="113">
        <f>IFERROR(__xludf.DUMMYFUNCTION("SPLIT(C191,""-"")"),0.0)</f>
        <v>0</v>
      </c>
      <c r="E191" s="113">
        <f>IFERROR(__xludf.DUMMYFUNCTION("""COMPUTED_VALUE"""),30.0)</f>
        <v>30</v>
      </c>
      <c r="F191" s="114">
        <f t="shared" si="40"/>
        <v>5.43383367</v>
      </c>
      <c r="G191" s="112">
        <v>0.5801529171993115</v>
      </c>
      <c r="H191" s="113" t="str">
        <f>ifs(G191&lt;='Range Tables'!$G$86,'Range Tables'!$B$86,G191&lt;='Range Tables'!$G$87,'Range Tables'!$B$87,G191&lt;='Range Tables'!$G$88,'Range Tables'!$B$88,G191&lt;='Range Tables'!$G$89,'Range Tables'!$B$89,G191&lt;='Range Tables'!$G$90,'Range Tables'!$B$90,G191&lt;='Range Tables'!$G$91,'Range Tables'!$B$91)</f>
        <v>Bike</v>
      </c>
      <c r="I191" s="112">
        <v>0.6006818584543255</v>
      </c>
      <c r="J191" s="113" t="str">
        <f>IFS(
  H191="Car", IF(I191&lt;='Range Tables'!$G$19, 'Range Tables'!$B$19, 'Range Tables'!$B$20), 
  H191="Bike", IF(I191&lt;='Range Tables'!$G$25, 'Range Tables'!$B$25, 'Range Tables'!$B$26), 
  H191="Scooter", IF(I191&lt;='Range Tables'!$G$31, 'Range Tables'!$B$31, 'Range Tables'!$B$32), 
  H191="Auto", IF(I191&lt;='Range Tables'!$G$37, 'Range Tables'!$B$37, 'Range Tables'!$B$38), 
  H191="Carriers*", IF(I191&lt;='Range Tables'!$G$43, 'Range Tables'!$B$43, 'Range Tables'!$B$44), 
  H191="Van*", IF(I191&lt;='Range Tables'!$G$50, 'Range Tables'!$B$50, 'Range Tables'!$B$49)
)</f>
        <v>Petrol</v>
      </c>
      <c r="K191" s="112">
        <v>0.9677840697763765</v>
      </c>
      <c r="L191" s="113">
        <f>if(J191="Petrol",ifs(K191&lt;='Range Tables'!$G$5,'Range Tables'!$B$5,K191&lt;='Range Tables'!$G$6,'Range Tables'!$B$6,K191&lt;='Range Tables'!$G$7,'Range Tables'!$B$7),ifs(K191&lt;='Range Tables'!$G$13,'Range Tables'!$B$13,K191&lt;='Range Tables'!$G$14,'Range Tables'!$B$14))</f>
        <v>4</v>
      </c>
      <c r="M191" s="112">
        <v>0.6177119846884999</v>
      </c>
      <c r="N191" s="113" t="str">
        <f>ifs(H191="Car",ifs(M191&lt;='Range Tables'!$G$125,'Range Tables'!$B$125,M191&lt;='Range Tables'!$G$126,'Range Tables'!$B$126,M191&lt;='Range Tables'!$G$127,'Range Tables'!$B$127,M191&lt;='Range Tables'!$G$128,'Range Tables'!$B$128,M191&lt;='Range Tables'!$G$129,'Range Tables'!$B$129,'Range Tables'!$G$131,'Range Tables'!$B$131),H191="Bike",ifs(M191&lt;='Range Tables'!$G$136,'Range Tables'!$B$136,M191&lt;='Range Tables'!$G$137,'Range Tables'!$B$137,M191&lt;='Range Tables'!$G$138,'Range Tables'!$B$138,M191&lt;='Range Tables'!$G$142,'Range Tables'!$B$142),H191="Scooter",ifs(M191&lt;='Range Tables'!$G$148,'Range Tables'!$B$148,M191&lt;='Range Tables'!$G$149,'Range Tables'!$B$149,M191&lt;='Range Tables'!$G$150,'Range Tables'!$B$150,M191&lt;='Range Tables'!$G$151,'Range Tables'!$B$151),H191="Auto",ifs(M191&lt;='Range Tables'!$G$161,'Range Tables'!$B$161,M191&lt;='Range Tables'!$G$162,'Range Tables'!$B$162,M191&lt;='Range Tables'!$G$163,'Range Tables'!$B$163,M191&lt;='Range Tables'!$G$164,'Range Tables'!$B$164),H191="Carriers*",ifs(M191&lt;='Range Tables'!$G$173,'Range Tables'!$B$173,M191&lt;='Range Tables'!$G$174,'Range Tables'!$B$174,M191&lt;='Range Tables'!$G$175,'Range Tables'!$B$175,M191&lt;='Range Tables'!$G$176,'Range Tables'!$B$176,M191&lt;='Range Tables'!$G$177,'Range Tables'!$B$177,M191&lt;='Range Tables'!$G$179,'Range Tables'!$B$179),H191="Van*",ifs(M191&lt;='Range Tables'!$G$186,'Range Tables'!$B$186))</f>
        <v>60 - 120</v>
      </c>
      <c r="O191" s="113">
        <f>IFERROR(__xludf.DUMMYFUNCTION("SPLIT(N191,""-"")"),60.0)</f>
        <v>60</v>
      </c>
      <c r="P191" s="113">
        <f>IFERROR(__xludf.DUMMYFUNCTION("""COMPUTED_VALUE"""),120.0)</f>
        <v>120</v>
      </c>
      <c r="Q191" s="114">
        <f t="shared" si="2"/>
        <v>97.06271908</v>
      </c>
      <c r="R191" s="115">
        <f t="shared" si="3"/>
        <v>0.1778983122</v>
      </c>
      <c r="S191" s="114">
        <f t="shared" si="39"/>
        <v>15370.41417</v>
      </c>
      <c r="T191" s="113" t="str">
        <f t="shared" si="4"/>
        <v>no</v>
      </c>
      <c r="U191" s="115">
        <f t="shared" si="5"/>
        <v>0</v>
      </c>
      <c r="V191" s="113">
        <f t="shared" si="34"/>
        <v>0</v>
      </c>
      <c r="W191" s="115">
        <f t="shared" si="6"/>
        <v>0</v>
      </c>
      <c r="X191" s="85">
        <f t="shared" si="7"/>
        <v>0</v>
      </c>
      <c r="Y191" s="116">
        <f t="shared" si="8"/>
        <v>0</v>
      </c>
      <c r="Z191" s="113">
        <f t="shared" si="9"/>
        <v>0</v>
      </c>
      <c r="AA191" s="113" t="str">
        <f t="shared" si="10"/>
        <v>no</v>
      </c>
      <c r="AB191" s="115">
        <f t="shared" si="11"/>
        <v>0</v>
      </c>
      <c r="AC191" s="113">
        <f t="shared" si="35"/>
        <v>0</v>
      </c>
      <c r="AD191" s="116">
        <f t="shared" si="12"/>
        <v>0</v>
      </c>
      <c r="AE191" s="113">
        <f t="shared" si="13"/>
        <v>0</v>
      </c>
      <c r="AF191" s="116">
        <f t="shared" si="14"/>
        <v>0</v>
      </c>
      <c r="AG191" s="113">
        <f t="shared" si="15"/>
        <v>0</v>
      </c>
      <c r="AH191" s="113" t="str">
        <f t="shared" si="16"/>
        <v>no</v>
      </c>
      <c r="AI191" s="115">
        <f t="shared" si="17"/>
        <v>0</v>
      </c>
      <c r="AJ191" s="113">
        <f t="shared" si="36"/>
        <v>0</v>
      </c>
      <c r="AK191" s="116">
        <f t="shared" si="18"/>
        <v>0</v>
      </c>
      <c r="AL191" s="113">
        <f t="shared" si="19"/>
        <v>0</v>
      </c>
      <c r="AM191" s="115">
        <f t="shared" si="20"/>
        <v>0</v>
      </c>
      <c r="AN191" s="85">
        <f t="shared" si="21"/>
        <v>0</v>
      </c>
      <c r="AO191" s="113" t="str">
        <f t="shared" si="22"/>
        <v>yes</v>
      </c>
      <c r="AP191" s="115">
        <f t="shared" si="23"/>
        <v>0</v>
      </c>
      <c r="AQ191" s="113">
        <f t="shared" si="37"/>
        <v>0</v>
      </c>
      <c r="AR191" s="116">
        <f t="shared" si="24"/>
        <v>0.1778983122</v>
      </c>
      <c r="AS191" s="114">
        <f t="shared" si="25"/>
        <v>15370.41417</v>
      </c>
      <c r="AT191" s="116">
        <f t="shared" si="26"/>
        <v>0.1790217233</v>
      </c>
      <c r="AU191" s="114">
        <f t="shared" si="27"/>
        <v>15467.47689</v>
      </c>
      <c r="AV191" s="113" t="str">
        <f t="shared" si="28"/>
        <v>no</v>
      </c>
      <c r="AW191" s="115">
        <f t="shared" si="29"/>
        <v>0</v>
      </c>
      <c r="AX191" s="85">
        <f t="shared" si="41"/>
        <v>0</v>
      </c>
      <c r="AY191" s="116">
        <f t="shared" si="30"/>
        <v>0</v>
      </c>
      <c r="AZ191" s="113">
        <f t="shared" si="31"/>
        <v>0</v>
      </c>
      <c r="BA191" s="116">
        <f t="shared" si="32"/>
        <v>0</v>
      </c>
      <c r="BB191" s="113">
        <f t="shared" si="33"/>
        <v>0</v>
      </c>
      <c r="BC191" s="112">
        <v>0.6824878659509178</v>
      </c>
      <c r="BD191" s="113" t="str">
        <f>ifs(BC191&lt;='Range Tables'!$G$81,'Range Tables'!$B$81,BC191&lt;='Range Tables'!$G$82,'Range Tables'!$B$82)</f>
        <v>Offline*</v>
      </c>
      <c r="BE191" s="112">
        <v>0.7560034126557035</v>
      </c>
      <c r="BF191" s="112" t="str">
        <f>ifs(BE191&lt;='Range Tables'!$G$95,'Range Tables'!$B$95,BE191&lt;='Range Tables'!$G$96,'Range Tables'!$B$96,BE191&lt;='Range Tables'!$G$97,'Range Tables'!$B$97,BE191&lt;='Range Tables'!$G$98,'Range Tables'!$B$98,BE191&lt;='Range Tables'!$G$99,'Range Tables'!$B$99,BE191&lt;='Range Tables'!$G$100,'Range Tables'!$B$100,BE191&lt;='Range Tables'!$G$101,'Range Tables'!$B$101,BE191&lt;='Range Tables'!$G$102,'Range Tables'!$B$102,BE191&lt;='Range Tables'!$G$103,'Range Tables'!$B$103)</f>
        <v>Jammu</v>
      </c>
      <c r="BG191" s="112">
        <v>0.3194973994796858</v>
      </c>
      <c r="BH191" s="113" t="str">
        <f>ifs(BG191&lt;='Range Tables'!$G$112,'Range Tables'!$B$112,BG191&lt;='Range Tables'!$G$113,'Range Tables'!$B$113,BG191&lt;='Range Tables'!$G$114,'Range Tables'!$B$114)</f>
        <v>0</v>
      </c>
      <c r="BI191" s="117">
        <v>0.5592722609292615</v>
      </c>
      <c r="BJ191" s="113" t="str">
        <f>ifs(BI191&lt;='Range Tables'!$G$118,'Range Tables'!$B$118,BI191&lt;='Range Tables'!$G$119,'Range Tables'!$B$119)</f>
        <v>Valid</v>
      </c>
    </row>
    <row r="192">
      <c r="A192" s="85">
        <v>189.0</v>
      </c>
      <c r="B192" s="112">
        <v>0.44621421311726694</v>
      </c>
      <c r="C192" s="113" t="str">
        <f>ifs(B192&lt;='Range Tables'!$G$54,'Range Tables'!$B$54,B192&lt;='Range Tables'!$G$55,'Range Tables'!$B$55,B192&lt;='Range Tables'!$G$56,'Range Tables'!$B$56,B192&lt;='Range Tables'!$G$57,'Range Tables'!$B$57,B192&lt;='Range Tables'!$G$58,'Range Tables'!$B$58,B192&lt;='Range Tables'!$G$59,'Range Tables'!$B$59,B192&lt;='Range Tables'!$G$60,'Range Tables'!$B$60,B192&lt;='Range Tables'!$G$61,'Range Tables'!$B$61,B192&lt;='Range Tables'!$G$63,'Range Tables'!$B$63,B192&lt;='Range Tables'!$G$64,'Range Tables'!$B$64,B192&lt;='Range Tables'!$G$66,'Range Tables'!$B$66)</f>
        <v>30 - 60 </v>
      </c>
      <c r="D192" s="113">
        <f>IFERROR(__xludf.DUMMYFUNCTION("SPLIT(C192,""-"")"),30.0)</f>
        <v>30</v>
      </c>
      <c r="E192" s="113">
        <f>IFERROR(__xludf.DUMMYFUNCTION("""COMPUTED_VALUE"""),60.0)</f>
        <v>60</v>
      </c>
      <c r="F192" s="114">
        <f t="shared" si="40"/>
        <v>43.38642639</v>
      </c>
      <c r="G192" s="112">
        <v>0.06669783028896603</v>
      </c>
      <c r="H192" s="113" t="str">
        <f>ifs(G192&lt;='Range Tables'!$G$86,'Range Tables'!$B$86,G192&lt;='Range Tables'!$G$87,'Range Tables'!$B$87,G192&lt;='Range Tables'!$G$88,'Range Tables'!$B$88,G192&lt;='Range Tables'!$G$89,'Range Tables'!$B$89,G192&lt;='Range Tables'!$G$90,'Range Tables'!$B$90,G192&lt;='Range Tables'!$G$91,'Range Tables'!$B$91)</f>
        <v>Car</v>
      </c>
      <c r="I192" s="112">
        <v>0.8203586806531228</v>
      </c>
      <c r="J192" s="113" t="str">
        <f>IFS(
  H192="Car", IF(I192&lt;='Range Tables'!$G$19, 'Range Tables'!$B$19, 'Range Tables'!$B$20), 
  H192="Bike", IF(I192&lt;='Range Tables'!$G$25, 'Range Tables'!$B$25, 'Range Tables'!$B$26), 
  H192="Scooter", IF(I192&lt;='Range Tables'!$G$31, 'Range Tables'!$B$31, 'Range Tables'!$B$32), 
  H192="Auto", IF(I192&lt;='Range Tables'!$G$37, 'Range Tables'!$B$37, 'Range Tables'!$B$38), 
  H192="Carriers*", IF(I192&lt;='Range Tables'!$G$43, 'Range Tables'!$B$43, 'Range Tables'!$B$44), 
  H192="Van*", IF(I192&lt;='Range Tables'!$G$50, 'Range Tables'!$B$50, 'Range Tables'!$B$49)
)</f>
        <v>Petrol</v>
      </c>
      <c r="K192" s="112">
        <v>0.3996387145192518</v>
      </c>
      <c r="L192" s="113">
        <f>if(J192="Petrol",ifs(K192&lt;='Range Tables'!$G$5,'Range Tables'!$B$5,K192&lt;='Range Tables'!$G$6,'Range Tables'!$B$6,K192&lt;='Range Tables'!$G$7,'Range Tables'!$B$7),ifs(K192&lt;='Range Tables'!$G$13,'Range Tables'!$B$13,K192&lt;='Range Tables'!$G$14,'Range Tables'!$B$14))</f>
        <v>2</v>
      </c>
      <c r="M192" s="112">
        <v>0.7197955982700985</v>
      </c>
      <c r="N192" s="113" t="str">
        <f>ifs(H192="Car",ifs(M192&lt;='Range Tables'!$G$125,'Range Tables'!$B$125,M192&lt;='Range Tables'!$G$126,'Range Tables'!$B$126,M192&lt;='Range Tables'!$G$127,'Range Tables'!$B$127,M192&lt;='Range Tables'!$G$128,'Range Tables'!$B$128,M192&lt;='Range Tables'!$G$129,'Range Tables'!$B$129,'Range Tables'!$G$131,'Range Tables'!$B$131),H192="Bike",ifs(M192&lt;='Range Tables'!$G$136,'Range Tables'!$B$136,M192&lt;='Range Tables'!$G$137,'Range Tables'!$B$137,M192&lt;='Range Tables'!$G$138,'Range Tables'!$B$138,M192&lt;='Range Tables'!$G$142,'Range Tables'!$B$142),H192="Scooter",ifs(M192&lt;='Range Tables'!$G$148,'Range Tables'!$B$148,M192&lt;='Range Tables'!$G$149,'Range Tables'!$B$149,M192&lt;='Range Tables'!$G$150,'Range Tables'!$B$150,M192&lt;='Range Tables'!$G$151,'Range Tables'!$B$151),H192="Auto",ifs(M192&lt;='Range Tables'!$G$161,'Range Tables'!$B$161,M192&lt;='Range Tables'!$G$162,'Range Tables'!$B$162,M192&lt;='Range Tables'!$G$163,'Range Tables'!$B$163,M192&lt;='Range Tables'!$G$164,'Range Tables'!$B$164),H192="Carriers*",ifs(M192&lt;='Range Tables'!$G$173,'Range Tables'!$B$173,M192&lt;='Range Tables'!$G$174,'Range Tables'!$B$174,M192&lt;='Range Tables'!$G$175,'Range Tables'!$B$175,M192&lt;='Range Tables'!$G$176,'Range Tables'!$B$176,M192&lt;='Range Tables'!$G$177,'Range Tables'!$B$177,M192&lt;='Range Tables'!$G$179,'Range Tables'!$B$179),H192="Van*",ifs(M192&lt;='Range Tables'!$G$186,'Range Tables'!$B$186))</f>
        <v>120 - 180</v>
      </c>
      <c r="O192" s="113">
        <f>IFERROR(__xludf.DUMMYFUNCTION("SPLIT(N192,""-"")"),120.0)</f>
        <v>120</v>
      </c>
      <c r="P192" s="113">
        <f>IFERROR(__xludf.DUMMYFUNCTION("""COMPUTED_VALUE"""),180.0)</f>
        <v>180</v>
      </c>
      <c r="Q192" s="114">
        <f t="shared" si="2"/>
        <v>163.1877359</v>
      </c>
      <c r="R192" s="115">
        <f t="shared" si="3"/>
        <v>0.1779612037</v>
      </c>
      <c r="S192" s="114">
        <f t="shared" si="39"/>
        <v>15375.848</v>
      </c>
      <c r="T192" s="113" t="str">
        <f t="shared" si="4"/>
        <v>no</v>
      </c>
      <c r="U192" s="115">
        <f t="shared" si="5"/>
        <v>0</v>
      </c>
      <c r="V192" s="113">
        <f t="shared" si="34"/>
        <v>0</v>
      </c>
      <c r="W192" s="115">
        <f t="shared" si="6"/>
        <v>0</v>
      </c>
      <c r="X192" s="85">
        <f t="shared" si="7"/>
        <v>0</v>
      </c>
      <c r="Y192" s="116">
        <f t="shared" si="8"/>
        <v>0</v>
      </c>
      <c r="Z192" s="113">
        <f t="shared" si="9"/>
        <v>0</v>
      </c>
      <c r="AA192" s="113" t="str">
        <f t="shared" si="10"/>
        <v>yes</v>
      </c>
      <c r="AB192" s="115">
        <f t="shared" si="11"/>
        <v>0</v>
      </c>
      <c r="AC192" s="113">
        <f t="shared" si="35"/>
        <v>0</v>
      </c>
      <c r="AD192" s="116">
        <f t="shared" si="12"/>
        <v>0.1779612037</v>
      </c>
      <c r="AE192" s="114">
        <f t="shared" si="13"/>
        <v>15375.848</v>
      </c>
      <c r="AF192" s="116">
        <f t="shared" si="14"/>
        <v>0.1798499507</v>
      </c>
      <c r="AG192" s="114">
        <f t="shared" si="15"/>
        <v>15539.03574</v>
      </c>
      <c r="AH192" s="113" t="str">
        <f t="shared" si="16"/>
        <v>no</v>
      </c>
      <c r="AI192" s="115">
        <f t="shared" si="17"/>
        <v>0</v>
      </c>
      <c r="AJ192" s="113">
        <f t="shared" si="36"/>
        <v>0</v>
      </c>
      <c r="AK192" s="116">
        <f t="shared" si="18"/>
        <v>0</v>
      </c>
      <c r="AL192" s="113">
        <f t="shared" si="19"/>
        <v>0</v>
      </c>
      <c r="AM192" s="115">
        <f t="shared" si="20"/>
        <v>0</v>
      </c>
      <c r="AN192" s="85">
        <f t="shared" si="21"/>
        <v>0</v>
      </c>
      <c r="AO192" s="113" t="str">
        <f t="shared" si="22"/>
        <v>no</v>
      </c>
      <c r="AP192" s="115">
        <f t="shared" si="23"/>
        <v>0</v>
      </c>
      <c r="AQ192" s="113">
        <f t="shared" si="37"/>
        <v>0</v>
      </c>
      <c r="AR192" s="116">
        <f t="shared" si="24"/>
        <v>0</v>
      </c>
      <c r="AS192" s="113">
        <f t="shared" si="25"/>
        <v>0</v>
      </c>
      <c r="AT192" s="116">
        <f t="shared" si="26"/>
        <v>0</v>
      </c>
      <c r="AU192" s="113">
        <f t="shared" si="27"/>
        <v>0</v>
      </c>
      <c r="AV192" s="113" t="str">
        <f t="shared" si="28"/>
        <v>no</v>
      </c>
      <c r="AW192" s="115">
        <f t="shared" si="29"/>
        <v>0</v>
      </c>
      <c r="AX192" s="85">
        <f t="shared" si="41"/>
        <v>0</v>
      </c>
      <c r="AY192" s="116">
        <f t="shared" si="30"/>
        <v>0</v>
      </c>
      <c r="AZ192" s="113">
        <f t="shared" si="31"/>
        <v>0</v>
      </c>
      <c r="BA192" s="116">
        <f t="shared" si="32"/>
        <v>0</v>
      </c>
      <c r="BB192" s="113">
        <f t="shared" si="33"/>
        <v>0</v>
      </c>
      <c r="BC192" s="112">
        <v>0.6874731990277877</v>
      </c>
      <c r="BD192" s="113" t="str">
        <f>ifs(BC192&lt;='Range Tables'!$G$81,'Range Tables'!$B$81,BC192&lt;='Range Tables'!$G$82,'Range Tables'!$B$82)</f>
        <v>Offline*</v>
      </c>
      <c r="BE192" s="112">
        <v>0.49721400197441334</v>
      </c>
      <c r="BF192" s="112" t="str">
        <f>ifs(BE192&lt;='Range Tables'!$G$95,'Range Tables'!$B$95,BE192&lt;='Range Tables'!$G$96,'Range Tables'!$B$96,BE192&lt;='Range Tables'!$G$97,'Range Tables'!$B$97,BE192&lt;='Range Tables'!$G$98,'Range Tables'!$B$98,BE192&lt;='Range Tables'!$G$99,'Range Tables'!$B$99,BE192&lt;='Range Tables'!$G$100,'Range Tables'!$B$100,BE192&lt;='Range Tables'!$G$101,'Range Tables'!$B$101,BE192&lt;='Range Tables'!$G$102,'Range Tables'!$B$102,BE192&lt;='Range Tables'!$G$103,'Range Tables'!$B$103)</f>
        <v>Jammu</v>
      </c>
      <c r="BG192" s="112">
        <v>0.0054146807411386</v>
      </c>
      <c r="BH192" s="113" t="str">
        <f>ifs(BG192&lt;='Range Tables'!$G$112,'Range Tables'!$B$112,BG192&lt;='Range Tables'!$G$113,'Range Tables'!$B$113,BG192&lt;='Range Tables'!$G$114,'Range Tables'!$B$114)</f>
        <v>0</v>
      </c>
      <c r="BI192" s="117">
        <v>0.6190808861014221</v>
      </c>
      <c r="BJ192" s="113" t="str">
        <f>ifs(BI192&lt;='Range Tables'!$G$118,'Range Tables'!$B$118,BI192&lt;='Range Tables'!$G$119,'Range Tables'!$B$119)</f>
        <v>Expired</v>
      </c>
    </row>
    <row r="193">
      <c r="A193" s="85">
        <v>190.0</v>
      </c>
      <c r="B193" s="112">
        <v>0.9237246420305683</v>
      </c>
      <c r="C193" s="113" t="str">
        <f>ifs(B193&lt;='Range Tables'!$G$54,'Range Tables'!$B$54,B193&lt;='Range Tables'!$G$55,'Range Tables'!$B$55,B193&lt;='Range Tables'!$G$56,'Range Tables'!$B$56,B193&lt;='Range Tables'!$G$57,'Range Tables'!$B$57,B193&lt;='Range Tables'!$G$58,'Range Tables'!$B$58,B193&lt;='Range Tables'!$G$59,'Range Tables'!$B$59,B193&lt;='Range Tables'!$G$60,'Range Tables'!$B$60,B193&lt;='Range Tables'!$G$61,'Range Tables'!$B$61,B193&lt;='Range Tables'!$G$63,'Range Tables'!$B$63,B193&lt;='Range Tables'!$G$64,'Range Tables'!$B$64,B193&lt;='Range Tables'!$G$66,'Range Tables'!$B$66)</f>
        <v>270 - 300</v>
      </c>
      <c r="D193" s="113">
        <f>IFERROR(__xludf.DUMMYFUNCTION("SPLIT(C193,""-"")"),270.0)</f>
        <v>270</v>
      </c>
      <c r="E193" s="113">
        <f>IFERROR(__xludf.DUMMYFUNCTION("""COMPUTED_VALUE"""),300.0)</f>
        <v>300</v>
      </c>
      <c r="F193" s="114">
        <f t="shared" si="40"/>
        <v>297.7117393</v>
      </c>
      <c r="G193" s="112">
        <v>0.6103341071413987</v>
      </c>
      <c r="H193" s="113" t="str">
        <f>ifs(G193&lt;='Range Tables'!$G$86,'Range Tables'!$B$86,G193&lt;='Range Tables'!$G$87,'Range Tables'!$B$87,G193&lt;='Range Tables'!$G$88,'Range Tables'!$B$88,G193&lt;='Range Tables'!$G$89,'Range Tables'!$B$89,G193&lt;='Range Tables'!$G$90,'Range Tables'!$B$90,G193&lt;='Range Tables'!$G$91,'Range Tables'!$B$91)</f>
        <v>Bike</v>
      </c>
      <c r="I193" s="112">
        <v>0.5443197418185373</v>
      </c>
      <c r="J193" s="113" t="str">
        <f>IFS(
  H193="Car", IF(I193&lt;='Range Tables'!$G$19, 'Range Tables'!$B$19, 'Range Tables'!$B$20), 
  H193="Bike", IF(I193&lt;='Range Tables'!$G$25, 'Range Tables'!$B$25, 'Range Tables'!$B$26), 
  H193="Scooter", IF(I193&lt;='Range Tables'!$G$31, 'Range Tables'!$B$31, 'Range Tables'!$B$32), 
  H193="Auto", IF(I193&lt;='Range Tables'!$G$37, 'Range Tables'!$B$37, 'Range Tables'!$B$38), 
  H193="Carriers*", IF(I193&lt;='Range Tables'!$G$43, 'Range Tables'!$B$43, 'Range Tables'!$B$44), 
  H193="Van*", IF(I193&lt;='Range Tables'!$G$50, 'Range Tables'!$B$50, 'Range Tables'!$B$49)
)</f>
        <v>Petrol</v>
      </c>
      <c r="K193" s="112">
        <v>0.6959791143635226</v>
      </c>
      <c r="L193" s="113">
        <f>if(J193="Petrol",ifs(K193&lt;='Range Tables'!$G$5,'Range Tables'!$B$5,K193&lt;='Range Tables'!$G$6,'Range Tables'!$B$6,K193&lt;='Range Tables'!$G$7,'Range Tables'!$B$7),ifs(K193&lt;='Range Tables'!$G$13,'Range Tables'!$B$13,K193&lt;='Range Tables'!$G$14,'Range Tables'!$B$14))</f>
        <v>3</v>
      </c>
      <c r="M193" s="112">
        <v>0.5404624151368069</v>
      </c>
      <c r="N193" s="113" t="str">
        <f>ifs(H193="Car",ifs(M193&lt;='Range Tables'!$G$125,'Range Tables'!$B$125,M193&lt;='Range Tables'!$G$126,'Range Tables'!$B$126,M193&lt;='Range Tables'!$G$127,'Range Tables'!$B$127,M193&lt;='Range Tables'!$G$128,'Range Tables'!$B$128,M193&lt;='Range Tables'!$G$129,'Range Tables'!$B$129,'Range Tables'!$G$131,'Range Tables'!$B$131),H193="Bike",ifs(M193&lt;='Range Tables'!$G$136,'Range Tables'!$B$136,M193&lt;='Range Tables'!$G$137,'Range Tables'!$B$137,M193&lt;='Range Tables'!$G$138,'Range Tables'!$B$138,M193&lt;='Range Tables'!$G$142,'Range Tables'!$B$142),H193="Scooter",ifs(M193&lt;='Range Tables'!$G$148,'Range Tables'!$B$148,M193&lt;='Range Tables'!$G$149,'Range Tables'!$B$149,M193&lt;='Range Tables'!$G$150,'Range Tables'!$B$150,M193&lt;='Range Tables'!$G$151,'Range Tables'!$B$151),H193="Auto",ifs(M193&lt;='Range Tables'!$G$161,'Range Tables'!$B$161,M193&lt;='Range Tables'!$G$162,'Range Tables'!$B$162,M193&lt;='Range Tables'!$G$163,'Range Tables'!$B$163,M193&lt;='Range Tables'!$G$164,'Range Tables'!$B$164),H193="Carriers*",ifs(M193&lt;='Range Tables'!$G$173,'Range Tables'!$B$173,M193&lt;='Range Tables'!$G$174,'Range Tables'!$B$174,M193&lt;='Range Tables'!$G$175,'Range Tables'!$B$175,M193&lt;='Range Tables'!$G$176,'Range Tables'!$B$176,M193&lt;='Range Tables'!$G$177,'Range Tables'!$B$177,M193&lt;='Range Tables'!$G$179,'Range Tables'!$B$179),H193="Van*",ifs(M193&lt;='Range Tables'!$G$186,'Range Tables'!$B$186))</f>
        <v>60 - 120</v>
      </c>
      <c r="O193" s="113">
        <f>IFERROR(__xludf.DUMMYFUNCTION("SPLIT(N193,""-"")"),60.0)</f>
        <v>60</v>
      </c>
      <c r="P193" s="113">
        <f>IFERROR(__xludf.DUMMYFUNCTION("""COMPUTED_VALUE"""),120.0)</f>
        <v>120</v>
      </c>
      <c r="Q193" s="114">
        <f t="shared" si="2"/>
        <v>92.42774491</v>
      </c>
      <c r="R193" s="115">
        <f t="shared" si="3"/>
        <v>0.1784633615</v>
      </c>
      <c r="S193" s="114">
        <f t="shared" si="39"/>
        <v>15419.23443</v>
      </c>
      <c r="T193" s="113" t="str">
        <f t="shared" si="4"/>
        <v>no</v>
      </c>
      <c r="U193" s="115">
        <f t="shared" si="5"/>
        <v>0</v>
      </c>
      <c r="V193" s="113">
        <f t="shared" si="34"/>
        <v>0</v>
      </c>
      <c r="W193" s="115">
        <f t="shared" si="6"/>
        <v>0</v>
      </c>
      <c r="X193" s="85">
        <f t="shared" si="7"/>
        <v>0</v>
      </c>
      <c r="Y193" s="116">
        <f t="shared" si="8"/>
        <v>0</v>
      </c>
      <c r="Z193" s="113">
        <f t="shared" si="9"/>
        <v>0</v>
      </c>
      <c r="AA193" s="113" t="str">
        <f t="shared" si="10"/>
        <v>no</v>
      </c>
      <c r="AB193" s="115">
        <f t="shared" si="11"/>
        <v>0</v>
      </c>
      <c r="AC193" s="113">
        <f t="shared" si="35"/>
        <v>0</v>
      </c>
      <c r="AD193" s="116">
        <f t="shared" si="12"/>
        <v>0</v>
      </c>
      <c r="AE193" s="113">
        <f t="shared" si="13"/>
        <v>0</v>
      </c>
      <c r="AF193" s="116">
        <f t="shared" si="14"/>
        <v>0</v>
      </c>
      <c r="AG193" s="113">
        <f t="shared" si="15"/>
        <v>0</v>
      </c>
      <c r="AH193" s="113" t="str">
        <f t="shared" si="16"/>
        <v>yes</v>
      </c>
      <c r="AI193" s="115">
        <f t="shared" si="17"/>
        <v>0</v>
      </c>
      <c r="AJ193" s="113">
        <f t="shared" si="36"/>
        <v>0</v>
      </c>
      <c r="AK193" s="116">
        <f t="shared" si="18"/>
        <v>0.1784633615</v>
      </c>
      <c r="AL193" s="114">
        <f t="shared" si="19"/>
        <v>15419.23443</v>
      </c>
      <c r="AM193" s="115">
        <f t="shared" si="20"/>
        <v>0.179533127</v>
      </c>
      <c r="AN193" s="118">
        <f t="shared" si="21"/>
        <v>15511.66217</v>
      </c>
      <c r="AO193" s="113" t="str">
        <f t="shared" si="22"/>
        <v>no</v>
      </c>
      <c r="AP193" s="115">
        <f t="shared" si="23"/>
        <v>0</v>
      </c>
      <c r="AQ193" s="113">
        <f t="shared" si="37"/>
        <v>0</v>
      </c>
      <c r="AR193" s="116">
        <f t="shared" si="24"/>
        <v>0</v>
      </c>
      <c r="AS193" s="113">
        <f t="shared" si="25"/>
        <v>0</v>
      </c>
      <c r="AT193" s="116">
        <f t="shared" si="26"/>
        <v>0</v>
      </c>
      <c r="AU193" s="113">
        <f t="shared" si="27"/>
        <v>0</v>
      </c>
      <c r="AV193" s="113" t="str">
        <f t="shared" si="28"/>
        <v>no</v>
      </c>
      <c r="AW193" s="115">
        <f t="shared" si="29"/>
        <v>0</v>
      </c>
      <c r="AX193" s="85">
        <f t="shared" si="41"/>
        <v>0</v>
      </c>
      <c r="AY193" s="116">
        <f t="shared" si="30"/>
        <v>0</v>
      </c>
      <c r="AZ193" s="113">
        <f t="shared" si="31"/>
        <v>0</v>
      </c>
      <c r="BA193" s="116">
        <f t="shared" si="32"/>
        <v>0</v>
      </c>
      <c r="BB193" s="113">
        <f t="shared" si="33"/>
        <v>0</v>
      </c>
      <c r="BC193" s="112">
        <v>0.5394187128188228</v>
      </c>
      <c r="BD193" s="113" t="str">
        <f>ifs(BC193&lt;='Range Tables'!$G$81,'Range Tables'!$B$81,BC193&lt;='Range Tables'!$G$82,'Range Tables'!$B$82)</f>
        <v>Offline*</v>
      </c>
      <c r="BE193" s="112">
        <v>0.2689864217503899</v>
      </c>
      <c r="BF193" s="112" t="str">
        <f>ifs(BE193&lt;='Range Tables'!$G$95,'Range Tables'!$B$95,BE193&lt;='Range Tables'!$G$96,'Range Tables'!$B$96,BE193&lt;='Range Tables'!$G$97,'Range Tables'!$B$97,BE193&lt;='Range Tables'!$G$98,'Range Tables'!$B$98,BE193&lt;='Range Tables'!$G$99,'Range Tables'!$B$99,BE193&lt;='Range Tables'!$G$100,'Range Tables'!$B$100,BE193&lt;='Range Tables'!$G$101,'Range Tables'!$B$101,BE193&lt;='Range Tables'!$G$102,'Range Tables'!$B$102,BE193&lt;='Range Tables'!$G$103,'Range Tables'!$B$103)</f>
        <v>Jammu</v>
      </c>
      <c r="BG193" s="112">
        <v>0.5862510867085376</v>
      </c>
      <c r="BH193" s="113" t="str">
        <f>ifs(BG193&lt;='Range Tables'!$G$112,'Range Tables'!$B$112,BG193&lt;='Range Tables'!$G$113,'Range Tables'!$B$113,BG193&lt;='Range Tables'!$G$114,'Range Tables'!$B$114)</f>
        <v>0</v>
      </c>
      <c r="BI193" s="117">
        <v>0.9961305872491799</v>
      </c>
      <c r="BJ193" s="113" t="str">
        <f>ifs(BI193&lt;='Range Tables'!$G$118,'Range Tables'!$B$118,BI193&lt;='Range Tables'!$G$119,'Range Tables'!$B$119)</f>
        <v>Expired</v>
      </c>
    </row>
    <row r="194">
      <c r="A194" s="85">
        <v>191.0</v>
      </c>
      <c r="B194" s="112">
        <v>0.15066489849904918</v>
      </c>
      <c r="C194" s="113" t="str">
        <f>ifs(B194&lt;='Range Tables'!$G$54,'Range Tables'!$B$54,B194&lt;='Range Tables'!$G$55,'Range Tables'!$B$55,B194&lt;='Range Tables'!$G$56,'Range Tables'!$B$56,B194&lt;='Range Tables'!$G$57,'Range Tables'!$B$57,B194&lt;='Range Tables'!$G$58,'Range Tables'!$B$58,B194&lt;='Range Tables'!$G$59,'Range Tables'!$B$59,B194&lt;='Range Tables'!$G$60,'Range Tables'!$B$60,B194&lt;='Range Tables'!$G$61,'Range Tables'!$B$61,B194&lt;='Range Tables'!$G$63,'Range Tables'!$B$63,B194&lt;='Range Tables'!$G$64,'Range Tables'!$B$64,B194&lt;='Range Tables'!$G$66,'Range Tables'!$B$66)</f>
        <v>0 - 30</v>
      </c>
      <c r="D194" s="113">
        <f>IFERROR(__xludf.DUMMYFUNCTION("SPLIT(C194,""-"")"),0.0)</f>
        <v>0</v>
      </c>
      <c r="E194" s="113">
        <f>IFERROR(__xludf.DUMMYFUNCTION("""COMPUTED_VALUE"""),30.0)</f>
        <v>30</v>
      </c>
      <c r="F194" s="114">
        <f t="shared" si="40"/>
        <v>4.519946955</v>
      </c>
      <c r="G194" s="112">
        <v>0.9190262408406469</v>
      </c>
      <c r="H194" s="113" t="str">
        <f>ifs(G194&lt;='Range Tables'!$G$86,'Range Tables'!$B$86,G194&lt;='Range Tables'!$G$87,'Range Tables'!$B$87,G194&lt;='Range Tables'!$G$88,'Range Tables'!$B$88,G194&lt;='Range Tables'!$G$89,'Range Tables'!$B$89,G194&lt;='Range Tables'!$G$90,'Range Tables'!$B$90,G194&lt;='Range Tables'!$G$91,'Range Tables'!$B$91)</f>
        <v>Carriers*</v>
      </c>
      <c r="I194" s="112">
        <v>0.2252877030781345</v>
      </c>
      <c r="J194" s="113" t="str">
        <f>IFS(
  H194="Car", IF(I194&lt;='Range Tables'!$G$19, 'Range Tables'!$B$19, 'Range Tables'!$B$20), 
  H194="Bike", IF(I194&lt;='Range Tables'!$G$25, 'Range Tables'!$B$25, 'Range Tables'!$B$26), 
  H194="Scooter", IF(I194&lt;='Range Tables'!$G$31, 'Range Tables'!$B$31, 'Range Tables'!$B$32), 
  H194="Auto", IF(I194&lt;='Range Tables'!$G$37, 'Range Tables'!$B$37, 'Range Tables'!$B$38), 
  H194="Carriers*", IF(I194&lt;='Range Tables'!$G$43, 'Range Tables'!$B$43, 'Range Tables'!$B$44), 
  H194="Van*", IF(I194&lt;='Range Tables'!$G$50, 'Range Tables'!$B$50, 'Range Tables'!$B$49)
)</f>
        <v>Petrol</v>
      </c>
      <c r="K194" s="112">
        <v>0.6253105815529477</v>
      </c>
      <c r="L194" s="113">
        <f>if(J194="Petrol",ifs(K194&lt;='Range Tables'!$G$5,'Range Tables'!$B$5,K194&lt;='Range Tables'!$G$6,'Range Tables'!$B$6,K194&lt;='Range Tables'!$G$7,'Range Tables'!$B$7),ifs(K194&lt;='Range Tables'!$G$13,'Range Tables'!$B$13,K194&lt;='Range Tables'!$G$14,'Range Tables'!$B$14))</f>
        <v>3</v>
      </c>
      <c r="M194" s="112">
        <v>0.21515951576240955</v>
      </c>
      <c r="N194" s="113" t="str">
        <f>ifs(H194="Car",ifs(M194&lt;='Range Tables'!$G$125,'Range Tables'!$B$125,M194&lt;='Range Tables'!$G$126,'Range Tables'!$B$126,M194&lt;='Range Tables'!$G$127,'Range Tables'!$B$127,M194&lt;='Range Tables'!$G$128,'Range Tables'!$B$128,M194&lt;='Range Tables'!$G$129,'Range Tables'!$B$129,'Range Tables'!$G$131,'Range Tables'!$B$131),H194="Bike",ifs(M194&lt;='Range Tables'!$G$136,'Range Tables'!$B$136,M194&lt;='Range Tables'!$G$137,'Range Tables'!$B$137,M194&lt;='Range Tables'!$G$138,'Range Tables'!$B$138,M194&lt;='Range Tables'!$G$142,'Range Tables'!$B$142),H194="Scooter",ifs(M194&lt;='Range Tables'!$G$148,'Range Tables'!$B$148,M194&lt;='Range Tables'!$G$149,'Range Tables'!$B$149,M194&lt;='Range Tables'!$G$150,'Range Tables'!$B$150,M194&lt;='Range Tables'!$G$151,'Range Tables'!$B$151),H194="Auto",ifs(M194&lt;='Range Tables'!$G$161,'Range Tables'!$B$161,M194&lt;='Range Tables'!$G$162,'Range Tables'!$B$162,M194&lt;='Range Tables'!$G$163,'Range Tables'!$B$163,M194&lt;='Range Tables'!$G$164,'Range Tables'!$B$164),H194="Carriers*",ifs(M194&lt;='Range Tables'!$G$173,'Range Tables'!$B$173,M194&lt;='Range Tables'!$G$174,'Range Tables'!$B$174,M194&lt;='Range Tables'!$G$175,'Range Tables'!$B$175,M194&lt;='Range Tables'!$G$176,'Range Tables'!$B$176,M194&lt;='Range Tables'!$G$177,'Range Tables'!$B$177,M194&lt;='Range Tables'!$G$179,'Range Tables'!$B$179),H194="Van*",ifs(M194&lt;='Range Tables'!$G$186,'Range Tables'!$B$186))</f>
        <v>120 - 180</v>
      </c>
      <c r="O194" s="113">
        <f>IFERROR(__xludf.DUMMYFUNCTION("SPLIT(N194,""-"")"),120.0)</f>
        <v>120</v>
      </c>
      <c r="P194" s="113">
        <f>IFERROR(__xludf.DUMMYFUNCTION("""COMPUTED_VALUE"""),180.0)</f>
        <v>180</v>
      </c>
      <c r="Q194" s="114">
        <f t="shared" si="2"/>
        <v>132.9095709</v>
      </c>
      <c r="R194" s="115">
        <f t="shared" si="3"/>
        <v>0.1819090992</v>
      </c>
      <c r="S194" s="114">
        <f t="shared" si="39"/>
        <v>15716.94617</v>
      </c>
      <c r="T194" s="113" t="str">
        <f t="shared" si="4"/>
        <v>no</v>
      </c>
      <c r="U194" s="115">
        <f t="shared" si="5"/>
        <v>0</v>
      </c>
      <c r="V194" s="113">
        <f t="shared" si="34"/>
        <v>0</v>
      </c>
      <c r="W194" s="115">
        <f t="shared" si="6"/>
        <v>0</v>
      </c>
      <c r="X194" s="85">
        <f t="shared" si="7"/>
        <v>0</v>
      </c>
      <c r="Y194" s="116">
        <f t="shared" si="8"/>
        <v>0</v>
      </c>
      <c r="Z194" s="113">
        <f t="shared" si="9"/>
        <v>0</v>
      </c>
      <c r="AA194" s="113" t="str">
        <f t="shared" si="10"/>
        <v>no</v>
      </c>
      <c r="AB194" s="115">
        <f t="shared" si="11"/>
        <v>0</v>
      </c>
      <c r="AC194" s="113">
        <f t="shared" si="35"/>
        <v>0</v>
      </c>
      <c r="AD194" s="116">
        <f t="shared" si="12"/>
        <v>0</v>
      </c>
      <c r="AE194" s="113">
        <f t="shared" si="13"/>
        <v>0</v>
      </c>
      <c r="AF194" s="116">
        <f t="shared" si="14"/>
        <v>0</v>
      </c>
      <c r="AG194" s="113">
        <f t="shared" si="15"/>
        <v>0</v>
      </c>
      <c r="AH194" s="113" t="str">
        <f t="shared" si="16"/>
        <v>yes</v>
      </c>
      <c r="AI194" s="115">
        <f t="shared" si="17"/>
        <v>0</v>
      </c>
      <c r="AJ194" s="113">
        <f t="shared" si="36"/>
        <v>0</v>
      </c>
      <c r="AK194" s="116">
        <f t="shared" si="18"/>
        <v>0.1819090992</v>
      </c>
      <c r="AL194" s="114">
        <f t="shared" si="19"/>
        <v>15716.94617</v>
      </c>
      <c r="AM194" s="115">
        <f t="shared" si="20"/>
        <v>0.1834474044</v>
      </c>
      <c r="AN194" s="118">
        <f t="shared" si="21"/>
        <v>15849.85574</v>
      </c>
      <c r="AO194" s="113" t="str">
        <f t="shared" si="22"/>
        <v>no</v>
      </c>
      <c r="AP194" s="115">
        <f t="shared" si="23"/>
        <v>0</v>
      </c>
      <c r="AQ194" s="113">
        <f t="shared" si="37"/>
        <v>0</v>
      </c>
      <c r="AR194" s="116">
        <f t="shared" si="24"/>
        <v>0</v>
      </c>
      <c r="AS194" s="113">
        <f t="shared" si="25"/>
        <v>0</v>
      </c>
      <c r="AT194" s="116">
        <f t="shared" si="26"/>
        <v>0</v>
      </c>
      <c r="AU194" s="113">
        <f t="shared" si="27"/>
        <v>0</v>
      </c>
      <c r="AV194" s="113" t="str">
        <f t="shared" si="28"/>
        <v>no</v>
      </c>
      <c r="AW194" s="115">
        <f t="shared" si="29"/>
        <v>0</v>
      </c>
      <c r="AX194" s="85">
        <f t="shared" si="41"/>
        <v>0</v>
      </c>
      <c r="AY194" s="116">
        <f t="shared" si="30"/>
        <v>0</v>
      </c>
      <c r="AZ194" s="113">
        <f t="shared" si="31"/>
        <v>0</v>
      </c>
      <c r="BA194" s="116">
        <f t="shared" si="32"/>
        <v>0</v>
      </c>
      <c r="BB194" s="113">
        <f t="shared" si="33"/>
        <v>0</v>
      </c>
      <c r="BC194" s="112">
        <v>0.9231738202178541</v>
      </c>
      <c r="BD194" s="113" t="str">
        <f>ifs(BC194&lt;='Range Tables'!$G$81,'Range Tables'!$B$81,BC194&lt;='Range Tables'!$G$82,'Range Tables'!$B$82)</f>
        <v>Offline*</v>
      </c>
      <c r="BE194" s="112">
        <v>0.25201082752090775</v>
      </c>
      <c r="BF194" s="112" t="str">
        <f>ifs(BE194&lt;='Range Tables'!$G$95,'Range Tables'!$B$95,BE194&lt;='Range Tables'!$G$96,'Range Tables'!$B$96,BE194&lt;='Range Tables'!$G$97,'Range Tables'!$B$97,BE194&lt;='Range Tables'!$G$98,'Range Tables'!$B$98,BE194&lt;='Range Tables'!$G$99,'Range Tables'!$B$99,BE194&lt;='Range Tables'!$G$100,'Range Tables'!$B$100,BE194&lt;='Range Tables'!$G$101,'Range Tables'!$B$101,BE194&lt;='Range Tables'!$G$102,'Range Tables'!$B$102,BE194&lt;='Range Tables'!$G$103,'Range Tables'!$B$103)</f>
        <v>Jammu</v>
      </c>
      <c r="BG194" s="112">
        <v>0.5203794882622444</v>
      </c>
      <c r="BH194" s="113" t="str">
        <f>ifs(BG194&lt;='Range Tables'!$G$112,'Range Tables'!$B$112,BG194&lt;='Range Tables'!$G$113,'Range Tables'!$B$113,BG194&lt;='Range Tables'!$G$114,'Range Tables'!$B$114)</f>
        <v>0</v>
      </c>
      <c r="BI194" s="117">
        <v>0.3667330073126315</v>
      </c>
      <c r="BJ194" s="113" t="str">
        <f>ifs(BI194&lt;='Range Tables'!$G$118,'Range Tables'!$B$118,BI194&lt;='Range Tables'!$G$119,'Range Tables'!$B$119)</f>
        <v>Valid</v>
      </c>
    </row>
    <row r="195">
      <c r="A195" s="85">
        <v>192.0</v>
      </c>
      <c r="B195" s="112">
        <v>0.8410212378867047</v>
      </c>
      <c r="C195" s="113" t="str">
        <f>ifs(B195&lt;='Range Tables'!$G$54,'Range Tables'!$B$54,B195&lt;='Range Tables'!$G$55,'Range Tables'!$B$55,B195&lt;='Range Tables'!$G$56,'Range Tables'!$B$56,B195&lt;='Range Tables'!$G$57,'Range Tables'!$B$57,B195&lt;='Range Tables'!$G$58,'Range Tables'!$B$58,B195&lt;='Range Tables'!$G$59,'Range Tables'!$B$59,B195&lt;='Range Tables'!$G$60,'Range Tables'!$B$60,B195&lt;='Range Tables'!$G$61,'Range Tables'!$B$61,B195&lt;='Range Tables'!$G$63,'Range Tables'!$B$63,B195&lt;='Range Tables'!$G$64,'Range Tables'!$B$64,B195&lt;='Range Tables'!$G$66,'Range Tables'!$B$66)</f>
        <v>150 - 180</v>
      </c>
      <c r="D195" s="113">
        <f>IFERROR(__xludf.DUMMYFUNCTION("SPLIT(C195,""-"")"),150.0)</f>
        <v>150</v>
      </c>
      <c r="E195" s="113">
        <f>IFERROR(__xludf.DUMMYFUNCTION("""COMPUTED_VALUE"""),180.0)</f>
        <v>180</v>
      </c>
      <c r="F195" s="114">
        <f t="shared" si="40"/>
        <v>175.2306371</v>
      </c>
      <c r="G195" s="112">
        <v>0.5128771805543658</v>
      </c>
      <c r="H195" s="113" t="str">
        <f>ifs(G195&lt;='Range Tables'!$G$86,'Range Tables'!$B$86,G195&lt;='Range Tables'!$G$87,'Range Tables'!$B$87,G195&lt;='Range Tables'!$G$88,'Range Tables'!$B$88,G195&lt;='Range Tables'!$G$89,'Range Tables'!$B$89,G195&lt;='Range Tables'!$G$90,'Range Tables'!$B$90,G195&lt;='Range Tables'!$G$91,'Range Tables'!$B$91)</f>
        <v>Bike</v>
      </c>
      <c r="I195" s="112">
        <v>0.9148381348917308</v>
      </c>
      <c r="J195" s="113" t="str">
        <f>IFS(
  H195="Car", IF(I195&lt;='Range Tables'!$G$19, 'Range Tables'!$B$19, 'Range Tables'!$B$20), 
  H195="Bike", IF(I195&lt;='Range Tables'!$G$25, 'Range Tables'!$B$25, 'Range Tables'!$B$26), 
  H195="Scooter", IF(I195&lt;='Range Tables'!$G$31, 'Range Tables'!$B$31, 'Range Tables'!$B$32), 
  H195="Auto", IF(I195&lt;='Range Tables'!$G$37, 'Range Tables'!$B$37, 'Range Tables'!$B$38), 
  H195="Carriers*", IF(I195&lt;='Range Tables'!$G$43, 'Range Tables'!$B$43, 'Range Tables'!$B$44), 
  H195="Van*", IF(I195&lt;='Range Tables'!$G$50, 'Range Tables'!$B$50, 'Range Tables'!$B$49)
)</f>
        <v>Petrol</v>
      </c>
      <c r="K195" s="112">
        <v>0.38886683839765723</v>
      </c>
      <c r="L195" s="113">
        <f>if(J195="Petrol",ifs(K195&lt;='Range Tables'!$G$5,'Range Tables'!$B$5,K195&lt;='Range Tables'!$G$6,'Range Tables'!$B$6,K195&lt;='Range Tables'!$G$7,'Range Tables'!$B$7),ifs(K195&lt;='Range Tables'!$G$13,'Range Tables'!$B$13,K195&lt;='Range Tables'!$G$14,'Range Tables'!$B$14))</f>
        <v>2</v>
      </c>
      <c r="M195" s="112">
        <v>0.4166659529866703</v>
      </c>
      <c r="N195" s="113" t="str">
        <f>ifs(H195="Car",ifs(M195&lt;='Range Tables'!$G$125,'Range Tables'!$B$125,M195&lt;='Range Tables'!$G$126,'Range Tables'!$B$126,M195&lt;='Range Tables'!$G$127,'Range Tables'!$B$127,M195&lt;='Range Tables'!$G$128,'Range Tables'!$B$128,M195&lt;='Range Tables'!$G$129,'Range Tables'!$B$129,'Range Tables'!$G$131,'Range Tables'!$B$131),H195="Bike",ifs(M195&lt;='Range Tables'!$G$136,'Range Tables'!$B$136,M195&lt;='Range Tables'!$G$137,'Range Tables'!$B$137,M195&lt;='Range Tables'!$G$138,'Range Tables'!$B$138,M195&lt;='Range Tables'!$G$142,'Range Tables'!$B$142),H195="Scooter",ifs(M195&lt;='Range Tables'!$G$148,'Range Tables'!$B$148,M195&lt;='Range Tables'!$G$149,'Range Tables'!$B$149,M195&lt;='Range Tables'!$G$150,'Range Tables'!$B$150,M195&lt;='Range Tables'!$G$151,'Range Tables'!$B$151),H195="Auto",ifs(M195&lt;='Range Tables'!$G$161,'Range Tables'!$B$161,M195&lt;='Range Tables'!$G$162,'Range Tables'!$B$162,M195&lt;='Range Tables'!$G$163,'Range Tables'!$B$163,M195&lt;='Range Tables'!$G$164,'Range Tables'!$B$164),H195="Carriers*",ifs(M195&lt;='Range Tables'!$G$173,'Range Tables'!$B$173,M195&lt;='Range Tables'!$G$174,'Range Tables'!$B$174,M195&lt;='Range Tables'!$G$175,'Range Tables'!$B$175,M195&lt;='Range Tables'!$G$176,'Range Tables'!$B$176,M195&lt;='Range Tables'!$G$177,'Range Tables'!$B$177,M195&lt;='Range Tables'!$G$179,'Range Tables'!$B$179),H195="Van*",ifs(M195&lt;='Range Tables'!$G$186,'Range Tables'!$B$186))</f>
        <v>60 - 120</v>
      </c>
      <c r="O195" s="113">
        <f>IFERROR(__xludf.DUMMYFUNCTION("SPLIT(N195,""-"")"),60.0)</f>
        <v>60</v>
      </c>
      <c r="P195" s="113">
        <f>IFERROR(__xludf.DUMMYFUNCTION("""COMPUTED_VALUE"""),120.0)</f>
        <v>120</v>
      </c>
      <c r="Q195" s="114">
        <f t="shared" si="2"/>
        <v>84.99995718</v>
      </c>
      <c r="R195" s="115">
        <f t="shared" si="3"/>
        <v>0.1819614134</v>
      </c>
      <c r="S195" s="114">
        <f t="shared" si="39"/>
        <v>15721.46612</v>
      </c>
      <c r="T195" s="113" t="str">
        <f t="shared" si="4"/>
        <v>no</v>
      </c>
      <c r="U195" s="115">
        <f t="shared" si="5"/>
        <v>0</v>
      </c>
      <c r="V195" s="113">
        <f t="shared" si="34"/>
        <v>0</v>
      </c>
      <c r="W195" s="115">
        <f t="shared" si="6"/>
        <v>0</v>
      </c>
      <c r="X195" s="85">
        <f t="shared" si="7"/>
        <v>0</v>
      </c>
      <c r="Y195" s="116">
        <f t="shared" si="8"/>
        <v>0</v>
      </c>
      <c r="Z195" s="113">
        <f t="shared" si="9"/>
        <v>0</v>
      </c>
      <c r="AA195" s="113" t="str">
        <f t="shared" si="10"/>
        <v>yes</v>
      </c>
      <c r="AB195" s="115">
        <f t="shared" si="11"/>
        <v>0</v>
      </c>
      <c r="AC195" s="113">
        <f t="shared" si="35"/>
        <v>0</v>
      </c>
      <c r="AD195" s="116">
        <f t="shared" si="12"/>
        <v>0.1819614134</v>
      </c>
      <c r="AE195" s="114">
        <f t="shared" si="13"/>
        <v>15721.46612</v>
      </c>
      <c r="AF195" s="116">
        <f t="shared" si="14"/>
        <v>0.1829452092</v>
      </c>
      <c r="AG195" s="114">
        <f t="shared" si="15"/>
        <v>15806.46607</v>
      </c>
      <c r="AH195" s="113" t="str">
        <f t="shared" si="16"/>
        <v>no</v>
      </c>
      <c r="AI195" s="115">
        <f t="shared" si="17"/>
        <v>0</v>
      </c>
      <c r="AJ195" s="113">
        <f t="shared" si="36"/>
        <v>0</v>
      </c>
      <c r="AK195" s="116">
        <f t="shared" si="18"/>
        <v>0</v>
      </c>
      <c r="AL195" s="113">
        <f t="shared" si="19"/>
        <v>0</v>
      </c>
      <c r="AM195" s="115">
        <f t="shared" si="20"/>
        <v>0</v>
      </c>
      <c r="AN195" s="85">
        <f t="shared" si="21"/>
        <v>0</v>
      </c>
      <c r="AO195" s="113" t="str">
        <f t="shared" si="22"/>
        <v>no</v>
      </c>
      <c r="AP195" s="115">
        <f t="shared" si="23"/>
        <v>0</v>
      </c>
      <c r="AQ195" s="113">
        <f t="shared" si="37"/>
        <v>0</v>
      </c>
      <c r="AR195" s="116">
        <f t="shared" si="24"/>
        <v>0</v>
      </c>
      <c r="AS195" s="113">
        <f t="shared" si="25"/>
        <v>0</v>
      </c>
      <c r="AT195" s="116">
        <f t="shared" si="26"/>
        <v>0</v>
      </c>
      <c r="AU195" s="113">
        <f t="shared" si="27"/>
        <v>0</v>
      </c>
      <c r="AV195" s="113" t="str">
        <f t="shared" si="28"/>
        <v>no</v>
      </c>
      <c r="AW195" s="115">
        <f t="shared" si="29"/>
        <v>0</v>
      </c>
      <c r="AX195" s="85">
        <f t="shared" si="41"/>
        <v>0</v>
      </c>
      <c r="AY195" s="116">
        <f t="shared" si="30"/>
        <v>0</v>
      </c>
      <c r="AZ195" s="113">
        <f t="shared" si="31"/>
        <v>0</v>
      </c>
      <c r="BA195" s="116">
        <f t="shared" si="32"/>
        <v>0</v>
      </c>
      <c r="BB195" s="113">
        <f t="shared" si="33"/>
        <v>0</v>
      </c>
      <c r="BC195" s="112">
        <v>0.4108144726098727</v>
      </c>
      <c r="BD195" s="113" t="str">
        <f>ifs(BC195&lt;='Range Tables'!$G$81,'Range Tables'!$B$81,BC195&lt;='Range Tables'!$G$82,'Range Tables'!$B$82)</f>
        <v>Offline*</v>
      </c>
      <c r="BE195" s="112">
        <v>0.3963982423221437</v>
      </c>
      <c r="BF195" s="112" t="str">
        <f>ifs(BE195&lt;='Range Tables'!$G$95,'Range Tables'!$B$95,BE195&lt;='Range Tables'!$G$96,'Range Tables'!$B$96,BE195&lt;='Range Tables'!$G$97,'Range Tables'!$B$97,BE195&lt;='Range Tables'!$G$98,'Range Tables'!$B$98,BE195&lt;='Range Tables'!$G$99,'Range Tables'!$B$99,BE195&lt;='Range Tables'!$G$100,'Range Tables'!$B$100,BE195&lt;='Range Tables'!$G$101,'Range Tables'!$B$101,BE195&lt;='Range Tables'!$G$102,'Range Tables'!$B$102,BE195&lt;='Range Tables'!$G$103,'Range Tables'!$B$103)</f>
        <v>Jammu</v>
      </c>
      <c r="BG195" s="112">
        <v>0.8689584602094036</v>
      </c>
      <c r="BH195" s="113" t="str">
        <f>ifs(BG195&lt;='Range Tables'!$G$112,'Range Tables'!$B$112,BG195&lt;='Range Tables'!$G$113,'Range Tables'!$B$113,BG195&lt;='Range Tables'!$G$114,'Range Tables'!$B$114)</f>
        <v>1-5</v>
      </c>
      <c r="BI195" s="117">
        <v>0.9559930677680217</v>
      </c>
      <c r="BJ195" s="113" t="str">
        <f>ifs(BI195&lt;='Range Tables'!$G$118,'Range Tables'!$B$118,BI195&lt;='Range Tables'!$G$119,'Range Tables'!$B$119)</f>
        <v>Expired</v>
      </c>
    </row>
    <row r="196">
      <c r="A196" s="85">
        <v>193.0</v>
      </c>
      <c r="B196" s="112">
        <v>0.47897321082409716</v>
      </c>
      <c r="C196" s="113" t="str">
        <f>ifs(B196&lt;='Range Tables'!$G$54,'Range Tables'!$B$54,B196&lt;='Range Tables'!$G$55,'Range Tables'!$B$55,B196&lt;='Range Tables'!$G$56,'Range Tables'!$B$56,B196&lt;='Range Tables'!$G$57,'Range Tables'!$B$57,B196&lt;='Range Tables'!$G$58,'Range Tables'!$B$58,B196&lt;='Range Tables'!$G$59,'Range Tables'!$B$59,B196&lt;='Range Tables'!$G$60,'Range Tables'!$B$60,B196&lt;='Range Tables'!$G$61,'Range Tables'!$B$61,B196&lt;='Range Tables'!$G$63,'Range Tables'!$B$63,B196&lt;='Range Tables'!$G$64,'Range Tables'!$B$64,B196&lt;='Range Tables'!$G$66,'Range Tables'!$B$66)</f>
        <v>30 - 60 </v>
      </c>
      <c r="D196" s="113">
        <f>IFERROR(__xludf.DUMMYFUNCTION("SPLIT(C196,""-"")"),30.0)</f>
        <v>30</v>
      </c>
      <c r="E196" s="113">
        <f>IFERROR(__xludf.DUMMYFUNCTION("""COMPUTED_VALUE"""),60.0)</f>
        <v>60</v>
      </c>
      <c r="F196" s="114">
        <f t="shared" si="40"/>
        <v>44.36919632</v>
      </c>
      <c r="G196" s="112">
        <v>0.32040574890464824</v>
      </c>
      <c r="H196" s="113" t="str">
        <f>ifs(G196&lt;='Range Tables'!$G$86,'Range Tables'!$B$86,G196&lt;='Range Tables'!$G$87,'Range Tables'!$B$87,G196&lt;='Range Tables'!$G$88,'Range Tables'!$B$88,G196&lt;='Range Tables'!$G$89,'Range Tables'!$B$89,G196&lt;='Range Tables'!$G$90,'Range Tables'!$B$90,G196&lt;='Range Tables'!$G$91,'Range Tables'!$B$91)</f>
        <v>Car</v>
      </c>
      <c r="I196" s="112">
        <v>0.18731889181099792</v>
      </c>
      <c r="J196" s="113" t="str">
        <f>IFS(
  H196="Car", IF(I196&lt;='Range Tables'!$G$19, 'Range Tables'!$B$19, 'Range Tables'!$B$20), 
  H196="Bike", IF(I196&lt;='Range Tables'!$G$25, 'Range Tables'!$B$25, 'Range Tables'!$B$26), 
  H196="Scooter", IF(I196&lt;='Range Tables'!$G$31, 'Range Tables'!$B$31, 'Range Tables'!$B$32), 
  H196="Auto", IF(I196&lt;='Range Tables'!$G$37, 'Range Tables'!$B$37, 'Range Tables'!$B$38), 
  H196="Carriers*", IF(I196&lt;='Range Tables'!$G$43, 'Range Tables'!$B$43, 'Range Tables'!$B$44), 
  H196="Van*", IF(I196&lt;='Range Tables'!$G$50, 'Range Tables'!$B$50, 'Range Tables'!$B$49)
)</f>
        <v>Petrol</v>
      </c>
      <c r="K196" s="112">
        <v>0.7615741076604657</v>
      </c>
      <c r="L196" s="113">
        <f>if(J196="Petrol",ifs(K196&lt;='Range Tables'!$G$5,'Range Tables'!$B$5,K196&lt;='Range Tables'!$G$6,'Range Tables'!$B$6,K196&lt;='Range Tables'!$G$7,'Range Tables'!$B$7),ifs(K196&lt;='Range Tables'!$G$13,'Range Tables'!$B$13,K196&lt;='Range Tables'!$G$14,'Range Tables'!$B$14))</f>
        <v>3</v>
      </c>
      <c r="M196" s="112">
        <v>0.6188156493090085</v>
      </c>
      <c r="N196" s="113" t="str">
        <f>ifs(H196="Car",ifs(M196&lt;='Range Tables'!$G$125,'Range Tables'!$B$125,M196&lt;='Range Tables'!$G$126,'Range Tables'!$B$126,M196&lt;='Range Tables'!$G$127,'Range Tables'!$B$127,M196&lt;='Range Tables'!$G$128,'Range Tables'!$B$128,M196&lt;='Range Tables'!$G$129,'Range Tables'!$B$129,'Range Tables'!$G$131,'Range Tables'!$B$131),H196="Bike",ifs(M196&lt;='Range Tables'!$G$136,'Range Tables'!$B$136,M196&lt;='Range Tables'!$G$137,'Range Tables'!$B$137,M196&lt;='Range Tables'!$G$138,'Range Tables'!$B$138,M196&lt;='Range Tables'!$G$142,'Range Tables'!$B$142),H196="Scooter",ifs(M196&lt;='Range Tables'!$G$148,'Range Tables'!$B$148,M196&lt;='Range Tables'!$G$149,'Range Tables'!$B$149,M196&lt;='Range Tables'!$G$150,'Range Tables'!$B$150,M196&lt;='Range Tables'!$G$151,'Range Tables'!$B$151),H196="Auto",ifs(M196&lt;='Range Tables'!$G$161,'Range Tables'!$B$161,M196&lt;='Range Tables'!$G$162,'Range Tables'!$B$162,M196&lt;='Range Tables'!$G$163,'Range Tables'!$B$163,M196&lt;='Range Tables'!$G$164,'Range Tables'!$B$164),H196="Carriers*",ifs(M196&lt;='Range Tables'!$G$173,'Range Tables'!$B$173,M196&lt;='Range Tables'!$G$174,'Range Tables'!$B$174,M196&lt;='Range Tables'!$G$175,'Range Tables'!$B$175,M196&lt;='Range Tables'!$G$176,'Range Tables'!$B$176,M196&lt;='Range Tables'!$G$177,'Range Tables'!$B$177,M196&lt;='Range Tables'!$G$179,'Range Tables'!$B$179),H196="Van*",ifs(M196&lt;='Range Tables'!$G$186,'Range Tables'!$B$186))</f>
        <v>120 - 180</v>
      </c>
      <c r="O196" s="113">
        <f>IFERROR(__xludf.DUMMYFUNCTION("SPLIT(N196,""-"")"),120.0)</f>
        <v>120</v>
      </c>
      <c r="P196" s="113">
        <f>IFERROR(__xludf.DUMMYFUNCTION("""COMPUTED_VALUE"""),180.0)</f>
        <v>180</v>
      </c>
      <c r="Q196" s="114">
        <f t="shared" si="2"/>
        <v>157.128939</v>
      </c>
      <c r="R196" s="115">
        <f t="shared" si="3"/>
        <v>0.1839895458</v>
      </c>
      <c r="S196" s="114">
        <f t="shared" si="39"/>
        <v>15896.69675</v>
      </c>
      <c r="T196" s="113" t="str">
        <f t="shared" si="4"/>
        <v>no</v>
      </c>
      <c r="U196" s="115">
        <f t="shared" si="5"/>
        <v>0</v>
      </c>
      <c r="V196" s="113">
        <f t="shared" si="34"/>
        <v>0</v>
      </c>
      <c r="W196" s="115">
        <f t="shared" si="6"/>
        <v>0</v>
      </c>
      <c r="X196" s="85">
        <f t="shared" si="7"/>
        <v>0</v>
      </c>
      <c r="Y196" s="116">
        <f t="shared" si="8"/>
        <v>0</v>
      </c>
      <c r="Z196" s="113">
        <f t="shared" si="9"/>
        <v>0</v>
      </c>
      <c r="AA196" s="113" t="str">
        <f t="shared" si="10"/>
        <v>no</v>
      </c>
      <c r="AB196" s="115">
        <f t="shared" si="11"/>
        <v>0</v>
      </c>
      <c r="AC196" s="113">
        <f t="shared" si="35"/>
        <v>0</v>
      </c>
      <c r="AD196" s="116">
        <f t="shared" si="12"/>
        <v>0</v>
      </c>
      <c r="AE196" s="113">
        <f t="shared" si="13"/>
        <v>0</v>
      </c>
      <c r="AF196" s="116">
        <f t="shared" si="14"/>
        <v>0</v>
      </c>
      <c r="AG196" s="113">
        <f t="shared" si="15"/>
        <v>0</v>
      </c>
      <c r="AH196" s="113" t="str">
        <f t="shared" si="16"/>
        <v>yes</v>
      </c>
      <c r="AI196" s="115">
        <f t="shared" si="17"/>
        <v>0</v>
      </c>
      <c r="AJ196" s="113">
        <f t="shared" si="36"/>
        <v>0</v>
      </c>
      <c r="AK196" s="116">
        <f t="shared" si="18"/>
        <v>0.1839895458</v>
      </c>
      <c r="AL196" s="114">
        <f t="shared" si="19"/>
        <v>15896.69675</v>
      </c>
      <c r="AM196" s="115">
        <f t="shared" si="20"/>
        <v>0.1858081677</v>
      </c>
      <c r="AN196" s="118">
        <f t="shared" si="21"/>
        <v>16053.82569</v>
      </c>
      <c r="AO196" s="113" t="str">
        <f t="shared" si="22"/>
        <v>no</v>
      </c>
      <c r="AP196" s="115">
        <f t="shared" si="23"/>
        <v>0</v>
      </c>
      <c r="AQ196" s="113">
        <f t="shared" si="37"/>
        <v>0</v>
      </c>
      <c r="AR196" s="116">
        <f t="shared" si="24"/>
        <v>0</v>
      </c>
      <c r="AS196" s="113">
        <f t="shared" si="25"/>
        <v>0</v>
      </c>
      <c r="AT196" s="116">
        <f t="shared" si="26"/>
        <v>0</v>
      </c>
      <c r="AU196" s="113">
        <f t="shared" si="27"/>
        <v>0</v>
      </c>
      <c r="AV196" s="113" t="str">
        <f t="shared" si="28"/>
        <v>no</v>
      </c>
      <c r="AW196" s="115">
        <f t="shared" si="29"/>
        <v>0</v>
      </c>
      <c r="AX196" s="85">
        <f t="shared" si="41"/>
        <v>0</v>
      </c>
      <c r="AY196" s="116">
        <f t="shared" si="30"/>
        <v>0</v>
      </c>
      <c r="AZ196" s="113">
        <f t="shared" si="31"/>
        <v>0</v>
      </c>
      <c r="BA196" s="116">
        <f t="shared" si="32"/>
        <v>0</v>
      </c>
      <c r="BB196" s="113">
        <f t="shared" si="33"/>
        <v>0</v>
      </c>
      <c r="BC196" s="112">
        <v>0.44244161712066365</v>
      </c>
      <c r="BD196" s="113" t="str">
        <f>ifs(BC196&lt;='Range Tables'!$G$81,'Range Tables'!$B$81,BC196&lt;='Range Tables'!$G$82,'Range Tables'!$B$82)</f>
        <v>Offline*</v>
      </c>
      <c r="BE196" s="112">
        <v>0.7129133171446438</v>
      </c>
      <c r="BF196" s="112" t="str">
        <f>ifs(BE196&lt;='Range Tables'!$G$95,'Range Tables'!$B$95,BE196&lt;='Range Tables'!$G$96,'Range Tables'!$B$96,BE196&lt;='Range Tables'!$G$97,'Range Tables'!$B$97,BE196&lt;='Range Tables'!$G$98,'Range Tables'!$B$98,BE196&lt;='Range Tables'!$G$99,'Range Tables'!$B$99,BE196&lt;='Range Tables'!$G$100,'Range Tables'!$B$100,BE196&lt;='Range Tables'!$G$101,'Range Tables'!$B$101,BE196&lt;='Range Tables'!$G$102,'Range Tables'!$B$102,BE196&lt;='Range Tables'!$G$103,'Range Tables'!$B$103)</f>
        <v>Jammu</v>
      </c>
      <c r="BG196" s="112">
        <v>0.29559311749810224</v>
      </c>
      <c r="BH196" s="113" t="str">
        <f>ifs(BG196&lt;='Range Tables'!$G$112,'Range Tables'!$B$112,BG196&lt;='Range Tables'!$G$113,'Range Tables'!$B$113,BG196&lt;='Range Tables'!$G$114,'Range Tables'!$B$114)</f>
        <v>0</v>
      </c>
      <c r="BI196" s="117">
        <v>0.3553188589789691</v>
      </c>
      <c r="BJ196" s="113" t="str">
        <f>ifs(BI196&lt;='Range Tables'!$G$118,'Range Tables'!$B$118,BI196&lt;='Range Tables'!$G$119,'Range Tables'!$B$119)</f>
        <v>Valid</v>
      </c>
    </row>
    <row r="197">
      <c r="A197" s="85">
        <v>194.0</v>
      </c>
      <c r="B197" s="112">
        <v>0.9677116243944404</v>
      </c>
      <c r="C197" s="113" t="str">
        <f>ifs(B197&lt;='Range Tables'!$G$54,'Range Tables'!$B$54,B197&lt;='Range Tables'!$G$55,'Range Tables'!$B$55,B197&lt;='Range Tables'!$G$56,'Range Tables'!$B$56,B197&lt;='Range Tables'!$G$57,'Range Tables'!$B$57,B197&lt;='Range Tables'!$G$58,'Range Tables'!$B$58,B197&lt;='Range Tables'!$G$59,'Range Tables'!$B$59,B197&lt;='Range Tables'!$G$60,'Range Tables'!$B$60,B197&lt;='Range Tables'!$G$61,'Range Tables'!$B$61,B197&lt;='Range Tables'!$G$63,'Range Tables'!$B$63,B197&lt;='Range Tables'!$G$64,'Range Tables'!$B$64,B197&lt;='Range Tables'!$G$66,'Range Tables'!$B$66)</f>
        <v>300 - 330</v>
      </c>
      <c r="D197" s="113">
        <f>IFERROR(__xludf.DUMMYFUNCTION("SPLIT(C197,""-"")"),300.0)</f>
        <v>300</v>
      </c>
      <c r="E197" s="113">
        <f>IFERROR(__xludf.DUMMYFUNCTION("""COMPUTED_VALUE"""),330.0)</f>
        <v>330</v>
      </c>
      <c r="F197" s="114">
        <f t="shared" si="40"/>
        <v>329.0313487</v>
      </c>
      <c r="G197" s="112">
        <v>0.5145916990861027</v>
      </c>
      <c r="H197" s="113" t="str">
        <f>ifs(G197&lt;='Range Tables'!$G$86,'Range Tables'!$B$86,G197&lt;='Range Tables'!$G$87,'Range Tables'!$B$87,G197&lt;='Range Tables'!$G$88,'Range Tables'!$B$88,G197&lt;='Range Tables'!$G$89,'Range Tables'!$B$89,G197&lt;='Range Tables'!$G$90,'Range Tables'!$B$90,G197&lt;='Range Tables'!$G$91,'Range Tables'!$B$91)</f>
        <v>Bike</v>
      </c>
      <c r="I197" s="112">
        <v>0.12390524587355023</v>
      </c>
      <c r="J197" s="113" t="str">
        <f>IFS(
  H197="Car", IF(I197&lt;='Range Tables'!$G$19, 'Range Tables'!$B$19, 'Range Tables'!$B$20), 
  H197="Bike", IF(I197&lt;='Range Tables'!$G$25, 'Range Tables'!$B$25, 'Range Tables'!$B$26), 
  H197="Scooter", IF(I197&lt;='Range Tables'!$G$31, 'Range Tables'!$B$31, 'Range Tables'!$B$32), 
  H197="Auto", IF(I197&lt;='Range Tables'!$G$37, 'Range Tables'!$B$37, 'Range Tables'!$B$38), 
  H197="Carriers*", IF(I197&lt;='Range Tables'!$G$43, 'Range Tables'!$B$43, 'Range Tables'!$B$44), 
  H197="Van*", IF(I197&lt;='Range Tables'!$G$50, 'Range Tables'!$B$50, 'Range Tables'!$B$49)
)</f>
        <v>Petrol</v>
      </c>
      <c r="K197" s="112">
        <v>0.9050748384242223</v>
      </c>
      <c r="L197" s="113">
        <f>if(J197="Petrol",ifs(K197&lt;='Range Tables'!$G$5,'Range Tables'!$B$5,K197&lt;='Range Tables'!$G$6,'Range Tables'!$B$6,K197&lt;='Range Tables'!$G$7,'Range Tables'!$B$7),ifs(K197&lt;='Range Tables'!$G$13,'Range Tables'!$B$13,K197&lt;='Range Tables'!$G$14,'Range Tables'!$B$14))</f>
        <v>4</v>
      </c>
      <c r="M197" s="112">
        <v>0.14578508068359575</v>
      </c>
      <c r="N197" s="113" t="str">
        <f>ifs(H197="Car",ifs(M197&lt;='Range Tables'!$G$125,'Range Tables'!$B$125,M197&lt;='Range Tables'!$G$126,'Range Tables'!$B$126,M197&lt;='Range Tables'!$G$127,'Range Tables'!$B$127,M197&lt;='Range Tables'!$G$128,'Range Tables'!$B$128,M197&lt;='Range Tables'!$G$129,'Range Tables'!$B$129,'Range Tables'!$G$131,'Range Tables'!$B$131),H197="Bike",ifs(M197&lt;='Range Tables'!$G$136,'Range Tables'!$B$136,M197&lt;='Range Tables'!$G$137,'Range Tables'!$B$137,M197&lt;='Range Tables'!$G$138,'Range Tables'!$B$138,M197&lt;='Range Tables'!$G$142,'Range Tables'!$B$142),H197="Scooter",ifs(M197&lt;='Range Tables'!$G$148,'Range Tables'!$B$148,M197&lt;='Range Tables'!$G$149,'Range Tables'!$B$149,M197&lt;='Range Tables'!$G$150,'Range Tables'!$B$150,M197&lt;='Range Tables'!$G$151,'Range Tables'!$B$151),H197="Auto",ifs(M197&lt;='Range Tables'!$G$161,'Range Tables'!$B$161,M197&lt;='Range Tables'!$G$162,'Range Tables'!$B$162,M197&lt;='Range Tables'!$G$163,'Range Tables'!$B$163,M197&lt;='Range Tables'!$G$164,'Range Tables'!$B$164),H197="Carriers*",ifs(M197&lt;='Range Tables'!$G$173,'Range Tables'!$B$173,M197&lt;='Range Tables'!$G$174,'Range Tables'!$B$174,M197&lt;='Range Tables'!$G$175,'Range Tables'!$B$175,M197&lt;='Range Tables'!$G$176,'Range Tables'!$B$176,M197&lt;='Range Tables'!$G$177,'Range Tables'!$B$177,M197&lt;='Range Tables'!$G$179,'Range Tables'!$B$179),H197="Van*",ifs(M197&lt;='Range Tables'!$G$186,'Range Tables'!$B$186))</f>
        <v>30 - 60</v>
      </c>
      <c r="O197" s="113">
        <f>IFERROR(__xludf.DUMMYFUNCTION("SPLIT(N197,""-"")"),30.0)</f>
        <v>30</v>
      </c>
      <c r="P197" s="113">
        <f>IFERROR(__xludf.DUMMYFUNCTION("""COMPUTED_VALUE"""),60.0)</f>
        <v>60</v>
      </c>
      <c r="Q197" s="114">
        <f t="shared" si="2"/>
        <v>34.37355242</v>
      </c>
      <c r="R197" s="115">
        <f t="shared" si="3"/>
        <v>0.1845030781</v>
      </c>
      <c r="S197" s="114">
        <f t="shared" si="39"/>
        <v>15941.06595</v>
      </c>
      <c r="T197" s="113" t="str">
        <f t="shared" si="4"/>
        <v>no</v>
      </c>
      <c r="U197" s="115">
        <f t="shared" si="5"/>
        <v>0</v>
      </c>
      <c r="V197" s="113">
        <f t="shared" si="34"/>
        <v>0</v>
      </c>
      <c r="W197" s="115">
        <f t="shared" si="6"/>
        <v>0</v>
      </c>
      <c r="X197" s="85">
        <f t="shared" si="7"/>
        <v>0</v>
      </c>
      <c r="Y197" s="116">
        <f t="shared" si="8"/>
        <v>0</v>
      </c>
      <c r="Z197" s="113">
        <f t="shared" si="9"/>
        <v>0</v>
      </c>
      <c r="AA197" s="113" t="str">
        <f t="shared" si="10"/>
        <v>no</v>
      </c>
      <c r="AB197" s="115">
        <f t="shared" si="11"/>
        <v>0</v>
      </c>
      <c r="AC197" s="113">
        <f t="shared" si="35"/>
        <v>0</v>
      </c>
      <c r="AD197" s="116">
        <f t="shared" si="12"/>
        <v>0</v>
      </c>
      <c r="AE197" s="113">
        <f t="shared" si="13"/>
        <v>0</v>
      </c>
      <c r="AF197" s="116">
        <f t="shared" si="14"/>
        <v>0</v>
      </c>
      <c r="AG197" s="113">
        <f t="shared" si="15"/>
        <v>0</v>
      </c>
      <c r="AH197" s="113" t="str">
        <f t="shared" si="16"/>
        <v>no</v>
      </c>
      <c r="AI197" s="115">
        <f t="shared" si="17"/>
        <v>0</v>
      </c>
      <c r="AJ197" s="113">
        <f t="shared" si="36"/>
        <v>0</v>
      </c>
      <c r="AK197" s="116">
        <f t="shared" si="18"/>
        <v>0</v>
      </c>
      <c r="AL197" s="113">
        <f t="shared" si="19"/>
        <v>0</v>
      </c>
      <c r="AM197" s="115">
        <f t="shared" si="20"/>
        <v>0</v>
      </c>
      <c r="AN197" s="85">
        <f t="shared" si="21"/>
        <v>0</v>
      </c>
      <c r="AO197" s="113" t="str">
        <f t="shared" si="22"/>
        <v>yes</v>
      </c>
      <c r="AP197" s="115">
        <f t="shared" si="23"/>
        <v>0</v>
      </c>
      <c r="AQ197" s="113">
        <f t="shared" si="37"/>
        <v>0</v>
      </c>
      <c r="AR197" s="116">
        <f t="shared" si="24"/>
        <v>0.1845030781</v>
      </c>
      <c r="AS197" s="114">
        <f t="shared" si="25"/>
        <v>15941.06595</v>
      </c>
      <c r="AT197" s="116">
        <f t="shared" si="26"/>
        <v>0.1849009202</v>
      </c>
      <c r="AU197" s="114">
        <f t="shared" si="27"/>
        <v>15975.4395</v>
      </c>
      <c r="AV197" s="113" t="str">
        <f t="shared" si="28"/>
        <v>no</v>
      </c>
      <c r="AW197" s="115">
        <f t="shared" si="29"/>
        <v>0</v>
      </c>
      <c r="AX197" s="85">
        <f t="shared" si="41"/>
        <v>0</v>
      </c>
      <c r="AY197" s="116">
        <f t="shared" si="30"/>
        <v>0</v>
      </c>
      <c r="AZ197" s="113">
        <f t="shared" si="31"/>
        <v>0</v>
      </c>
      <c r="BA197" s="116">
        <f t="shared" si="32"/>
        <v>0</v>
      </c>
      <c r="BB197" s="113">
        <f t="shared" si="33"/>
        <v>0</v>
      </c>
      <c r="BC197" s="112">
        <v>0.6763256412609967</v>
      </c>
      <c r="BD197" s="113" t="str">
        <f>ifs(BC197&lt;='Range Tables'!$G$81,'Range Tables'!$B$81,BC197&lt;='Range Tables'!$G$82,'Range Tables'!$B$82)</f>
        <v>Offline*</v>
      </c>
      <c r="BE197" s="112">
        <v>0.4496301810030291</v>
      </c>
      <c r="BF197" s="112" t="str">
        <f>ifs(BE197&lt;='Range Tables'!$G$95,'Range Tables'!$B$95,BE197&lt;='Range Tables'!$G$96,'Range Tables'!$B$96,BE197&lt;='Range Tables'!$G$97,'Range Tables'!$B$97,BE197&lt;='Range Tables'!$G$98,'Range Tables'!$B$98,BE197&lt;='Range Tables'!$G$99,'Range Tables'!$B$99,BE197&lt;='Range Tables'!$G$100,'Range Tables'!$B$100,BE197&lt;='Range Tables'!$G$101,'Range Tables'!$B$101,BE197&lt;='Range Tables'!$G$102,'Range Tables'!$B$102,BE197&lt;='Range Tables'!$G$103,'Range Tables'!$B$103)</f>
        <v>Jammu</v>
      </c>
      <c r="BG197" s="112">
        <v>0.7401757298812938</v>
      </c>
      <c r="BH197" s="113" t="str">
        <f>ifs(BG197&lt;='Range Tables'!$G$112,'Range Tables'!$B$112,BG197&lt;='Range Tables'!$G$113,'Range Tables'!$B$113,BG197&lt;='Range Tables'!$G$114,'Range Tables'!$B$114)</f>
        <v>0</v>
      </c>
      <c r="BI197" s="117">
        <v>0.9410475471833871</v>
      </c>
      <c r="BJ197" s="113" t="str">
        <f>ifs(BI197&lt;='Range Tables'!$G$118,'Range Tables'!$B$118,BI197&lt;='Range Tables'!$G$119,'Range Tables'!$B$119)</f>
        <v>Expired</v>
      </c>
    </row>
    <row r="198">
      <c r="A198" s="85">
        <v>195.0</v>
      </c>
      <c r="B198" s="112">
        <v>0.8807068344439699</v>
      </c>
      <c r="C198" s="113" t="str">
        <f>ifs(B198&lt;='Range Tables'!$G$54,'Range Tables'!$B$54,B198&lt;='Range Tables'!$G$55,'Range Tables'!$B$55,B198&lt;='Range Tables'!$G$56,'Range Tables'!$B$56,B198&lt;='Range Tables'!$G$57,'Range Tables'!$B$57,B198&lt;='Range Tables'!$G$58,'Range Tables'!$B$58,B198&lt;='Range Tables'!$G$59,'Range Tables'!$B$59,B198&lt;='Range Tables'!$G$60,'Range Tables'!$B$60,B198&lt;='Range Tables'!$G$61,'Range Tables'!$B$61,B198&lt;='Range Tables'!$G$63,'Range Tables'!$B$63,B198&lt;='Range Tables'!$G$64,'Range Tables'!$B$64,B198&lt;='Range Tables'!$G$66,'Range Tables'!$B$66)</f>
        <v>180 - 210</v>
      </c>
      <c r="D198" s="113">
        <f>IFERROR(__xludf.DUMMYFUNCTION("SPLIT(C198,""-"")"),180.0)</f>
        <v>180</v>
      </c>
      <c r="E198" s="113">
        <f>IFERROR(__xludf.DUMMYFUNCTION("""COMPUTED_VALUE"""),210.0)</f>
        <v>210</v>
      </c>
      <c r="F198" s="114">
        <f t="shared" si="40"/>
        <v>206.421205</v>
      </c>
      <c r="G198" s="112">
        <v>0.0763341767813216</v>
      </c>
      <c r="H198" s="113" t="str">
        <f>ifs(G198&lt;='Range Tables'!$G$86,'Range Tables'!$B$86,G198&lt;='Range Tables'!$G$87,'Range Tables'!$B$87,G198&lt;='Range Tables'!$G$88,'Range Tables'!$B$88,G198&lt;='Range Tables'!$G$89,'Range Tables'!$B$89,G198&lt;='Range Tables'!$G$90,'Range Tables'!$B$90,G198&lt;='Range Tables'!$G$91,'Range Tables'!$B$91)</f>
        <v>Car</v>
      </c>
      <c r="I198" s="112">
        <v>0.4772970092727836</v>
      </c>
      <c r="J198" s="113" t="str">
        <f>IFS(
  H198="Car", IF(I198&lt;='Range Tables'!$G$19, 'Range Tables'!$B$19, 'Range Tables'!$B$20), 
  H198="Bike", IF(I198&lt;='Range Tables'!$G$25, 'Range Tables'!$B$25, 'Range Tables'!$B$26), 
  H198="Scooter", IF(I198&lt;='Range Tables'!$G$31, 'Range Tables'!$B$31, 'Range Tables'!$B$32), 
  H198="Auto", IF(I198&lt;='Range Tables'!$G$37, 'Range Tables'!$B$37, 'Range Tables'!$B$38), 
  H198="Carriers*", IF(I198&lt;='Range Tables'!$G$43, 'Range Tables'!$B$43, 'Range Tables'!$B$44), 
  H198="Van*", IF(I198&lt;='Range Tables'!$G$50, 'Range Tables'!$B$50, 'Range Tables'!$B$49)
)</f>
        <v>Petrol</v>
      </c>
      <c r="K198" s="112">
        <v>0.13733037941225068</v>
      </c>
      <c r="L198" s="113">
        <f>if(J198="Petrol",ifs(K198&lt;='Range Tables'!$G$5,'Range Tables'!$B$5,K198&lt;='Range Tables'!$G$6,'Range Tables'!$B$6,K198&lt;='Range Tables'!$G$7,'Range Tables'!$B$7),ifs(K198&lt;='Range Tables'!$G$13,'Range Tables'!$B$13,K198&lt;='Range Tables'!$G$14,'Range Tables'!$B$14))</f>
        <v>2</v>
      </c>
      <c r="M198" s="112">
        <v>0.4029566008924047</v>
      </c>
      <c r="N198" s="113" t="str">
        <f>ifs(H198="Car",ifs(M198&lt;='Range Tables'!$G$125,'Range Tables'!$B$125,M198&lt;='Range Tables'!$G$126,'Range Tables'!$B$126,M198&lt;='Range Tables'!$G$127,'Range Tables'!$B$127,M198&lt;='Range Tables'!$G$128,'Range Tables'!$B$128,M198&lt;='Range Tables'!$G$129,'Range Tables'!$B$129,'Range Tables'!$G$131,'Range Tables'!$B$131),H198="Bike",ifs(M198&lt;='Range Tables'!$G$136,'Range Tables'!$B$136,M198&lt;='Range Tables'!$G$137,'Range Tables'!$B$137,M198&lt;='Range Tables'!$G$138,'Range Tables'!$B$138,M198&lt;='Range Tables'!$G$142,'Range Tables'!$B$142),H198="Scooter",ifs(M198&lt;='Range Tables'!$G$148,'Range Tables'!$B$148,M198&lt;='Range Tables'!$G$149,'Range Tables'!$B$149,M198&lt;='Range Tables'!$G$150,'Range Tables'!$B$150,M198&lt;='Range Tables'!$G$151,'Range Tables'!$B$151),H198="Auto",ifs(M198&lt;='Range Tables'!$G$161,'Range Tables'!$B$161,M198&lt;='Range Tables'!$G$162,'Range Tables'!$B$162,M198&lt;='Range Tables'!$G$163,'Range Tables'!$B$163,M198&lt;='Range Tables'!$G$164,'Range Tables'!$B$164),H198="Carriers*",ifs(M198&lt;='Range Tables'!$G$173,'Range Tables'!$B$173,M198&lt;='Range Tables'!$G$174,'Range Tables'!$B$174,M198&lt;='Range Tables'!$G$175,'Range Tables'!$B$175,M198&lt;='Range Tables'!$G$176,'Range Tables'!$B$176,M198&lt;='Range Tables'!$G$177,'Range Tables'!$B$177,M198&lt;='Range Tables'!$G$179,'Range Tables'!$B$179),H198="Van*",ifs(M198&lt;='Range Tables'!$G$186,'Range Tables'!$B$186))</f>
        <v>60 - 120</v>
      </c>
      <c r="O198" s="113">
        <f>IFERROR(__xludf.DUMMYFUNCTION("SPLIT(N198,""-"")"),60.0)</f>
        <v>60</v>
      </c>
      <c r="P198" s="113">
        <f>IFERROR(__xludf.DUMMYFUNCTION("""COMPUTED_VALUE"""),120.0)</f>
        <v>120</v>
      </c>
      <c r="Q198" s="114">
        <f t="shared" si="2"/>
        <v>84.17739605</v>
      </c>
      <c r="R198" s="115">
        <f t="shared" si="3"/>
        <v>0.1883113113</v>
      </c>
      <c r="S198" s="114">
        <f t="shared" si="39"/>
        <v>16270.0973</v>
      </c>
      <c r="T198" s="113" t="str">
        <f t="shared" si="4"/>
        <v>no</v>
      </c>
      <c r="U198" s="115">
        <f t="shared" si="5"/>
        <v>0</v>
      </c>
      <c r="V198" s="113">
        <f t="shared" si="34"/>
        <v>0</v>
      </c>
      <c r="W198" s="115">
        <f t="shared" si="6"/>
        <v>0</v>
      </c>
      <c r="X198" s="85">
        <f t="shared" si="7"/>
        <v>0</v>
      </c>
      <c r="Y198" s="116">
        <f t="shared" si="8"/>
        <v>0</v>
      </c>
      <c r="Z198" s="113">
        <f t="shared" si="9"/>
        <v>0</v>
      </c>
      <c r="AA198" s="113" t="str">
        <f t="shared" si="10"/>
        <v>yes</v>
      </c>
      <c r="AB198" s="115">
        <f t="shared" si="11"/>
        <v>0</v>
      </c>
      <c r="AC198" s="113">
        <f t="shared" si="35"/>
        <v>0</v>
      </c>
      <c r="AD198" s="116">
        <f t="shared" si="12"/>
        <v>0.1883113113</v>
      </c>
      <c r="AE198" s="114">
        <f t="shared" si="13"/>
        <v>16270.0973</v>
      </c>
      <c r="AF198" s="116">
        <f t="shared" si="14"/>
        <v>0.1892855867</v>
      </c>
      <c r="AG198" s="114">
        <f t="shared" si="15"/>
        <v>16354.27469</v>
      </c>
      <c r="AH198" s="113" t="str">
        <f t="shared" si="16"/>
        <v>no</v>
      </c>
      <c r="AI198" s="115">
        <f t="shared" si="17"/>
        <v>0</v>
      </c>
      <c r="AJ198" s="113">
        <f t="shared" si="36"/>
        <v>0</v>
      </c>
      <c r="AK198" s="116">
        <f t="shared" si="18"/>
        <v>0</v>
      </c>
      <c r="AL198" s="113">
        <f t="shared" si="19"/>
        <v>0</v>
      </c>
      <c r="AM198" s="115">
        <f t="shared" si="20"/>
        <v>0</v>
      </c>
      <c r="AN198" s="85">
        <f t="shared" si="21"/>
        <v>0</v>
      </c>
      <c r="AO198" s="113" t="str">
        <f t="shared" si="22"/>
        <v>no</v>
      </c>
      <c r="AP198" s="115">
        <f t="shared" si="23"/>
        <v>0</v>
      </c>
      <c r="AQ198" s="113">
        <f t="shared" si="37"/>
        <v>0</v>
      </c>
      <c r="AR198" s="116">
        <f t="shared" si="24"/>
        <v>0</v>
      </c>
      <c r="AS198" s="113">
        <f t="shared" si="25"/>
        <v>0</v>
      </c>
      <c r="AT198" s="116">
        <f t="shared" si="26"/>
        <v>0</v>
      </c>
      <c r="AU198" s="113">
        <f t="shared" si="27"/>
        <v>0</v>
      </c>
      <c r="AV198" s="113" t="str">
        <f t="shared" si="28"/>
        <v>no</v>
      </c>
      <c r="AW198" s="115">
        <f t="shared" si="29"/>
        <v>0</v>
      </c>
      <c r="AX198" s="85">
        <f t="shared" si="41"/>
        <v>0</v>
      </c>
      <c r="AY198" s="116">
        <f t="shared" si="30"/>
        <v>0</v>
      </c>
      <c r="AZ198" s="113">
        <f t="shared" si="31"/>
        <v>0</v>
      </c>
      <c r="BA198" s="116">
        <f t="shared" si="32"/>
        <v>0</v>
      </c>
      <c r="BB198" s="113">
        <f t="shared" si="33"/>
        <v>0</v>
      </c>
      <c r="BC198" s="112">
        <v>0.668835589000343</v>
      </c>
      <c r="BD198" s="113" t="str">
        <f>ifs(BC198&lt;='Range Tables'!$G$81,'Range Tables'!$B$81,BC198&lt;='Range Tables'!$G$82,'Range Tables'!$B$82)</f>
        <v>Offline*</v>
      </c>
      <c r="BE198" s="112">
        <v>0.6742024567409584</v>
      </c>
      <c r="BF198" s="112" t="str">
        <f>ifs(BE198&lt;='Range Tables'!$G$95,'Range Tables'!$B$95,BE198&lt;='Range Tables'!$G$96,'Range Tables'!$B$96,BE198&lt;='Range Tables'!$G$97,'Range Tables'!$B$97,BE198&lt;='Range Tables'!$G$98,'Range Tables'!$B$98,BE198&lt;='Range Tables'!$G$99,'Range Tables'!$B$99,BE198&lt;='Range Tables'!$G$100,'Range Tables'!$B$100,BE198&lt;='Range Tables'!$G$101,'Range Tables'!$B$101,BE198&lt;='Range Tables'!$G$102,'Range Tables'!$B$102,BE198&lt;='Range Tables'!$G$103,'Range Tables'!$B$103)</f>
        <v>Jammu</v>
      </c>
      <c r="BG198" s="112">
        <v>0.09411638515539011</v>
      </c>
      <c r="BH198" s="113" t="str">
        <f>ifs(BG198&lt;='Range Tables'!$G$112,'Range Tables'!$B$112,BG198&lt;='Range Tables'!$G$113,'Range Tables'!$B$113,BG198&lt;='Range Tables'!$G$114,'Range Tables'!$B$114)</f>
        <v>0</v>
      </c>
      <c r="BI198" s="117">
        <v>0.11233154147319702</v>
      </c>
      <c r="BJ198" s="113" t="str">
        <f>ifs(BI198&lt;='Range Tables'!$G$118,'Range Tables'!$B$118,BI198&lt;='Range Tables'!$G$119,'Range Tables'!$B$119)</f>
        <v>Valid</v>
      </c>
    </row>
    <row r="199">
      <c r="A199" s="85">
        <v>196.0</v>
      </c>
      <c r="B199" s="112">
        <v>0.6241380723933151</v>
      </c>
      <c r="C199" s="113" t="str">
        <f>ifs(B199&lt;='Range Tables'!$G$54,'Range Tables'!$B$54,B199&lt;='Range Tables'!$G$55,'Range Tables'!$B$55,B199&lt;='Range Tables'!$G$56,'Range Tables'!$B$56,B199&lt;='Range Tables'!$G$57,'Range Tables'!$B$57,B199&lt;='Range Tables'!$G$58,'Range Tables'!$B$58,B199&lt;='Range Tables'!$G$59,'Range Tables'!$B$59,B199&lt;='Range Tables'!$G$60,'Range Tables'!$B$60,B199&lt;='Range Tables'!$G$61,'Range Tables'!$B$61,B199&lt;='Range Tables'!$G$63,'Range Tables'!$B$63,B199&lt;='Range Tables'!$G$64,'Range Tables'!$B$64,B199&lt;='Range Tables'!$G$66,'Range Tables'!$B$66)</f>
        <v>60 - 90</v>
      </c>
      <c r="D199" s="113">
        <f>IFERROR(__xludf.DUMMYFUNCTION("SPLIT(C199,""-"")"),60.0)</f>
        <v>60</v>
      </c>
      <c r="E199" s="113">
        <f>IFERROR(__xludf.DUMMYFUNCTION("""COMPUTED_VALUE"""),90.0)</f>
        <v>90</v>
      </c>
      <c r="F199" s="114">
        <f t="shared" si="40"/>
        <v>78.72414217</v>
      </c>
      <c r="G199" s="112">
        <v>0.15886249121058815</v>
      </c>
      <c r="H199" s="113" t="str">
        <f>ifs(G199&lt;='Range Tables'!$G$86,'Range Tables'!$B$86,G199&lt;='Range Tables'!$G$87,'Range Tables'!$B$87,G199&lt;='Range Tables'!$G$88,'Range Tables'!$B$88,G199&lt;='Range Tables'!$G$89,'Range Tables'!$B$89,G199&lt;='Range Tables'!$G$90,'Range Tables'!$B$90,G199&lt;='Range Tables'!$G$91,'Range Tables'!$B$91)</f>
        <v>Car</v>
      </c>
      <c r="I199" s="112">
        <v>0.538781017011126</v>
      </c>
      <c r="J199" s="113" t="str">
        <f>IFS(
  H199="Car", IF(I199&lt;='Range Tables'!$G$19, 'Range Tables'!$B$19, 'Range Tables'!$B$20), 
  H199="Bike", IF(I199&lt;='Range Tables'!$G$25, 'Range Tables'!$B$25, 'Range Tables'!$B$26), 
  H199="Scooter", IF(I199&lt;='Range Tables'!$G$31, 'Range Tables'!$B$31, 'Range Tables'!$B$32), 
  H199="Auto", IF(I199&lt;='Range Tables'!$G$37, 'Range Tables'!$B$37, 'Range Tables'!$B$38), 
  H199="Carriers*", IF(I199&lt;='Range Tables'!$G$43, 'Range Tables'!$B$43, 'Range Tables'!$B$44), 
  H199="Van*", IF(I199&lt;='Range Tables'!$G$50, 'Range Tables'!$B$50, 'Range Tables'!$B$49)
)</f>
        <v>Petrol</v>
      </c>
      <c r="K199" s="112">
        <v>0.0702336238083503</v>
      </c>
      <c r="L199" s="113">
        <f>if(J199="Petrol",ifs(K199&lt;='Range Tables'!$G$5,'Range Tables'!$B$5,K199&lt;='Range Tables'!$G$6,'Range Tables'!$B$6,K199&lt;='Range Tables'!$G$7,'Range Tables'!$B$7),ifs(K199&lt;='Range Tables'!$G$13,'Range Tables'!$B$13,K199&lt;='Range Tables'!$G$14,'Range Tables'!$B$14))</f>
        <v>2</v>
      </c>
      <c r="M199" s="112">
        <v>0.20254649863653007</v>
      </c>
      <c r="N199" s="113" t="str">
        <f>ifs(H199="Car",ifs(M199&lt;='Range Tables'!$G$125,'Range Tables'!$B$125,M199&lt;='Range Tables'!$G$126,'Range Tables'!$B$126,M199&lt;='Range Tables'!$G$127,'Range Tables'!$B$127,M199&lt;='Range Tables'!$G$128,'Range Tables'!$B$128,M199&lt;='Range Tables'!$G$129,'Range Tables'!$B$129,'Range Tables'!$G$131,'Range Tables'!$B$131),H199="Bike",ifs(M199&lt;='Range Tables'!$G$136,'Range Tables'!$B$136,M199&lt;='Range Tables'!$G$137,'Range Tables'!$B$137,M199&lt;='Range Tables'!$G$138,'Range Tables'!$B$138,M199&lt;='Range Tables'!$G$142,'Range Tables'!$B$142),H199="Scooter",ifs(M199&lt;='Range Tables'!$G$148,'Range Tables'!$B$148,M199&lt;='Range Tables'!$G$149,'Range Tables'!$B$149,M199&lt;='Range Tables'!$G$150,'Range Tables'!$B$150,M199&lt;='Range Tables'!$G$151,'Range Tables'!$B$151),H199="Auto",ifs(M199&lt;='Range Tables'!$G$161,'Range Tables'!$B$161,M199&lt;='Range Tables'!$G$162,'Range Tables'!$B$162,M199&lt;='Range Tables'!$G$163,'Range Tables'!$B$163,M199&lt;='Range Tables'!$G$164,'Range Tables'!$B$164),H199="Carriers*",ifs(M199&lt;='Range Tables'!$G$173,'Range Tables'!$B$173,M199&lt;='Range Tables'!$G$174,'Range Tables'!$B$174,M199&lt;='Range Tables'!$G$175,'Range Tables'!$B$175,M199&lt;='Range Tables'!$G$176,'Range Tables'!$B$176,M199&lt;='Range Tables'!$G$177,'Range Tables'!$B$177,M199&lt;='Range Tables'!$G$179,'Range Tables'!$B$179),H199="Van*",ifs(M199&lt;='Range Tables'!$G$186,'Range Tables'!$B$186))</f>
        <v>60 - 120</v>
      </c>
      <c r="O199" s="113">
        <f>IFERROR(__xludf.DUMMYFUNCTION("SPLIT(N199,""-"")"),60.0)</f>
        <v>60</v>
      </c>
      <c r="P199" s="113">
        <f>IFERROR(__xludf.DUMMYFUNCTION("""COMPUTED_VALUE"""),120.0)</f>
        <v>120</v>
      </c>
      <c r="Q199" s="114">
        <f t="shared" si="2"/>
        <v>72.15278992</v>
      </c>
      <c r="R199" s="115">
        <f t="shared" si="3"/>
        <v>0.1907004456</v>
      </c>
      <c r="S199" s="114">
        <f t="shared" si="39"/>
        <v>16476.5185</v>
      </c>
      <c r="T199" s="113" t="str">
        <f t="shared" si="4"/>
        <v>no</v>
      </c>
      <c r="U199" s="115">
        <f t="shared" si="5"/>
        <v>0</v>
      </c>
      <c r="V199" s="113">
        <f t="shared" si="34"/>
        <v>0</v>
      </c>
      <c r="W199" s="115">
        <f t="shared" si="6"/>
        <v>0</v>
      </c>
      <c r="X199" s="85">
        <f t="shared" si="7"/>
        <v>0</v>
      </c>
      <c r="Y199" s="116">
        <f t="shared" si="8"/>
        <v>0</v>
      </c>
      <c r="Z199" s="113">
        <f t="shared" si="9"/>
        <v>0</v>
      </c>
      <c r="AA199" s="113" t="str">
        <f t="shared" si="10"/>
        <v>yes</v>
      </c>
      <c r="AB199" s="115">
        <f t="shared" si="11"/>
        <v>0</v>
      </c>
      <c r="AC199" s="113">
        <f t="shared" si="35"/>
        <v>0</v>
      </c>
      <c r="AD199" s="116">
        <f t="shared" si="12"/>
        <v>0.1907004456</v>
      </c>
      <c r="AE199" s="114">
        <f t="shared" si="13"/>
        <v>16476.5185</v>
      </c>
      <c r="AF199" s="116">
        <f t="shared" si="14"/>
        <v>0.1915355474</v>
      </c>
      <c r="AG199" s="114">
        <f t="shared" si="15"/>
        <v>16548.67129</v>
      </c>
      <c r="AH199" s="113" t="str">
        <f t="shared" si="16"/>
        <v>no</v>
      </c>
      <c r="AI199" s="115">
        <f t="shared" si="17"/>
        <v>0</v>
      </c>
      <c r="AJ199" s="113">
        <f t="shared" si="36"/>
        <v>0</v>
      </c>
      <c r="AK199" s="116">
        <f t="shared" si="18"/>
        <v>0</v>
      </c>
      <c r="AL199" s="113">
        <f t="shared" si="19"/>
        <v>0</v>
      </c>
      <c r="AM199" s="115">
        <f t="shared" si="20"/>
        <v>0</v>
      </c>
      <c r="AN199" s="85">
        <f t="shared" si="21"/>
        <v>0</v>
      </c>
      <c r="AO199" s="113" t="str">
        <f t="shared" si="22"/>
        <v>no</v>
      </c>
      <c r="AP199" s="115">
        <f t="shared" si="23"/>
        <v>0</v>
      </c>
      <c r="AQ199" s="113">
        <f t="shared" si="37"/>
        <v>0</v>
      </c>
      <c r="AR199" s="116">
        <f t="shared" si="24"/>
        <v>0</v>
      </c>
      <c r="AS199" s="113">
        <f t="shared" si="25"/>
        <v>0</v>
      </c>
      <c r="AT199" s="116">
        <f t="shared" si="26"/>
        <v>0</v>
      </c>
      <c r="AU199" s="113">
        <f t="shared" si="27"/>
        <v>0</v>
      </c>
      <c r="AV199" s="113" t="str">
        <f t="shared" si="28"/>
        <v>no</v>
      </c>
      <c r="AW199" s="115">
        <f t="shared" si="29"/>
        <v>0</v>
      </c>
      <c r="AX199" s="85">
        <f t="shared" si="41"/>
        <v>0</v>
      </c>
      <c r="AY199" s="116">
        <f t="shared" si="30"/>
        <v>0</v>
      </c>
      <c r="AZ199" s="113">
        <f t="shared" si="31"/>
        <v>0</v>
      </c>
      <c r="BA199" s="116">
        <f t="shared" si="32"/>
        <v>0</v>
      </c>
      <c r="BB199" s="113">
        <f t="shared" si="33"/>
        <v>0</v>
      </c>
      <c r="BC199" s="112">
        <v>0.5907234459563256</v>
      </c>
      <c r="BD199" s="113" t="str">
        <f>ifs(BC199&lt;='Range Tables'!$G$81,'Range Tables'!$B$81,BC199&lt;='Range Tables'!$G$82,'Range Tables'!$B$82)</f>
        <v>Offline*</v>
      </c>
      <c r="BE199" s="112">
        <v>0.676948048232495</v>
      </c>
      <c r="BF199" s="112" t="str">
        <f>ifs(BE199&lt;='Range Tables'!$G$95,'Range Tables'!$B$95,BE199&lt;='Range Tables'!$G$96,'Range Tables'!$B$96,BE199&lt;='Range Tables'!$G$97,'Range Tables'!$B$97,BE199&lt;='Range Tables'!$G$98,'Range Tables'!$B$98,BE199&lt;='Range Tables'!$G$99,'Range Tables'!$B$99,BE199&lt;='Range Tables'!$G$100,'Range Tables'!$B$100,BE199&lt;='Range Tables'!$G$101,'Range Tables'!$B$101,BE199&lt;='Range Tables'!$G$102,'Range Tables'!$B$102,BE199&lt;='Range Tables'!$G$103,'Range Tables'!$B$103)</f>
        <v>Jammu</v>
      </c>
      <c r="BG199" s="112">
        <v>0.09094080084794909</v>
      </c>
      <c r="BH199" s="113" t="str">
        <f>ifs(BG199&lt;='Range Tables'!$G$112,'Range Tables'!$B$112,BG199&lt;='Range Tables'!$G$113,'Range Tables'!$B$113,BG199&lt;='Range Tables'!$G$114,'Range Tables'!$B$114)</f>
        <v>0</v>
      </c>
      <c r="BI199" s="117">
        <v>0.3557233578680755</v>
      </c>
      <c r="BJ199" s="113" t="str">
        <f>ifs(BI199&lt;='Range Tables'!$G$118,'Range Tables'!$B$118,BI199&lt;='Range Tables'!$G$119,'Range Tables'!$B$119)</f>
        <v>Valid</v>
      </c>
    </row>
    <row r="200">
      <c r="A200" s="85">
        <v>197.0</v>
      </c>
      <c r="B200" s="112">
        <v>0.5319904979525577</v>
      </c>
      <c r="C200" s="113" t="str">
        <f>ifs(B200&lt;='Range Tables'!$G$54,'Range Tables'!$B$54,B200&lt;='Range Tables'!$G$55,'Range Tables'!$B$55,B200&lt;='Range Tables'!$G$56,'Range Tables'!$B$56,B200&lt;='Range Tables'!$G$57,'Range Tables'!$B$57,B200&lt;='Range Tables'!$G$58,'Range Tables'!$B$58,B200&lt;='Range Tables'!$G$59,'Range Tables'!$B$59,B200&lt;='Range Tables'!$G$60,'Range Tables'!$B$60,B200&lt;='Range Tables'!$G$61,'Range Tables'!$B$61,B200&lt;='Range Tables'!$G$63,'Range Tables'!$B$63,B200&lt;='Range Tables'!$G$64,'Range Tables'!$B$64,B200&lt;='Range Tables'!$G$66,'Range Tables'!$B$66)</f>
        <v>30 - 60 </v>
      </c>
      <c r="D200" s="113">
        <f>IFERROR(__xludf.DUMMYFUNCTION("SPLIT(C200,""-"")"),30.0)</f>
        <v>30</v>
      </c>
      <c r="E200" s="113">
        <f>IFERROR(__xludf.DUMMYFUNCTION("""COMPUTED_VALUE"""),60.0)</f>
        <v>60</v>
      </c>
      <c r="F200" s="114">
        <f t="shared" si="40"/>
        <v>45.95971494</v>
      </c>
      <c r="G200" s="112">
        <v>0.3237777549269859</v>
      </c>
      <c r="H200" s="113" t="str">
        <f>ifs(G200&lt;='Range Tables'!$G$86,'Range Tables'!$B$86,G200&lt;='Range Tables'!$G$87,'Range Tables'!$B$87,G200&lt;='Range Tables'!$G$88,'Range Tables'!$B$88,G200&lt;='Range Tables'!$G$89,'Range Tables'!$B$89,G200&lt;='Range Tables'!$G$90,'Range Tables'!$B$90,G200&lt;='Range Tables'!$G$91,'Range Tables'!$B$91)</f>
        <v>Car</v>
      </c>
      <c r="I200" s="112">
        <v>0.06325541944577184</v>
      </c>
      <c r="J200" s="113" t="str">
        <f>IFS(
  H200="Car", IF(I200&lt;='Range Tables'!$G$19, 'Range Tables'!$B$19, 'Range Tables'!$B$20), 
  H200="Bike", IF(I200&lt;='Range Tables'!$G$25, 'Range Tables'!$B$25, 'Range Tables'!$B$26), 
  H200="Scooter", IF(I200&lt;='Range Tables'!$G$31, 'Range Tables'!$B$31, 'Range Tables'!$B$32), 
  H200="Auto", IF(I200&lt;='Range Tables'!$G$37, 'Range Tables'!$B$37, 'Range Tables'!$B$38), 
  H200="Carriers*", IF(I200&lt;='Range Tables'!$G$43, 'Range Tables'!$B$43, 'Range Tables'!$B$44), 
  H200="Van*", IF(I200&lt;='Range Tables'!$G$50, 'Range Tables'!$B$50, 'Range Tables'!$B$49)
)</f>
        <v>Petrol</v>
      </c>
      <c r="K200" s="112">
        <v>0.2164037148427037</v>
      </c>
      <c r="L200" s="113">
        <f>if(J200="Petrol",ifs(K200&lt;='Range Tables'!$G$5,'Range Tables'!$B$5,K200&lt;='Range Tables'!$G$6,'Range Tables'!$B$6,K200&lt;='Range Tables'!$G$7,'Range Tables'!$B$7),ifs(K200&lt;='Range Tables'!$G$13,'Range Tables'!$B$13,K200&lt;='Range Tables'!$G$14,'Range Tables'!$B$14))</f>
        <v>2</v>
      </c>
      <c r="M200" s="112">
        <v>0.8431192495759018</v>
      </c>
      <c r="N200" s="113" t="str">
        <f>ifs(H200="Car",ifs(M200&lt;='Range Tables'!$G$125,'Range Tables'!$B$125,M200&lt;='Range Tables'!$G$126,'Range Tables'!$B$126,M200&lt;='Range Tables'!$G$127,'Range Tables'!$B$127,M200&lt;='Range Tables'!$G$128,'Range Tables'!$B$128,M200&lt;='Range Tables'!$G$129,'Range Tables'!$B$129,'Range Tables'!$G$131,'Range Tables'!$B$131),H200="Bike",ifs(M200&lt;='Range Tables'!$G$136,'Range Tables'!$B$136,M200&lt;='Range Tables'!$G$137,'Range Tables'!$B$137,M200&lt;='Range Tables'!$G$138,'Range Tables'!$B$138,M200&lt;='Range Tables'!$G$142,'Range Tables'!$B$142),H200="Scooter",ifs(M200&lt;='Range Tables'!$G$148,'Range Tables'!$B$148,M200&lt;='Range Tables'!$G$149,'Range Tables'!$B$149,M200&lt;='Range Tables'!$G$150,'Range Tables'!$B$150,M200&lt;='Range Tables'!$G$151,'Range Tables'!$B$151),H200="Auto",ifs(M200&lt;='Range Tables'!$G$161,'Range Tables'!$B$161,M200&lt;='Range Tables'!$G$162,'Range Tables'!$B$162,M200&lt;='Range Tables'!$G$163,'Range Tables'!$B$163,M200&lt;='Range Tables'!$G$164,'Range Tables'!$B$164),H200="Carriers*",ifs(M200&lt;='Range Tables'!$G$173,'Range Tables'!$B$173,M200&lt;='Range Tables'!$G$174,'Range Tables'!$B$174,M200&lt;='Range Tables'!$G$175,'Range Tables'!$B$175,M200&lt;='Range Tables'!$G$176,'Range Tables'!$B$176,M200&lt;='Range Tables'!$G$177,'Range Tables'!$B$177,M200&lt;='Range Tables'!$G$179,'Range Tables'!$B$179),H200="Van*",ifs(M200&lt;='Range Tables'!$G$186,'Range Tables'!$B$186))</f>
        <v>180 - 240</v>
      </c>
      <c r="O200" s="113">
        <f>IFERROR(__xludf.DUMMYFUNCTION("SPLIT(N200,""-"")"),180.0)</f>
        <v>180</v>
      </c>
      <c r="P200" s="113">
        <f>IFERROR(__xludf.DUMMYFUNCTION("""COMPUTED_VALUE"""),240.0)</f>
        <v>240</v>
      </c>
      <c r="Q200" s="114">
        <f t="shared" si="2"/>
        <v>230.587155</v>
      </c>
      <c r="R200" s="115">
        <f t="shared" si="3"/>
        <v>0.1916116047</v>
      </c>
      <c r="S200" s="114">
        <f t="shared" si="39"/>
        <v>16555.24265</v>
      </c>
      <c r="T200" s="113" t="str">
        <f t="shared" si="4"/>
        <v>no</v>
      </c>
      <c r="U200" s="115">
        <f t="shared" si="5"/>
        <v>0</v>
      </c>
      <c r="V200" s="113">
        <f t="shared" si="34"/>
        <v>0</v>
      </c>
      <c r="W200" s="115">
        <f t="shared" si="6"/>
        <v>0</v>
      </c>
      <c r="X200" s="85">
        <f t="shared" si="7"/>
        <v>0</v>
      </c>
      <c r="Y200" s="116">
        <f t="shared" si="8"/>
        <v>0</v>
      </c>
      <c r="Z200" s="113">
        <f t="shared" si="9"/>
        <v>0</v>
      </c>
      <c r="AA200" s="113" t="str">
        <f t="shared" si="10"/>
        <v>yes</v>
      </c>
      <c r="AB200" s="115">
        <f t="shared" si="11"/>
        <v>0</v>
      </c>
      <c r="AC200" s="113">
        <f t="shared" si="35"/>
        <v>0</v>
      </c>
      <c r="AD200" s="116">
        <f t="shared" si="12"/>
        <v>0.1916116047</v>
      </c>
      <c r="AE200" s="114">
        <f t="shared" si="13"/>
        <v>16555.24265</v>
      </c>
      <c r="AF200" s="116">
        <f t="shared" si="14"/>
        <v>0.1942804375</v>
      </c>
      <c r="AG200" s="114">
        <f t="shared" si="15"/>
        <v>16785.8298</v>
      </c>
      <c r="AH200" s="113" t="str">
        <f t="shared" si="16"/>
        <v>no</v>
      </c>
      <c r="AI200" s="115">
        <f t="shared" si="17"/>
        <v>0</v>
      </c>
      <c r="AJ200" s="113">
        <f t="shared" si="36"/>
        <v>0</v>
      </c>
      <c r="AK200" s="116">
        <f t="shared" si="18"/>
        <v>0</v>
      </c>
      <c r="AL200" s="113">
        <f t="shared" si="19"/>
        <v>0</v>
      </c>
      <c r="AM200" s="115">
        <f t="shared" si="20"/>
        <v>0</v>
      </c>
      <c r="AN200" s="85">
        <f t="shared" si="21"/>
        <v>0</v>
      </c>
      <c r="AO200" s="113" t="str">
        <f t="shared" si="22"/>
        <v>no</v>
      </c>
      <c r="AP200" s="115">
        <f t="shared" si="23"/>
        <v>0</v>
      </c>
      <c r="AQ200" s="113">
        <f t="shared" si="37"/>
        <v>0</v>
      </c>
      <c r="AR200" s="116">
        <f t="shared" si="24"/>
        <v>0</v>
      </c>
      <c r="AS200" s="113">
        <f t="shared" si="25"/>
        <v>0</v>
      </c>
      <c r="AT200" s="116">
        <f t="shared" si="26"/>
        <v>0</v>
      </c>
      <c r="AU200" s="113">
        <f t="shared" si="27"/>
        <v>0</v>
      </c>
      <c r="AV200" s="113" t="str">
        <f t="shared" si="28"/>
        <v>no</v>
      </c>
      <c r="AW200" s="115">
        <f t="shared" si="29"/>
        <v>0</v>
      </c>
      <c r="AX200" s="85">
        <f t="shared" si="41"/>
        <v>0</v>
      </c>
      <c r="AY200" s="116">
        <f t="shared" si="30"/>
        <v>0</v>
      </c>
      <c r="AZ200" s="113">
        <f t="shared" si="31"/>
        <v>0</v>
      </c>
      <c r="BA200" s="116">
        <f t="shared" si="32"/>
        <v>0</v>
      </c>
      <c r="BB200" s="113">
        <f t="shared" si="33"/>
        <v>0</v>
      </c>
      <c r="BC200" s="112">
        <v>0.3445636293642894</v>
      </c>
      <c r="BD200" s="113" t="str">
        <f>ifs(BC200&lt;='Range Tables'!$G$81,'Range Tables'!$B$81,BC200&lt;='Range Tables'!$G$82,'Range Tables'!$B$82)</f>
        <v>Offline*</v>
      </c>
      <c r="BE200" s="112">
        <v>0.7786273583494819</v>
      </c>
      <c r="BF200" s="112" t="str">
        <f>ifs(BE200&lt;='Range Tables'!$G$95,'Range Tables'!$B$95,BE200&lt;='Range Tables'!$G$96,'Range Tables'!$B$96,BE200&lt;='Range Tables'!$G$97,'Range Tables'!$B$97,BE200&lt;='Range Tables'!$G$98,'Range Tables'!$B$98,BE200&lt;='Range Tables'!$G$99,'Range Tables'!$B$99,BE200&lt;='Range Tables'!$G$100,'Range Tables'!$B$100,BE200&lt;='Range Tables'!$G$101,'Range Tables'!$B$101,BE200&lt;='Range Tables'!$G$102,'Range Tables'!$B$102,BE200&lt;='Range Tables'!$G$103,'Range Tables'!$B$103)</f>
        <v>Other State Cities</v>
      </c>
      <c r="BG200" s="112">
        <v>0.5799512556849495</v>
      </c>
      <c r="BH200" s="113" t="str">
        <f>ifs(BG200&lt;='Range Tables'!$G$112,'Range Tables'!$B$112,BG200&lt;='Range Tables'!$G$113,'Range Tables'!$B$113,BG200&lt;='Range Tables'!$G$114,'Range Tables'!$B$114)</f>
        <v>0</v>
      </c>
      <c r="BI200" s="117">
        <v>0.4546195221723336</v>
      </c>
      <c r="BJ200" s="113" t="str">
        <f>ifs(BI200&lt;='Range Tables'!$G$118,'Range Tables'!$B$118,BI200&lt;='Range Tables'!$G$119,'Range Tables'!$B$119)</f>
        <v>Valid</v>
      </c>
    </row>
    <row r="201">
      <c r="A201" s="85">
        <v>198.0</v>
      </c>
      <c r="B201" s="112">
        <v>0.6122905903444565</v>
      </c>
      <c r="C201" s="113" t="str">
        <f>ifs(B201&lt;='Range Tables'!$G$54,'Range Tables'!$B$54,B201&lt;='Range Tables'!$G$55,'Range Tables'!$B$55,B201&lt;='Range Tables'!$G$56,'Range Tables'!$B$56,B201&lt;='Range Tables'!$G$57,'Range Tables'!$B$57,B201&lt;='Range Tables'!$G$58,'Range Tables'!$B$58,B201&lt;='Range Tables'!$G$59,'Range Tables'!$B$59,B201&lt;='Range Tables'!$G$60,'Range Tables'!$B$60,B201&lt;='Range Tables'!$G$61,'Range Tables'!$B$61,B201&lt;='Range Tables'!$G$63,'Range Tables'!$B$63,B201&lt;='Range Tables'!$G$64,'Range Tables'!$B$64,B201&lt;='Range Tables'!$G$66,'Range Tables'!$B$66)</f>
        <v>60 - 90</v>
      </c>
      <c r="D201" s="113">
        <f>IFERROR(__xludf.DUMMYFUNCTION("SPLIT(C201,""-"")"),60.0)</f>
        <v>60</v>
      </c>
      <c r="E201" s="113">
        <f>IFERROR(__xludf.DUMMYFUNCTION("""COMPUTED_VALUE"""),90.0)</f>
        <v>90</v>
      </c>
      <c r="F201" s="114">
        <f t="shared" si="40"/>
        <v>78.36871771</v>
      </c>
      <c r="G201" s="112">
        <v>0.4395193668314189</v>
      </c>
      <c r="H201" s="113" t="str">
        <f>ifs(G201&lt;='Range Tables'!$G$86,'Range Tables'!$B$86,G201&lt;='Range Tables'!$G$87,'Range Tables'!$B$87,G201&lt;='Range Tables'!$G$88,'Range Tables'!$B$88,G201&lt;='Range Tables'!$G$89,'Range Tables'!$B$89,G201&lt;='Range Tables'!$G$90,'Range Tables'!$B$90,G201&lt;='Range Tables'!$G$91,'Range Tables'!$B$91)</f>
        <v>Car</v>
      </c>
      <c r="I201" s="112">
        <v>0.22736768903584814</v>
      </c>
      <c r="J201" s="113" t="str">
        <f>IFS(
  H201="Car", IF(I201&lt;='Range Tables'!$G$19, 'Range Tables'!$B$19, 'Range Tables'!$B$20), 
  H201="Bike", IF(I201&lt;='Range Tables'!$G$25, 'Range Tables'!$B$25, 'Range Tables'!$B$26), 
  H201="Scooter", IF(I201&lt;='Range Tables'!$G$31, 'Range Tables'!$B$31, 'Range Tables'!$B$32), 
  H201="Auto", IF(I201&lt;='Range Tables'!$G$37, 'Range Tables'!$B$37, 'Range Tables'!$B$38), 
  H201="Carriers*", IF(I201&lt;='Range Tables'!$G$43, 'Range Tables'!$B$43, 'Range Tables'!$B$44), 
  H201="Van*", IF(I201&lt;='Range Tables'!$G$50, 'Range Tables'!$B$50, 'Range Tables'!$B$49)
)</f>
        <v>Petrol</v>
      </c>
      <c r="K201" s="112">
        <v>0.5431825225827206</v>
      </c>
      <c r="L201" s="113">
        <f>if(J201="Petrol",ifs(K201&lt;='Range Tables'!$G$5,'Range Tables'!$B$5,K201&lt;='Range Tables'!$G$6,'Range Tables'!$B$6,K201&lt;='Range Tables'!$G$7,'Range Tables'!$B$7),ifs(K201&lt;='Range Tables'!$G$13,'Range Tables'!$B$13,K201&lt;='Range Tables'!$G$14,'Range Tables'!$B$14))</f>
        <v>3</v>
      </c>
      <c r="M201" s="112">
        <v>0.7329699185086639</v>
      </c>
      <c r="N201" s="113" t="str">
        <f>ifs(H201="Car",ifs(M201&lt;='Range Tables'!$G$125,'Range Tables'!$B$125,M201&lt;='Range Tables'!$G$126,'Range Tables'!$B$126,M201&lt;='Range Tables'!$G$127,'Range Tables'!$B$127,M201&lt;='Range Tables'!$G$128,'Range Tables'!$B$128,M201&lt;='Range Tables'!$G$129,'Range Tables'!$B$129,'Range Tables'!$G$131,'Range Tables'!$B$131),H201="Bike",ifs(M201&lt;='Range Tables'!$G$136,'Range Tables'!$B$136,M201&lt;='Range Tables'!$G$137,'Range Tables'!$B$137,M201&lt;='Range Tables'!$G$138,'Range Tables'!$B$138,M201&lt;='Range Tables'!$G$142,'Range Tables'!$B$142),H201="Scooter",ifs(M201&lt;='Range Tables'!$G$148,'Range Tables'!$B$148,M201&lt;='Range Tables'!$G$149,'Range Tables'!$B$149,M201&lt;='Range Tables'!$G$150,'Range Tables'!$B$150,M201&lt;='Range Tables'!$G$151,'Range Tables'!$B$151),H201="Auto",ifs(M201&lt;='Range Tables'!$G$161,'Range Tables'!$B$161,M201&lt;='Range Tables'!$G$162,'Range Tables'!$B$162,M201&lt;='Range Tables'!$G$163,'Range Tables'!$B$163,M201&lt;='Range Tables'!$G$164,'Range Tables'!$B$164),H201="Carriers*",ifs(M201&lt;='Range Tables'!$G$173,'Range Tables'!$B$173,M201&lt;='Range Tables'!$G$174,'Range Tables'!$B$174,M201&lt;='Range Tables'!$G$175,'Range Tables'!$B$175,M201&lt;='Range Tables'!$G$176,'Range Tables'!$B$176,M201&lt;='Range Tables'!$G$177,'Range Tables'!$B$177,M201&lt;='Range Tables'!$G$179,'Range Tables'!$B$179),H201="Van*",ifs(M201&lt;='Range Tables'!$G$186,'Range Tables'!$B$186))</f>
        <v>120 - 180</v>
      </c>
      <c r="O201" s="113">
        <f>IFERROR(__xludf.DUMMYFUNCTION("SPLIT(N201,""-"")"),120.0)</f>
        <v>120</v>
      </c>
      <c r="P201" s="113">
        <f>IFERROR(__xludf.DUMMYFUNCTION("""COMPUTED_VALUE"""),180.0)</f>
        <v>180</v>
      </c>
      <c r="Q201" s="114">
        <f t="shared" si="2"/>
        <v>163.9781951</v>
      </c>
      <c r="R201" s="115">
        <f t="shared" si="3"/>
        <v>0.1921435458</v>
      </c>
      <c r="S201" s="114">
        <f t="shared" si="39"/>
        <v>16601.20236</v>
      </c>
      <c r="T201" s="113" t="str">
        <f t="shared" si="4"/>
        <v>no</v>
      </c>
      <c r="U201" s="115">
        <f t="shared" si="5"/>
        <v>0</v>
      </c>
      <c r="V201" s="113">
        <f t="shared" si="34"/>
        <v>0</v>
      </c>
      <c r="W201" s="115">
        <f t="shared" si="6"/>
        <v>0</v>
      </c>
      <c r="X201" s="85">
        <f t="shared" si="7"/>
        <v>0</v>
      </c>
      <c r="Y201" s="116">
        <f t="shared" si="8"/>
        <v>0</v>
      </c>
      <c r="Z201" s="113">
        <f t="shared" si="9"/>
        <v>0</v>
      </c>
      <c r="AA201" s="113" t="str">
        <f t="shared" si="10"/>
        <v>no</v>
      </c>
      <c r="AB201" s="115">
        <f t="shared" si="11"/>
        <v>0</v>
      </c>
      <c r="AC201" s="113">
        <f t="shared" si="35"/>
        <v>0</v>
      </c>
      <c r="AD201" s="116">
        <f t="shared" si="12"/>
        <v>0</v>
      </c>
      <c r="AE201" s="113">
        <f t="shared" si="13"/>
        <v>0</v>
      </c>
      <c r="AF201" s="116">
        <f t="shared" si="14"/>
        <v>0</v>
      </c>
      <c r="AG201" s="113">
        <f t="shared" si="15"/>
        <v>0</v>
      </c>
      <c r="AH201" s="113" t="str">
        <f t="shared" si="16"/>
        <v>yes</v>
      </c>
      <c r="AI201" s="115">
        <f t="shared" si="17"/>
        <v>0</v>
      </c>
      <c r="AJ201" s="113">
        <f t="shared" si="36"/>
        <v>0</v>
      </c>
      <c r="AK201" s="116">
        <f t="shared" si="18"/>
        <v>0.1921435458</v>
      </c>
      <c r="AL201" s="114">
        <f t="shared" si="19"/>
        <v>16601.20236</v>
      </c>
      <c r="AM201" s="115">
        <f t="shared" si="20"/>
        <v>0.1940414416</v>
      </c>
      <c r="AN201" s="118">
        <f t="shared" si="21"/>
        <v>16765.18056</v>
      </c>
      <c r="AO201" s="113" t="str">
        <f t="shared" si="22"/>
        <v>no</v>
      </c>
      <c r="AP201" s="115">
        <f t="shared" si="23"/>
        <v>0</v>
      </c>
      <c r="AQ201" s="113">
        <f t="shared" si="37"/>
        <v>0</v>
      </c>
      <c r="AR201" s="116">
        <f t="shared" si="24"/>
        <v>0</v>
      </c>
      <c r="AS201" s="113">
        <f t="shared" si="25"/>
        <v>0</v>
      </c>
      <c r="AT201" s="116">
        <f t="shared" si="26"/>
        <v>0</v>
      </c>
      <c r="AU201" s="113">
        <f t="shared" si="27"/>
        <v>0</v>
      </c>
      <c r="AV201" s="113" t="str">
        <f t="shared" si="28"/>
        <v>no</v>
      </c>
      <c r="AW201" s="115">
        <f t="shared" si="29"/>
        <v>0</v>
      </c>
      <c r="AX201" s="85">
        <f t="shared" si="41"/>
        <v>0</v>
      </c>
      <c r="AY201" s="116">
        <f t="shared" si="30"/>
        <v>0</v>
      </c>
      <c r="AZ201" s="113">
        <f t="shared" si="31"/>
        <v>0</v>
      </c>
      <c r="BA201" s="116">
        <f t="shared" si="32"/>
        <v>0</v>
      </c>
      <c r="BB201" s="113">
        <f t="shared" si="33"/>
        <v>0</v>
      </c>
      <c r="BC201" s="112">
        <v>0.6002231158809853</v>
      </c>
      <c r="BD201" s="113" t="str">
        <f>ifs(BC201&lt;='Range Tables'!$G$81,'Range Tables'!$B$81,BC201&lt;='Range Tables'!$G$82,'Range Tables'!$B$82)</f>
        <v>Offline*</v>
      </c>
      <c r="BE201" s="112">
        <v>0.3717790138087511</v>
      </c>
      <c r="BF201" s="112" t="str">
        <f>ifs(BE201&lt;='Range Tables'!$G$95,'Range Tables'!$B$95,BE201&lt;='Range Tables'!$G$96,'Range Tables'!$B$96,BE201&lt;='Range Tables'!$G$97,'Range Tables'!$B$97,BE201&lt;='Range Tables'!$G$98,'Range Tables'!$B$98,BE201&lt;='Range Tables'!$G$99,'Range Tables'!$B$99,BE201&lt;='Range Tables'!$G$100,'Range Tables'!$B$100,BE201&lt;='Range Tables'!$G$101,'Range Tables'!$B$101,BE201&lt;='Range Tables'!$G$102,'Range Tables'!$B$102,BE201&lt;='Range Tables'!$G$103,'Range Tables'!$B$103)</f>
        <v>Jammu</v>
      </c>
      <c r="BG201" s="112">
        <v>0.47855867813969033</v>
      </c>
      <c r="BH201" s="113" t="str">
        <f>ifs(BG201&lt;='Range Tables'!$G$112,'Range Tables'!$B$112,BG201&lt;='Range Tables'!$G$113,'Range Tables'!$B$113,BG201&lt;='Range Tables'!$G$114,'Range Tables'!$B$114)</f>
        <v>0</v>
      </c>
      <c r="BI201" s="117">
        <v>0.8324866725154684</v>
      </c>
      <c r="BJ201" s="113" t="str">
        <f>ifs(BI201&lt;='Range Tables'!$G$118,'Range Tables'!$B$118,BI201&lt;='Range Tables'!$G$119,'Range Tables'!$B$119)</f>
        <v>Expired</v>
      </c>
    </row>
    <row r="202">
      <c r="A202" s="85">
        <v>199.0</v>
      </c>
      <c r="B202" s="112">
        <v>0.9142795133020281</v>
      </c>
      <c r="C202" s="113" t="str">
        <f>ifs(B202&lt;='Range Tables'!$G$54,'Range Tables'!$B$54,B202&lt;='Range Tables'!$G$55,'Range Tables'!$B$55,B202&lt;='Range Tables'!$G$56,'Range Tables'!$B$56,B202&lt;='Range Tables'!$G$57,'Range Tables'!$B$57,B202&lt;='Range Tables'!$G$58,'Range Tables'!$B$58,B202&lt;='Range Tables'!$G$59,'Range Tables'!$B$59,B202&lt;='Range Tables'!$G$60,'Range Tables'!$B$60,B202&lt;='Range Tables'!$G$61,'Range Tables'!$B$61,B202&lt;='Range Tables'!$G$63,'Range Tables'!$B$63,B202&lt;='Range Tables'!$G$64,'Range Tables'!$B$64,B202&lt;='Range Tables'!$G$66,'Range Tables'!$B$66)</f>
        <v>210 - 240</v>
      </c>
      <c r="D202" s="113">
        <f>IFERROR(__xludf.DUMMYFUNCTION("SPLIT(C202,""-"")"),210.0)</f>
        <v>210</v>
      </c>
      <c r="E202" s="113">
        <f>IFERROR(__xludf.DUMMYFUNCTION("""COMPUTED_VALUE"""),240.0)</f>
        <v>240</v>
      </c>
      <c r="F202" s="114">
        <f t="shared" si="40"/>
        <v>237.4283854</v>
      </c>
      <c r="G202" s="112">
        <v>0.23762134835528115</v>
      </c>
      <c r="H202" s="113" t="str">
        <f>ifs(G202&lt;='Range Tables'!$G$86,'Range Tables'!$B$86,G202&lt;='Range Tables'!$G$87,'Range Tables'!$B$87,G202&lt;='Range Tables'!$G$88,'Range Tables'!$B$88,G202&lt;='Range Tables'!$G$89,'Range Tables'!$B$89,G202&lt;='Range Tables'!$G$90,'Range Tables'!$B$90,G202&lt;='Range Tables'!$G$91,'Range Tables'!$B$91)</f>
        <v>Car</v>
      </c>
      <c r="I202" s="112">
        <v>0.8012308266764333</v>
      </c>
      <c r="J202" s="113" t="str">
        <f>IFS(
  H202="Car", IF(I202&lt;='Range Tables'!$G$19, 'Range Tables'!$B$19, 'Range Tables'!$B$20), 
  H202="Bike", IF(I202&lt;='Range Tables'!$G$25, 'Range Tables'!$B$25, 'Range Tables'!$B$26), 
  H202="Scooter", IF(I202&lt;='Range Tables'!$G$31, 'Range Tables'!$B$31, 'Range Tables'!$B$32), 
  H202="Auto", IF(I202&lt;='Range Tables'!$G$37, 'Range Tables'!$B$37, 'Range Tables'!$B$38), 
  H202="Carriers*", IF(I202&lt;='Range Tables'!$G$43, 'Range Tables'!$B$43, 'Range Tables'!$B$44), 
  H202="Van*", IF(I202&lt;='Range Tables'!$G$50, 'Range Tables'!$B$50, 'Range Tables'!$B$49)
)</f>
        <v>Petrol</v>
      </c>
      <c r="K202" s="112">
        <v>0.7219461278176624</v>
      </c>
      <c r="L202" s="113">
        <f>if(J202="Petrol",ifs(K202&lt;='Range Tables'!$G$5,'Range Tables'!$B$5,K202&lt;='Range Tables'!$G$6,'Range Tables'!$B$6,K202&lt;='Range Tables'!$G$7,'Range Tables'!$B$7),ifs(K202&lt;='Range Tables'!$G$13,'Range Tables'!$B$13,K202&lt;='Range Tables'!$G$14,'Range Tables'!$B$14))</f>
        <v>3</v>
      </c>
      <c r="M202" s="112">
        <v>0.058445733936700495</v>
      </c>
      <c r="N202" s="113" t="str">
        <f>ifs(H202="Car",ifs(M202&lt;='Range Tables'!$G$125,'Range Tables'!$B$125,M202&lt;='Range Tables'!$G$126,'Range Tables'!$B$126,M202&lt;='Range Tables'!$G$127,'Range Tables'!$B$127,M202&lt;='Range Tables'!$G$128,'Range Tables'!$B$128,M202&lt;='Range Tables'!$G$129,'Range Tables'!$B$129,'Range Tables'!$G$131,'Range Tables'!$B$131),H202="Bike",ifs(M202&lt;='Range Tables'!$G$136,'Range Tables'!$B$136,M202&lt;='Range Tables'!$G$137,'Range Tables'!$B$137,M202&lt;='Range Tables'!$G$138,'Range Tables'!$B$138,M202&lt;='Range Tables'!$G$142,'Range Tables'!$B$142),H202="Scooter",ifs(M202&lt;='Range Tables'!$G$148,'Range Tables'!$B$148,M202&lt;='Range Tables'!$G$149,'Range Tables'!$B$149,M202&lt;='Range Tables'!$G$150,'Range Tables'!$B$150,M202&lt;='Range Tables'!$G$151,'Range Tables'!$B$151),H202="Auto",ifs(M202&lt;='Range Tables'!$G$161,'Range Tables'!$B$161,M202&lt;='Range Tables'!$G$162,'Range Tables'!$B$162,M202&lt;='Range Tables'!$G$163,'Range Tables'!$B$163,M202&lt;='Range Tables'!$G$164,'Range Tables'!$B$164),H202="Carriers*",ifs(M202&lt;='Range Tables'!$G$173,'Range Tables'!$B$173,M202&lt;='Range Tables'!$G$174,'Range Tables'!$B$174,M202&lt;='Range Tables'!$G$175,'Range Tables'!$B$175,M202&lt;='Range Tables'!$G$176,'Range Tables'!$B$176,M202&lt;='Range Tables'!$G$177,'Range Tables'!$B$177,M202&lt;='Range Tables'!$G$179,'Range Tables'!$B$179),H202="Van*",ifs(M202&lt;='Range Tables'!$G$186,'Range Tables'!$B$186))</f>
        <v>60 - 120</v>
      </c>
      <c r="O202" s="113">
        <f>IFERROR(__xludf.DUMMYFUNCTION("SPLIT(N202,""-"")"),60.0)</f>
        <v>60</v>
      </c>
      <c r="P202" s="113">
        <f>IFERROR(__xludf.DUMMYFUNCTION("""COMPUTED_VALUE"""),120.0)</f>
        <v>120</v>
      </c>
      <c r="Q202" s="114">
        <f t="shared" si="2"/>
        <v>63.50674404</v>
      </c>
      <c r="R202" s="115">
        <f t="shared" si="3"/>
        <v>0.1930505912</v>
      </c>
      <c r="S202" s="114">
        <f t="shared" si="39"/>
        <v>16679.57108</v>
      </c>
      <c r="T202" s="113" t="str">
        <f t="shared" si="4"/>
        <v>no</v>
      </c>
      <c r="U202" s="115">
        <f t="shared" si="5"/>
        <v>0</v>
      </c>
      <c r="V202" s="113">
        <f t="shared" si="34"/>
        <v>0</v>
      </c>
      <c r="W202" s="115">
        <f t="shared" si="6"/>
        <v>0</v>
      </c>
      <c r="X202" s="85">
        <f t="shared" si="7"/>
        <v>0</v>
      </c>
      <c r="Y202" s="116">
        <f t="shared" si="8"/>
        <v>0</v>
      </c>
      <c r="Z202" s="113">
        <f t="shared" si="9"/>
        <v>0</v>
      </c>
      <c r="AA202" s="113" t="str">
        <f t="shared" si="10"/>
        <v>no</v>
      </c>
      <c r="AB202" s="115">
        <f t="shared" si="11"/>
        <v>0</v>
      </c>
      <c r="AC202" s="113">
        <f t="shared" si="35"/>
        <v>0</v>
      </c>
      <c r="AD202" s="116">
        <f t="shared" si="12"/>
        <v>0</v>
      </c>
      <c r="AE202" s="113">
        <f t="shared" si="13"/>
        <v>0</v>
      </c>
      <c r="AF202" s="116">
        <f t="shared" si="14"/>
        <v>0</v>
      </c>
      <c r="AG202" s="113">
        <f t="shared" si="15"/>
        <v>0</v>
      </c>
      <c r="AH202" s="113" t="str">
        <f t="shared" si="16"/>
        <v>yes</v>
      </c>
      <c r="AI202" s="115">
        <f t="shared" si="17"/>
        <v>0.0009908504329</v>
      </c>
      <c r="AJ202" s="114">
        <f t="shared" si="36"/>
        <v>85.6094774</v>
      </c>
      <c r="AK202" s="116">
        <f t="shared" si="18"/>
        <v>0.1940414416</v>
      </c>
      <c r="AL202" s="114">
        <f t="shared" si="19"/>
        <v>16765.18056</v>
      </c>
      <c r="AM202" s="115">
        <f t="shared" si="20"/>
        <v>0.1947764734</v>
      </c>
      <c r="AN202" s="118">
        <f t="shared" si="21"/>
        <v>16828.6873</v>
      </c>
      <c r="AO202" s="113" t="str">
        <f t="shared" si="22"/>
        <v>no</v>
      </c>
      <c r="AP202" s="115">
        <f t="shared" si="23"/>
        <v>0</v>
      </c>
      <c r="AQ202" s="113">
        <f t="shared" si="37"/>
        <v>0</v>
      </c>
      <c r="AR202" s="116">
        <f t="shared" si="24"/>
        <v>0</v>
      </c>
      <c r="AS202" s="113">
        <f t="shared" si="25"/>
        <v>0</v>
      </c>
      <c r="AT202" s="116">
        <f t="shared" si="26"/>
        <v>0</v>
      </c>
      <c r="AU202" s="113">
        <f t="shared" si="27"/>
        <v>0</v>
      </c>
      <c r="AV202" s="113" t="str">
        <f t="shared" si="28"/>
        <v>no</v>
      </c>
      <c r="AW202" s="115">
        <f t="shared" si="29"/>
        <v>0</v>
      </c>
      <c r="AX202" s="85">
        <f t="shared" si="41"/>
        <v>0</v>
      </c>
      <c r="AY202" s="116">
        <f t="shared" si="30"/>
        <v>0</v>
      </c>
      <c r="AZ202" s="113">
        <f t="shared" si="31"/>
        <v>0</v>
      </c>
      <c r="BA202" s="116">
        <f t="shared" si="32"/>
        <v>0</v>
      </c>
      <c r="BB202" s="113">
        <f t="shared" si="33"/>
        <v>0</v>
      </c>
      <c r="BC202" s="112">
        <v>0.26451848544704915</v>
      </c>
      <c r="BD202" s="113" t="str">
        <f>ifs(BC202&lt;='Range Tables'!$G$81,'Range Tables'!$B$81,BC202&lt;='Range Tables'!$G$82,'Range Tables'!$B$82)</f>
        <v>Online*</v>
      </c>
      <c r="BE202" s="112">
        <v>0.38126937155128104</v>
      </c>
      <c r="BF202" s="112" t="str">
        <f>ifs(BE202&lt;='Range Tables'!$G$95,'Range Tables'!$B$95,BE202&lt;='Range Tables'!$G$96,'Range Tables'!$B$96,BE202&lt;='Range Tables'!$G$97,'Range Tables'!$B$97,BE202&lt;='Range Tables'!$G$98,'Range Tables'!$B$98,BE202&lt;='Range Tables'!$G$99,'Range Tables'!$B$99,BE202&lt;='Range Tables'!$G$100,'Range Tables'!$B$100,BE202&lt;='Range Tables'!$G$101,'Range Tables'!$B$101,BE202&lt;='Range Tables'!$G$102,'Range Tables'!$B$102,BE202&lt;='Range Tables'!$G$103,'Range Tables'!$B$103)</f>
        <v>Jammu</v>
      </c>
      <c r="BG202" s="112">
        <v>0.8050301981531305</v>
      </c>
      <c r="BH202" s="113" t="str">
        <f>ifs(BG202&lt;='Range Tables'!$G$112,'Range Tables'!$B$112,BG202&lt;='Range Tables'!$G$113,'Range Tables'!$B$113,BG202&lt;='Range Tables'!$G$114,'Range Tables'!$B$114)</f>
        <v>1-5</v>
      </c>
      <c r="BI202" s="117">
        <v>0.9418884578285924</v>
      </c>
      <c r="BJ202" s="113" t="str">
        <f>ifs(BI202&lt;='Range Tables'!$G$118,'Range Tables'!$B$118,BI202&lt;='Range Tables'!$G$119,'Range Tables'!$B$119)</f>
        <v>Expired</v>
      </c>
    </row>
    <row r="203">
      <c r="A203" s="85">
        <v>200.0</v>
      </c>
      <c r="B203" s="112">
        <v>0.8723879261873259</v>
      </c>
      <c r="C203" s="113" t="str">
        <f>ifs(B203&lt;='Range Tables'!$G$54,'Range Tables'!$B$54,B203&lt;='Range Tables'!$G$55,'Range Tables'!$B$55,B203&lt;='Range Tables'!$G$56,'Range Tables'!$B$56,B203&lt;='Range Tables'!$G$57,'Range Tables'!$B$57,B203&lt;='Range Tables'!$G$58,'Range Tables'!$B$58,B203&lt;='Range Tables'!$G$59,'Range Tables'!$B$59,B203&lt;='Range Tables'!$G$60,'Range Tables'!$B$60,B203&lt;='Range Tables'!$G$61,'Range Tables'!$B$61,B203&lt;='Range Tables'!$G$63,'Range Tables'!$B$63,B203&lt;='Range Tables'!$G$64,'Range Tables'!$B$64,B203&lt;='Range Tables'!$G$66,'Range Tables'!$B$66)</f>
        <v>180 - 210</v>
      </c>
      <c r="D203" s="113">
        <f>IFERROR(__xludf.DUMMYFUNCTION("SPLIT(C203,""-"")"),180.0)</f>
        <v>180</v>
      </c>
      <c r="E203" s="113">
        <f>IFERROR(__xludf.DUMMYFUNCTION("""COMPUTED_VALUE"""),210.0)</f>
        <v>210</v>
      </c>
      <c r="F203" s="114">
        <f t="shared" si="40"/>
        <v>206.1716378</v>
      </c>
      <c r="G203" s="112">
        <v>0.5435200367505145</v>
      </c>
      <c r="H203" s="113" t="str">
        <f>ifs(G203&lt;='Range Tables'!$G$86,'Range Tables'!$B$86,G203&lt;='Range Tables'!$G$87,'Range Tables'!$B$87,G203&lt;='Range Tables'!$G$88,'Range Tables'!$B$88,G203&lt;='Range Tables'!$G$89,'Range Tables'!$B$89,G203&lt;='Range Tables'!$G$90,'Range Tables'!$B$90,G203&lt;='Range Tables'!$G$91,'Range Tables'!$B$91)</f>
        <v>Bike</v>
      </c>
      <c r="I203" s="112">
        <v>0.7192548422347411</v>
      </c>
      <c r="J203" s="113" t="str">
        <f>IFS(
  H203="Car", IF(I203&lt;='Range Tables'!$G$19, 'Range Tables'!$B$19, 'Range Tables'!$B$20), 
  H203="Bike", IF(I203&lt;='Range Tables'!$G$25, 'Range Tables'!$B$25, 'Range Tables'!$B$26), 
  H203="Scooter", IF(I203&lt;='Range Tables'!$G$31, 'Range Tables'!$B$31, 'Range Tables'!$B$32), 
  H203="Auto", IF(I203&lt;='Range Tables'!$G$37, 'Range Tables'!$B$37, 'Range Tables'!$B$38), 
  H203="Carriers*", IF(I203&lt;='Range Tables'!$G$43, 'Range Tables'!$B$43, 'Range Tables'!$B$44), 
  H203="Van*", IF(I203&lt;='Range Tables'!$G$50, 'Range Tables'!$B$50, 'Range Tables'!$B$49)
)</f>
        <v>Petrol</v>
      </c>
      <c r="K203" s="112">
        <v>0.3359529417357733</v>
      </c>
      <c r="L203" s="113">
        <f>if(J203="Petrol",ifs(K203&lt;='Range Tables'!$G$5,'Range Tables'!$B$5,K203&lt;='Range Tables'!$G$6,'Range Tables'!$B$6,K203&lt;='Range Tables'!$G$7,'Range Tables'!$B$7),ifs(K203&lt;='Range Tables'!$G$13,'Range Tables'!$B$13,K203&lt;='Range Tables'!$G$14,'Range Tables'!$B$14))</f>
        <v>2</v>
      </c>
      <c r="M203" s="112">
        <v>0.7694515267954898</v>
      </c>
      <c r="N203" s="113" t="str">
        <f>ifs(H203="Car",ifs(M203&lt;='Range Tables'!$G$125,'Range Tables'!$B$125,M203&lt;='Range Tables'!$G$126,'Range Tables'!$B$126,M203&lt;='Range Tables'!$G$127,'Range Tables'!$B$127,M203&lt;='Range Tables'!$G$128,'Range Tables'!$B$128,M203&lt;='Range Tables'!$G$129,'Range Tables'!$B$129,'Range Tables'!$G$131,'Range Tables'!$B$131),H203="Bike",ifs(M203&lt;='Range Tables'!$G$136,'Range Tables'!$B$136,M203&lt;='Range Tables'!$G$137,'Range Tables'!$B$137,M203&lt;='Range Tables'!$G$138,'Range Tables'!$B$138,M203&lt;='Range Tables'!$G$142,'Range Tables'!$B$142),H203="Scooter",ifs(M203&lt;='Range Tables'!$G$148,'Range Tables'!$B$148,M203&lt;='Range Tables'!$G$149,'Range Tables'!$B$149,M203&lt;='Range Tables'!$G$150,'Range Tables'!$B$150,M203&lt;='Range Tables'!$G$151,'Range Tables'!$B$151),H203="Auto",ifs(M203&lt;='Range Tables'!$G$161,'Range Tables'!$B$161,M203&lt;='Range Tables'!$G$162,'Range Tables'!$B$162,M203&lt;='Range Tables'!$G$163,'Range Tables'!$B$163,M203&lt;='Range Tables'!$G$164,'Range Tables'!$B$164),H203="Carriers*",ifs(M203&lt;='Range Tables'!$G$173,'Range Tables'!$B$173,M203&lt;='Range Tables'!$G$174,'Range Tables'!$B$174,M203&lt;='Range Tables'!$G$175,'Range Tables'!$B$175,M203&lt;='Range Tables'!$G$176,'Range Tables'!$B$176,M203&lt;='Range Tables'!$G$177,'Range Tables'!$B$177,M203&lt;='Range Tables'!$G$179,'Range Tables'!$B$179),H203="Van*",ifs(M203&lt;='Range Tables'!$G$186,'Range Tables'!$B$186))</f>
        <v>120 - 180</v>
      </c>
      <c r="O203" s="113">
        <f>IFERROR(__xludf.DUMMYFUNCTION("SPLIT(N203,""-"")"),120.0)</f>
        <v>120</v>
      </c>
      <c r="P203" s="113">
        <f>IFERROR(__xludf.DUMMYFUNCTION("""COMPUTED_VALUE"""),180.0)</f>
        <v>180</v>
      </c>
      <c r="Q203" s="114">
        <f t="shared" si="2"/>
        <v>166.1670916</v>
      </c>
      <c r="R203" s="115">
        <f t="shared" si="3"/>
        <v>0.1957986049</v>
      </c>
      <c r="S203" s="114">
        <f t="shared" si="39"/>
        <v>16916.99946</v>
      </c>
      <c r="T203" s="113" t="str">
        <f t="shared" si="4"/>
        <v>no</v>
      </c>
      <c r="U203" s="115">
        <f t="shared" si="5"/>
        <v>0</v>
      </c>
      <c r="V203" s="113">
        <f t="shared" si="34"/>
        <v>0</v>
      </c>
      <c r="W203" s="115">
        <f t="shared" si="6"/>
        <v>0</v>
      </c>
      <c r="X203" s="85">
        <f t="shared" si="7"/>
        <v>0</v>
      </c>
      <c r="Y203" s="116">
        <f t="shared" si="8"/>
        <v>0</v>
      </c>
      <c r="Z203" s="113">
        <f t="shared" si="9"/>
        <v>0</v>
      </c>
      <c r="AA203" s="113" t="str">
        <f t="shared" si="10"/>
        <v>yes</v>
      </c>
      <c r="AB203" s="115">
        <f t="shared" si="11"/>
        <v>0</v>
      </c>
      <c r="AC203" s="113">
        <f t="shared" si="35"/>
        <v>0</v>
      </c>
      <c r="AD203" s="116">
        <f t="shared" si="12"/>
        <v>0.1957986049</v>
      </c>
      <c r="AE203" s="114">
        <f t="shared" si="13"/>
        <v>16916.99946</v>
      </c>
      <c r="AF203" s="116">
        <f t="shared" si="14"/>
        <v>0.1977218351</v>
      </c>
      <c r="AG203" s="114">
        <f t="shared" si="15"/>
        <v>17083.16656</v>
      </c>
      <c r="AH203" s="113" t="str">
        <f t="shared" si="16"/>
        <v>no</v>
      </c>
      <c r="AI203" s="115">
        <f t="shared" si="17"/>
        <v>0</v>
      </c>
      <c r="AJ203" s="113">
        <f t="shared" si="36"/>
        <v>0</v>
      </c>
      <c r="AK203" s="116">
        <f t="shared" si="18"/>
        <v>0</v>
      </c>
      <c r="AL203" s="113">
        <f t="shared" si="19"/>
        <v>0</v>
      </c>
      <c r="AM203" s="115">
        <f t="shared" si="20"/>
        <v>0</v>
      </c>
      <c r="AN203" s="85">
        <f t="shared" si="21"/>
        <v>0</v>
      </c>
      <c r="AO203" s="113" t="str">
        <f t="shared" si="22"/>
        <v>no</v>
      </c>
      <c r="AP203" s="115">
        <f t="shared" si="23"/>
        <v>0</v>
      </c>
      <c r="AQ203" s="113">
        <f t="shared" si="37"/>
        <v>0</v>
      </c>
      <c r="AR203" s="116">
        <f t="shared" si="24"/>
        <v>0</v>
      </c>
      <c r="AS203" s="113">
        <f t="shared" si="25"/>
        <v>0</v>
      </c>
      <c r="AT203" s="116">
        <f t="shared" si="26"/>
        <v>0</v>
      </c>
      <c r="AU203" s="113">
        <f t="shared" si="27"/>
        <v>0</v>
      </c>
      <c r="AV203" s="113" t="str">
        <f t="shared" si="28"/>
        <v>no</v>
      </c>
      <c r="AW203" s="115">
        <f t="shared" si="29"/>
        <v>0</v>
      </c>
      <c r="AX203" s="85">
        <f t="shared" si="41"/>
        <v>0</v>
      </c>
      <c r="AY203" s="116">
        <f t="shared" si="30"/>
        <v>0</v>
      </c>
      <c r="AZ203" s="113">
        <f t="shared" si="31"/>
        <v>0</v>
      </c>
      <c r="BA203" s="116">
        <f t="shared" si="32"/>
        <v>0</v>
      </c>
      <c r="BB203" s="113">
        <f t="shared" si="33"/>
        <v>0</v>
      </c>
      <c r="BC203" s="112">
        <v>0.4525705752346918</v>
      </c>
      <c r="BD203" s="113" t="str">
        <f>ifs(BC203&lt;='Range Tables'!$G$81,'Range Tables'!$B$81,BC203&lt;='Range Tables'!$G$82,'Range Tables'!$B$82)</f>
        <v>Offline*</v>
      </c>
      <c r="BE203" s="112">
        <v>0.39704398956978104</v>
      </c>
      <c r="BF203" s="112" t="str">
        <f>ifs(BE203&lt;='Range Tables'!$G$95,'Range Tables'!$B$95,BE203&lt;='Range Tables'!$G$96,'Range Tables'!$B$96,BE203&lt;='Range Tables'!$G$97,'Range Tables'!$B$97,BE203&lt;='Range Tables'!$G$98,'Range Tables'!$B$98,BE203&lt;='Range Tables'!$G$99,'Range Tables'!$B$99,BE203&lt;='Range Tables'!$G$100,'Range Tables'!$B$100,BE203&lt;='Range Tables'!$G$101,'Range Tables'!$B$101,BE203&lt;='Range Tables'!$G$102,'Range Tables'!$B$102,BE203&lt;='Range Tables'!$G$103,'Range Tables'!$B$103)</f>
        <v>Jammu</v>
      </c>
      <c r="BG203" s="112">
        <v>0.013736550233096945</v>
      </c>
      <c r="BH203" s="113" t="str">
        <f>ifs(BG203&lt;='Range Tables'!$G$112,'Range Tables'!$B$112,BG203&lt;='Range Tables'!$G$113,'Range Tables'!$B$113,BG203&lt;='Range Tables'!$G$114,'Range Tables'!$B$114)</f>
        <v>0</v>
      </c>
      <c r="BI203" s="117">
        <v>0.7577129125914055</v>
      </c>
      <c r="BJ203" s="113" t="str">
        <f>ifs(BI203&lt;='Range Tables'!$G$118,'Range Tables'!$B$118,BI203&lt;='Range Tables'!$G$119,'Range Tables'!$B$119)</f>
        <v>Expired</v>
      </c>
    </row>
    <row r="204">
      <c r="J204" s="113"/>
      <c r="Y204" s="113"/>
      <c r="Z204" s="113"/>
    </row>
    <row r="205">
      <c r="J205" s="113"/>
      <c r="Y205" s="113"/>
      <c r="Z205" s="113"/>
    </row>
    <row r="206">
      <c r="J206" s="113"/>
      <c r="Y206" s="113"/>
      <c r="Z206" s="113"/>
    </row>
    <row r="207">
      <c r="J207" s="113"/>
      <c r="Y207" s="113"/>
      <c r="Z207" s="113"/>
    </row>
    <row r="208">
      <c r="J208" s="113"/>
      <c r="Y208" s="113"/>
      <c r="Z208" s="113"/>
    </row>
    <row r="209">
      <c r="J209" s="113"/>
      <c r="Y209" s="113"/>
      <c r="Z209" s="113"/>
    </row>
    <row r="210">
      <c r="J210" s="113"/>
      <c r="Y210" s="113"/>
      <c r="Z210" s="113"/>
    </row>
    <row r="211">
      <c r="J211" s="113"/>
      <c r="Y211" s="113"/>
      <c r="Z211" s="113"/>
    </row>
    <row r="212">
      <c r="J212" s="113"/>
      <c r="Y212" s="113"/>
      <c r="Z212" s="113"/>
    </row>
    <row r="213">
      <c r="J213" s="113"/>
      <c r="Y213" s="113"/>
      <c r="Z213" s="113"/>
    </row>
    <row r="214">
      <c r="J214" s="113"/>
      <c r="Y214" s="113"/>
      <c r="Z214" s="113"/>
    </row>
    <row r="215">
      <c r="J215" s="113"/>
      <c r="Y215" s="113"/>
      <c r="Z215" s="113"/>
    </row>
    <row r="216">
      <c r="J216" s="113"/>
      <c r="Y216" s="113"/>
      <c r="Z216" s="113"/>
    </row>
    <row r="217">
      <c r="J217" s="113"/>
      <c r="Y217" s="113"/>
      <c r="Z217" s="113"/>
    </row>
    <row r="218">
      <c r="J218" s="113"/>
      <c r="Y218" s="113"/>
      <c r="Z218" s="113"/>
    </row>
    <row r="219">
      <c r="J219" s="113"/>
      <c r="Y219" s="113"/>
      <c r="Z219" s="113"/>
    </row>
    <row r="220">
      <c r="J220" s="113"/>
      <c r="Y220" s="113"/>
      <c r="Z220" s="113"/>
    </row>
    <row r="221">
      <c r="J221" s="113"/>
      <c r="Y221" s="113"/>
      <c r="Z221" s="113"/>
    </row>
    <row r="222">
      <c r="J222" s="113"/>
      <c r="Y222" s="113"/>
      <c r="Z222" s="113"/>
    </row>
    <row r="223">
      <c r="J223" s="113"/>
      <c r="Y223" s="113"/>
      <c r="Z223" s="113"/>
    </row>
    <row r="224">
      <c r="J224" s="113"/>
      <c r="Y224" s="113"/>
      <c r="Z224" s="113"/>
    </row>
    <row r="225">
      <c r="J225" s="113"/>
      <c r="Y225" s="113"/>
      <c r="Z225" s="113"/>
    </row>
    <row r="226">
      <c r="J226" s="113"/>
      <c r="Y226" s="113"/>
      <c r="Z226" s="113"/>
    </row>
    <row r="227">
      <c r="J227" s="113"/>
      <c r="Y227" s="113"/>
      <c r="Z227" s="113"/>
    </row>
    <row r="228">
      <c r="J228" s="113"/>
      <c r="Y228" s="113"/>
      <c r="Z228" s="113"/>
    </row>
    <row r="229">
      <c r="J229" s="113"/>
      <c r="Y229" s="113"/>
      <c r="Z229" s="113"/>
    </row>
    <row r="230">
      <c r="J230" s="113"/>
      <c r="Y230" s="113"/>
      <c r="Z230" s="113"/>
    </row>
    <row r="231">
      <c r="J231" s="113"/>
      <c r="Y231" s="113"/>
      <c r="Z231" s="113"/>
    </row>
    <row r="232">
      <c r="J232" s="113"/>
      <c r="Y232" s="113"/>
      <c r="Z232" s="113"/>
    </row>
    <row r="233">
      <c r="J233" s="113"/>
      <c r="Y233" s="113"/>
      <c r="Z233" s="113"/>
    </row>
    <row r="234">
      <c r="J234" s="113"/>
      <c r="Y234" s="113"/>
      <c r="Z234" s="113"/>
    </row>
    <row r="235">
      <c r="J235" s="113"/>
      <c r="Y235" s="113"/>
      <c r="Z235" s="113"/>
    </row>
    <row r="236">
      <c r="J236" s="113"/>
      <c r="Y236" s="113"/>
      <c r="Z236" s="113"/>
    </row>
    <row r="237">
      <c r="J237" s="113"/>
      <c r="Y237" s="113"/>
      <c r="Z237" s="113"/>
    </row>
    <row r="238">
      <c r="J238" s="113"/>
      <c r="Y238" s="113"/>
      <c r="Z238" s="113"/>
    </row>
    <row r="239">
      <c r="J239" s="113"/>
      <c r="Y239" s="113"/>
      <c r="Z239" s="113"/>
    </row>
    <row r="240">
      <c r="J240" s="113"/>
      <c r="Y240" s="113"/>
      <c r="Z240" s="113"/>
    </row>
    <row r="241">
      <c r="J241" s="113"/>
      <c r="Y241" s="113"/>
      <c r="Z241" s="113"/>
    </row>
    <row r="242">
      <c r="J242" s="113"/>
      <c r="Y242" s="113"/>
      <c r="Z242" s="113"/>
    </row>
    <row r="243">
      <c r="J243" s="113"/>
      <c r="Y243" s="113"/>
      <c r="Z243" s="113"/>
    </row>
    <row r="244">
      <c r="J244" s="113"/>
      <c r="Y244" s="113"/>
      <c r="Z244" s="113"/>
    </row>
    <row r="245">
      <c r="J245" s="113"/>
      <c r="Y245" s="113"/>
      <c r="Z245" s="113"/>
    </row>
    <row r="246">
      <c r="J246" s="113"/>
      <c r="Y246" s="113"/>
      <c r="Z246" s="113"/>
    </row>
    <row r="247">
      <c r="J247" s="113"/>
      <c r="Y247" s="113"/>
      <c r="Z247" s="113"/>
    </row>
    <row r="248">
      <c r="J248" s="113"/>
      <c r="Y248" s="113"/>
      <c r="Z248" s="113"/>
    </row>
    <row r="249">
      <c r="J249" s="113"/>
      <c r="Y249" s="113"/>
      <c r="Z249" s="113"/>
    </row>
    <row r="250">
      <c r="J250" s="113"/>
      <c r="Y250" s="113"/>
      <c r="Z250" s="113"/>
    </row>
    <row r="251">
      <c r="J251" s="113"/>
      <c r="Y251" s="113"/>
      <c r="Z251" s="113"/>
    </row>
    <row r="252">
      <c r="J252" s="113"/>
      <c r="Y252" s="113"/>
      <c r="Z252" s="113"/>
    </row>
    <row r="253">
      <c r="J253" s="113"/>
      <c r="Y253" s="113"/>
      <c r="Z253" s="113"/>
    </row>
    <row r="254">
      <c r="J254" s="113"/>
      <c r="Y254" s="113"/>
      <c r="Z254" s="113"/>
    </row>
    <row r="255">
      <c r="J255" s="113"/>
      <c r="Y255" s="113"/>
      <c r="Z255" s="113"/>
    </row>
    <row r="256">
      <c r="J256" s="113"/>
      <c r="Y256" s="113"/>
      <c r="Z256" s="113"/>
    </row>
    <row r="257">
      <c r="J257" s="113"/>
      <c r="Y257" s="113"/>
      <c r="Z257" s="113"/>
    </row>
    <row r="258">
      <c r="J258" s="113"/>
      <c r="Y258" s="113"/>
      <c r="Z258" s="113"/>
    </row>
    <row r="259">
      <c r="J259" s="113"/>
      <c r="Y259" s="113"/>
      <c r="Z259" s="113"/>
    </row>
    <row r="260">
      <c r="J260" s="113"/>
      <c r="Y260" s="113"/>
      <c r="Z260" s="113"/>
    </row>
    <row r="261">
      <c r="J261" s="113"/>
      <c r="Y261" s="113"/>
      <c r="Z261" s="113"/>
    </row>
    <row r="262">
      <c r="J262" s="113"/>
      <c r="Y262" s="113"/>
      <c r="Z262" s="113"/>
    </row>
    <row r="263">
      <c r="J263" s="113"/>
      <c r="Y263" s="113"/>
      <c r="Z263" s="113"/>
    </row>
    <row r="264">
      <c r="J264" s="113"/>
      <c r="Y264" s="113"/>
      <c r="Z264" s="113"/>
    </row>
    <row r="265">
      <c r="J265" s="113"/>
      <c r="Y265" s="113"/>
      <c r="Z265" s="113"/>
    </row>
    <row r="266">
      <c r="J266" s="113"/>
      <c r="Y266" s="113"/>
      <c r="Z266" s="113"/>
    </row>
    <row r="267">
      <c r="J267" s="113"/>
      <c r="Y267" s="113"/>
      <c r="Z267" s="113"/>
    </row>
    <row r="268">
      <c r="J268" s="113"/>
      <c r="Y268" s="113"/>
      <c r="Z268" s="113"/>
    </row>
    <row r="269">
      <c r="J269" s="113"/>
      <c r="Y269" s="113"/>
      <c r="Z269" s="113"/>
    </row>
    <row r="270">
      <c r="J270" s="113"/>
      <c r="Y270" s="113"/>
      <c r="Z270" s="113"/>
    </row>
    <row r="271">
      <c r="J271" s="113"/>
      <c r="Y271" s="113"/>
      <c r="Z271" s="113"/>
    </row>
    <row r="272">
      <c r="J272" s="113"/>
      <c r="Y272" s="113"/>
      <c r="Z272" s="113"/>
    </row>
    <row r="273">
      <c r="J273" s="113"/>
      <c r="Y273" s="113"/>
      <c r="Z273" s="113"/>
    </row>
    <row r="274">
      <c r="J274" s="113"/>
      <c r="Y274" s="113"/>
      <c r="Z274" s="113"/>
    </row>
    <row r="275">
      <c r="J275" s="113"/>
      <c r="Y275" s="113"/>
      <c r="Z275" s="113"/>
    </row>
    <row r="276">
      <c r="J276" s="113"/>
      <c r="Y276" s="113"/>
      <c r="Z276" s="113"/>
    </row>
    <row r="277">
      <c r="J277" s="113"/>
      <c r="Y277" s="113"/>
      <c r="Z277" s="113"/>
    </row>
    <row r="278">
      <c r="J278" s="113"/>
      <c r="Y278" s="113"/>
      <c r="Z278" s="113"/>
    </row>
    <row r="279">
      <c r="J279" s="113"/>
      <c r="Y279" s="113"/>
      <c r="Z279" s="113"/>
    </row>
    <row r="280">
      <c r="J280" s="113"/>
      <c r="Y280" s="113"/>
      <c r="Z280" s="113"/>
    </row>
    <row r="281">
      <c r="J281" s="113"/>
      <c r="Y281" s="113"/>
      <c r="Z281" s="113"/>
    </row>
    <row r="282">
      <c r="J282" s="113"/>
      <c r="Y282" s="113"/>
      <c r="Z282" s="113"/>
    </row>
    <row r="283">
      <c r="J283" s="113"/>
      <c r="Y283" s="113"/>
      <c r="Z283" s="113"/>
    </row>
    <row r="284">
      <c r="J284" s="113"/>
      <c r="Y284" s="113"/>
      <c r="Z284" s="113"/>
    </row>
    <row r="285">
      <c r="J285" s="113"/>
      <c r="Y285" s="113"/>
      <c r="Z285" s="113"/>
    </row>
    <row r="286">
      <c r="J286" s="113"/>
      <c r="Y286" s="113"/>
      <c r="Z286" s="113"/>
    </row>
    <row r="287">
      <c r="J287" s="113"/>
      <c r="Y287" s="113"/>
      <c r="Z287" s="113"/>
    </row>
    <row r="288">
      <c r="J288" s="113"/>
      <c r="Y288" s="113"/>
      <c r="Z288" s="113"/>
    </row>
    <row r="289">
      <c r="J289" s="113"/>
      <c r="Y289" s="113"/>
      <c r="Z289" s="113"/>
    </row>
    <row r="290">
      <c r="J290" s="113"/>
      <c r="Y290" s="113"/>
      <c r="Z290" s="113"/>
    </row>
    <row r="291">
      <c r="J291" s="113"/>
      <c r="Y291" s="113"/>
      <c r="Z291" s="113"/>
    </row>
    <row r="292">
      <c r="J292" s="113"/>
      <c r="Y292" s="113"/>
      <c r="Z292" s="113"/>
    </row>
    <row r="293">
      <c r="J293" s="113"/>
      <c r="Y293" s="113"/>
      <c r="Z293" s="113"/>
    </row>
    <row r="294">
      <c r="J294" s="113"/>
      <c r="Y294" s="113"/>
      <c r="Z294" s="113"/>
    </row>
    <row r="295">
      <c r="J295" s="113"/>
      <c r="Y295" s="113"/>
      <c r="Z295" s="113"/>
    </row>
    <row r="296">
      <c r="J296" s="113"/>
      <c r="Y296" s="113"/>
      <c r="Z296" s="113"/>
    </row>
    <row r="297">
      <c r="J297" s="113"/>
      <c r="Y297" s="113"/>
      <c r="Z297" s="113"/>
    </row>
    <row r="298">
      <c r="J298" s="113"/>
      <c r="Y298" s="113"/>
      <c r="Z298" s="113"/>
    </row>
    <row r="299">
      <c r="J299" s="113"/>
      <c r="Y299" s="113"/>
      <c r="Z299" s="113"/>
    </row>
    <row r="300">
      <c r="J300" s="113"/>
      <c r="Y300" s="113"/>
      <c r="Z300" s="113"/>
    </row>
    <row r="301">
      <c r="J301" s="113"/>
      <c r="Y301" s="113"/>
      <c r="Z301" s="113"/>
    </row>
    <row r="302">
      <c r="J302" s="113"/>
      <c r="Y302" s="113"/>
      <c r="Z302" s="113"/>
    </row>
    <row r="303">
      <c r="J303" s="113"/>
      <c r="Y303" s="113"/>
      <c r="Z303" s="113"/>
    </row>
    <row r="304">
      <c r="J304" s="113"/>
      <c r="Y304" s="113"/>
      <c r="Z304" s="113"/>
    </row>
    <row r="305">
      <c r="J305" s="113"/>
      <c r="Y305" s="113"/>
      <c r="Z305" s="113"/>
    </row>
    <row r="306">
      <c r="J306" s="113"/>
      <c r="Y306" s="113"/>
      <c r="Z306" s="113"/>
    </row>
    <row r="307">
      <c r="J307" s="113"/>
      <c r="Y307" s="113"/>
      <c r="Z307" s="113"/>
    </row>
    <row r="308">
      <c r="J308" s="113"/>
      <c r="Y308" s="113"/>
      <c r="Z308" s="113"/>
    </row>
    <row r="309">
      <c r="J309" s="113"/>
      <c r="Y309" s="113"/>
      <c r="Z309" s="113"/>
    </row>
    <row r="310">
      <c r="J310" s="113"/>
      <c r="Y310" s="113"/>
      <c r="Z310" s="113"/>
    </row>
    <row r="311">
      <c r="J311" s="113"/>
      <c r="Y311" s="113"/>
      <c r="Z311" s="113"/>
    </row>
    <row r="312">
      <c r="J312" s="113"/>
      <c r="Y312" s="113"/>
      <c r="Z312" s="113"/>
    </row>
    <row r="313">
      <c r="J313" s="113"/>
      <c r="Y313" s="113"/>
      <c r="Z313" s="113"/>
    </row>
    <row r="314">
      <c r="J314" s="113"/>
      <c r="Y314" s="113"/>
      <c r="Z314" s="113"/>
    </row>
    <row r="315">
      <c r="J315" s="113"/>
      <c r="Y315" s="113"/>
      <c r="Z315" s="113"/>
    </row>
    <row r="316">
      <c r="J316" s="113"/>
      <c r="Y316" s="113"/>
      <c r="Z316" s="113"/>
    </row>
    <row r="317">
      <c r="J317" s="113"/>
      <c r="Y317" s="113"/>
      <c r="Z317" s="113"/>
    </row>
    <row r="318">
      <c r="J318" s="113"/>
      <c r="Y318" s="113"/>
      <c r="Z318" s="113"/>
    </row>
    <row r="319">
      <c r="J319" s="113"/>
      <c r="Y319" s="113"/>
      <c r="Z319" s="113"/>
    </row>
    <row r="320">
      <c r="J320" s="113"/>
      <c r="Y320" s="113"/>
      <c r="Z320" s="113"/>
    </row>
    <row r="321">
      <c r="J321" s="113"/>
      <c r="Y321" s="113"/>
      <c r="Z321" s="113"/>
    </row>
    <row r="322">
      <c r="J322" s="113"/>
      <c r="Y322" s="113"/>
      <c r="Z322" s="113"/>
    </row>
    <row r="323">
      <c r="J323" s="113"/>
      <c r="Y323" s="113"/>
      <c r="Z323" s="113"/>
    </row>
    <row r="324">
      <c r="J324" s="113"/>
      <c r="Y324" s="113"/>
      <c r="Z324" s="113"/>
    </row>
    <row r="325">
      <c r="J325" s="113"/>
      <c r="Y325" s="113"/>
      <c r="Z325" s="113"/>
    </row>
    <row r="326">
      <c r="J326" s="113"/>
      <c r="Y326" s="113"/>
      <c r="Z326" s="113"/>
    </row>
    <row r="327">
      <c r="J327" s="113"/>
      <c r="Y327" s="113"/>
      <c r="Z327" s="113"/>
    </row>
    <row r="328">
      <c r="J328" s="113"/>
      <c r="Y328" s="113"/>
      <c r="Z328" s="113"/>
    </row>
    <row r="329">
      <c r="J329" s="113"/>
      <c r="Y329" s="113"/>
      <c r="Z329" s="113"/>
    </row>
    <row r="330">
      <c r="J330" s="113"/>
      <c r="Y330" s="113"/>
      <c r="Z330" s="113"/>
    </row>
    <row r="331">
      <c r="J331" s="113"/>
      <c r="Y331" s="113"/>
      <c r="Z331" s="113"/>
    </row>
    <row r="332">
      <c r="J332" s="113"/>
      <c r="Y332" s="113"/>
      <c r="Z332" s="113"/>
    </row>
    <row r="333">
      <c r="J333" s="113"/>
      <c r="Y333" s="113"/>
      <c r="Z333" s="113"/>
    </row>
    <row r="334">
      <c r="J334" s="113"/>
      <c r="Y334" s="113"/>
      <c r="Z334" s="113"/>
    </row>
    <row r="335">
      <c r="J335" s="113"/>
      <c r="Y335" s="113"/>
      <c r="Z335" s="113"/>
    </row>
    <row r="336">
      <c r="J336" s="113"/>
      <c r="Y336" s="113"/>
      <c r="Z336" s="113"/>
    </row>
    <row r="337">
      <c r="J337" s="113"/>
      <c r="Y337" s="113"/>
      <c r="Z337" s="113"/>
    </row>
    <row r="338">
      <c r="J338" s="113"/>
      <c r="Y338" s="113"/>
      <c r="Z338" s="113"/>
    </row>
    <row r="339">
      <c r="J339" s="113"/>
      <c r="Y339" s="113"/>
      <c r="Z339" s="113"/>
    </row>
    <row r="340">
      <c r="J340" s="113"/>
      <c r="Y340" s="113"/>
      <c r="Z340" s="113"/>
    </row>
    <row r="341">
      <c r="J341" s="113"/>
      <c r="Y341" s="113"/>
      <c r="Z341" s="113"/>
    </row>
    <row r="342">
      <c r="J342" s="113"/>
      <c r="Y342" s="113"/>
      <c r="Z342" s="113"/>
    </row>
    <row r="343">
      <c r="J343" s="113"/>
      <c r="Y343" s="113"/>
      <c r="Z343" s="113"/>
    </row>
    <row r="344">
      <c r="J344" s="113"/>
      <c r="Y344" s="113"/>
      <c r="Z344" s="113"/>
    </row>
    <row r="345">
      <c r="J345" s="113"/>
      <c r="Y345" s="113"/>
      <c r="Z345" s="113"/>
    </row>
    <row r="346">
      <c r="J346" s="113"/>
      <c r="Y346" s="113"/>
      <c r="Z346" s="113"/>
    </row>
    <row r="347">
      <c r="J347" s="113"/>
      <c r="Y347" s="113"/>
      <c r="Z347" s="113"/>
    </row>
    <row r="348">
      <c r="J348" s="113"/>
      <c r="Y348" s="113"/>
      <c r="Z348" s="113"/>
    </row>
    <row r="349">
      <c r="J349" s="113"/>
      <c r="Y349" s="113"/>
      <c r="Z349" s="113"/>
    </row>
    <row r="350">
      <c r="J350" s="113"/>
      <c r="Y350" s="113"/>
      <c r="Z350" s="113"/>
    </row>
    <row r="351">
      <c r="J351" s="113"/>
      <c r="Y351" s="113"/>
      <c r="Z351" s="113"/>
    </row>
    <row r="352">
      <c r="J352" s="113"/>
      <c r="Y352" s="113"/>
      <c r="Z352" s="113"/>
    </row>
    <row r="353">
      <c r="J353" s="113"/>
      <c r="Y353" s="113"/>
      <c r="Z353" s="113"/>
    </row>
    <row r="354">
      <c r="J354" s="113"/>
      <c r="Y354" s="113"/>
      <c r="Z354" s="113"/>
    </row>
    <row r="355">
      <c r="J355" s="113"/>
      <c r="Y355" s="113"/>
      <c r="Z355" s="113"/>
    </row>
    <row r="356">
      <c r="J356" s="113"/>
      <c r="Y356" s="113"/>
      <c r="Z356" s="113"/>
    </row>
    <row r="357">
      <c r="J357" s="113"/>
      <c r="Y357" s="113"/>
      <c r="Z357" s="113"/>
    </row>
    <row r="358">
      <c r="J358" s="113"/>
      <c r="Y358" s="113"/>
      <c r="Z358" s="113"/>
    </row>
    <row r="359">
      <c r="J359" s="113"/>
      <c r="Y359" s="113"/>
      <c r="Z359" s="113"/>
    </row>
    <row r="360">
      <c r="J360" s="113"/>
      <c r="Y360" s="113"/>
      <c r="Z360" s="113"/>
    </row>
    <row r="361">
      <c r="J361" s="113"/>
      <c r="Y361" s="113"/>
      <c r="Z361" s="113"/>
    </row>
    <row r="362">
      <c r="J362" s="113"/>
      <c r="Y362" s="113"/>
      <c r="Z362" s="113"/>
    </row>
    <row r="363">
      <c r="J363" s="113"/>
      <c r="Y363" s="113"/>
      <c r="Z363" s="113"/>
    </row>
    <row r="364">
      <c r="J364" s="113"/>
      <c r="Y364" s="113"/>
      <c r="Z364" s="113"/>
    </row>
    <row r="365">
      <c r="J365" s="113"/>
      <c r="Y365" s="113"/>
      <c r="Z365" s="113"/>
    </row>
    <row r="366">
      <c r="J366" s="113"/>
      <c r="Y366" s="113"/>
      <c r="Z366" s="113"/>
    </row>
    <row r="367">
      <c r="J367" s="113"/>
      <c r="Y367" s="113"/>
      <c r="Z367" s="113"/>
    </row>
    <row r="368">
      <c r="J368" s="113"/>
      <c r="Y368" s="113"/>
      <c r="Z368" s="113"/>
    </row>
    <row r="369">
      <c r="J369" s="113"/>
      <c r="Y369" s="113"/>
      <c r="Z369" s="113"/>
    </row>
    <row r="370">
      <c r="J370" s="113"/>
      <c r="Y370" s="113"/>
      <c r="Z370" s="113"/>
    </row>
    <row r="371">
      <c r="J371" s="113"/>
      <c r="Y371" s="113"/>
      <c r="Z371" s="113"/>
    </row>
    <row r="372">
      <c r="J372" s="113"/>
      <c r="Y372" s="113"/>
      <c r="Z372" s="113"/>
    </row>
    <row r="373">
      <c r="J373" s="113"/>
      <c r="Y373" s="113"/>
      <c r="Z373" s="113"/>
    </row>
    <row r="374">
      <c r="J374" s="113"/>
      <c r="Y374" s="113"/>
      <c r="Z374" s="113"/>
    </row>
    <row r="375">
      <c r="J375" s="113"/>
      <c r="Y375" s="113"/>
      <c r="Z375" s="113"/>
    </row>
    <row r="376">
      <c r="J376" s="113"/>
      <c r="Y376" s="113"/>
      <c r="Z376" s="113"/>
    </row>
    <row r="377">
      <c r="J377" s="113"/>
      <c r="Y377" s="113"/>
      <c r="Z377" s="113"/>
    </row>
    <row r="378">
      <c r="J378" s="113"/>
      <c r="Y378" s="113"/>
      <c r="Z378" s="113"/>
    </row>
    <row r="379">
      <c r="J379" s="113"/>
      <c r="Y379" s="113"/>
      <c r="Z379" s="113"/>
    </row>
    <row r="380">
      <c r="J380" s="113"/>
      <c r="Y380" s="113"/>
      <c r="Z380" s="113"/>
    </row>
    <row r="381">
      <c r="J381" s="113"/>
      <c r="Y381" s="113"/>
      <c r="Z381" s="113"/>
    </row>
    <row r="382">
      <c r="J382" s="113"/>
      <c r="Y382" s="113"/>
      <c r="Z382" s="113"/>
    </row>
    <row r="383">
      <c r="J383" s="113"/>
      <c r="Y383" s="113"/>
      <c r="Z383" s="113"/>
    </row>
    <row r="384">
      <c r="J384" s="113"/>
      <c r="Y384" s="113"/>
      <c r="Z384" s="113"/>
    </row>
    <row r="385">
      <c r="J385" s="113"/>
      <c r="Y385" s="113"/>
      <c r="Z385" s="113"/>
    </row>
    <row r="386">
      <c r="J386" s="113"/>
      <c r="Y386" s="113"/>
      <c r="Z386" s="113"/>
    </row>
    <row r="387">
      <c r="J387" s="113"/>
      <c r="Y387" s="113"/>
      <c r="Z387" s="113"/>
    </row>
    <row r="388">
      <c r="J388" s="113"/>
      <c r="Y388" s="113"/>
      <c r="Z388" s="113"/>
    </row>
    <row r="389">
      <c r="J389" s="113"/>
      <c r="Y389" s="113"/>
      <c r="Z389" s="113"/>
    </row>
    <row r="390">
      <c r="J390" s="113"/>
      <c r="Y390" s="113"/>
      <c r="Z390" s="113"/>
    </row>
    <row r="391">
      <c r="J391" s="113"/>
      <c r="Y391" s="113"/>
      <c r="Z391" s="113"/>
    </row>
    <row r="392">
      <c r="J392" s="113"/>
      <c r="Y392" s="113"/>
      <c r="Z392" s="113"/>
    </row>
    <row r="393">
      <c r="J393" s="113"/>
      <c r="Y393" s="113"/>
      <c r="Z393" s="113"/>
    </row>
    <row r="394">
      <c r="J394" s="113"/>
      <c r="Y394" s="113"/>
      <c r="Z394" s="113"/>
    </row>
    <row r="395">
      <c r="J395" s="113"/>
      <c r="Y395" s="113"/>
      <c r="Z395" s="113"/>
    </row>
    <row r="396">
      <c r="J396" s="113"/>
      <c r="Y396" s="113"/>
      <c r="Z396" s="113"/>
    </row>
    <row r="397">
      <c r="J397" s="113"/>
      <c r="Y397" s="113"/>
      <c r="Z397" s="113"/>
    </row>
    <row r="398">
      <c r="J398" s="113"/>
      <c r="Y398" s="113"/>
      <c r="Z398" s="113"/>
    </row>
    <row r="399">
      <c r="J399" s="113"/>
      <c r="Y399" s="113"/>
      <c r="Z399" s="113"/>
    </row>
    <row r="400">
      <c r="J400" s="113"/>
      <c r="Y400" s="113"/>
      <c r="Z400" s="113"/>
    </row>
    <row r="401">
      <c r="J401" s="113"/>
      <c r="Y401" s="113"/>
      <c r="Z401" s="113"/>
    </row>
    <row r="402">
      <c r="J402" s="113"/>
      <c r="Y402" s="113"/>
      <c r="Z402" s="113"/>
    </row>
    <row r="403">
      <c r="J403" s="113"/>
      <c r="Y403" s="113"/>
      <c r="Z403" s="113"/>
    </row>
    <row r="404">
      <c r="J404" s="113"/>
      <c r="Y404" s="113"/>
      <c r="Z404" s="113"/>
    </row>
    <row r="405">
      <c r="J405" s="113"/>
      <c r="Y405" s="113"/>
      <c r="Z405" s="113"/>
    </row>
    <row r="406">
      <c r="J406" s="113"/>
      <c r="Y406" s="113"/>
      <c r="Z406" s="113"/>
    </row>
    <row r="407">
      <c r="J407" s="113"/>
      <c r="Y407" s="113"/>
      <c r="Z407" s="113"/>
    </row>
    <row r="408">
      <c r="J408" s="113"/>
      <c r="Y408" s="113"/>
      <c r="Z408" s="113"/>
    </row>
    <row r="409">
      <c r="J409" s="113"/>
      <c r="Y409" s="113"/>
      <c r="Z409" s="113"/>
    </row>
    <row r="410">
      <c r="J410" s="113"/>
      <c r="Y410" s="113"/>
      <c r="Z410" s="113"/>
    </row>
    <row r="411">
      <c r="J411" s="113"/>
      <c r="Y411" s="113"/>
      <c r="Z411" s="113"/>
    </row>
    <row r="412">
      <c r="J412" s="113"/>
      <c r="Y412" s="113"/>
      <c r="Z412" s="113"/>
    </row>
    <row r="413">
      <c r="J413" s="113"/>
      <c r="Y413" s="113"/>
      <c r="Z413" s="113"/>
    </row>
    <row r="414">
      <c r="J414" s="113"/>
      <c r="Y414" s="113"/>
      <c r="Z414" s="113"/>
    </row>
    <row r="415">
      <c r="J415" s="113"/>
      <c r="Y415" s="113"/>
      <c r="Z415" s="113"/>
    </row>
    <row r="416">
      <c r="J416" s="113"/>
      <c r="Y416" s="113"/>
      <c r="Z416" s="113"/>
    </row>
    <row r="417">
      <c r="J417" s="113"/>
      <c r="Y417" s="113"/>
      <c r="Z417" s="113"/>
    </row>
    <row r="418">
      <c r="J418" s="113"/>
      <c r="Y418" s="113"/>
      <c r="Z418" s="113"/>
    </row>
    <row r="419">
      <c r="J419" s="113"/>
      <c r="Y419" s="113"/>
      <c r="Z419" s="113"/>
    </row>
    <row r="420">
      <c r="J420" s="113"/>
      <c r="Y420" s="113"/>
      <c r="Z420" s="113"/>
    </row>
    <row r="421">
      <c r="J421" s="113"/>
      <c r="Y421" s="113"/>
      <c r="Z421" s="113"/>
    </row>
    <row r="422">
      <c r="J422" s="113"/>
      <c r="Y422" s="113"/>
      <c r="Z422" s="113"/>
    </row>
    <row r="423">
      <c r="J423" s="113"/>
      <c r="Y423" s="113"/>
      <c r="Z423" s="113"/>
    </row>
    <row r="424">
      <c r="J424" s="113"/>
      <c r="Y424" s="113"/>
      <c r="Z424" s="113"/>
    </row>
    <row r="425">
      <c r="J425" s="113"/>
      <c r="Y425" s="113"/>
      <c r="Z425" s="113"/>
    </row>
    <row r="426">
      <c r="J426" s="113"/>
      <c r="Y426" s="113"/>
      <c r="Z426" s="113"/>
    </row>
    <row r="427">
      <c r="J427" s="113"/>
      <c r="Y427" s="113"/>
      <c r="Z427" s="113"/>
    </row>
    <row r="428">
      <c r="J428" s="113"/>
      <c r="Y428" s="113"/>
      <c r="Z428" s="113"/>
    </row>
    <row r="429">
      <c r="J429" s="113"/>
      <c r="Y429" s="113"/>
      <c r="Z429" s="113"/>
    </row>
    <row r="430">
      <c r="J430" s="113"/>
      <c r="Y430" s="113"/>
      <c r="Z430" s="113"/>
    </row>
    <row r="431">
      <c r="J431" s="113"/>
      <c r="Y431" s="113"/>
      <c r="Z431" s="113"/>
    </row>
    <row r="432">
      <c r="J432" s="113"/>
      <c r="Y432" s="113"/>
      <c r="Z432" s="113"/>
    </row>
    <row r="433">
      <c r="J433" s="113"/>
      <c r="Y433" s="113"/>
      <c r="Z433" s="113"/>
    </row>
    <row r="434">
      <c r="J434" s="113"/>
      <c r="Y434" s="113"/>
      <c r="Z434" s="113"/>
    </row>
    <row r="435">
      <c r="J435" s="113"/>
      <c r="Y435" s="113"/>
      <c r="Z435" s="113"/>
    </row>
    <row r="436">
      <c r="J436" s="113"/>
      <c r="Y436" s="113"/>
      <c r="Z436" s="113"/>
    </row>
    <row r="437">
      <c r="J437" s="113"/>
      <c r="Y437" s="113"/>
      <c r="Z437" s="113"/>
    </row>
    <row r="438">
      <c r="J438" s="113"/>
      <c r="Y438" s="113"/>
      <c r="Z438" s="113"/>
    </row>
    <row r="439">
      <c r="J439" s="113"/>
      <c r="Y439" s="113"/>
      <c r="Z439" s="113"/>
    </row>
    <row r="440">
      <c r="J440" s="113"/>
      <c r="Y440" s="113"/>
      <c r="Z440" s="113"/>
    </row>
    <row r="441">
      <c r="J441" s="113"/>
      <c r="Y441" s="113"/>
      <c r="Z441" s="113"/>
    </row>
    <row r="442">
      <c r="J442" s="113"/>
      <c r="Y442" s="113"/>
      <c r="Z442" s="113"/>
    </row>
    <row r="443">
      <c r="J443" s="113"/>
      <c r="Y443" s="113"/>
      <c r="Z443" s="113"/>
    </row>
    <row r="444">
      <c r="J444" s="113"/>
      <c r="Y444" s="113"/>
      <c r="Z444" s="113"/>
    </row>
    <row r="445">
      <c r="J445" s="113"/>
      <c r="Y445" s="113"/>
      <c r="Z445" s="113"/>
    </row>
    <row r="446">
      <c r="J446" s="113"/>
      <c r="Y446" s="113"/>
      <c r="Z446" s="113"/>
    </row>
    <row r="447">
      <c r="J447" s="113"/>
      <c r="Y447" s="113"/>
      <c r="Z447" s="113"/>
    </row>
    <row r="448">
      <c r="J448" s="113"/>
      <c r="Y448" s="113"/>
      <c r="Z448" s="113"/>
    </row>
    <row r="449">
      <c r="J449" s="113"/>
      <c r="Y449" s="113"/>
      <c r="Z449" s="113"/>
    </row>
    <row r="450">
      <c r="J450" s="113"/>
      <c r="Y450" s="113"/>
      <c r="Z450" s="113"/>
    </row>
    <row r="451">
      <c r="J451" s="113"/>
      <c r="Y451" s="113"/>
      <c r="Z451" s="113"/>
    </row>
    <row r="452">
      <c r="J452" s="113"/>
      <c r="Y452" s="113"/>
      <c r="Z452" s="113"/>
    </row>
    <row r="453">
      <c r="J453" s="113"/>
      <c r="Y453" s="113"/>
      <c r="Z453" s="113"/>
    </row>
    <row r="454">
      <c r="J454" s="113"/>
      <c r="Y454" s="113"/>
      <c r="Z454" s="113"/>
    </row>
    <row r="455">
      <c r="J455" s="113"/>
      <c r="Y455" s="113"/>
      <c r="Z455" s="113"/>
    </row>
    <row r="456">
      <c r="J456" s="113"/>
      <c r="Y456" s="113"/>
      <c r="Z456" s="113"/>
    </row>
    <row r="457">
      <c r="J457" s="113"/>
      <c r="Y457" s="113"/>
      <c r="Z457" s="113"/>
    </row>
    <row r="458">
      <c r="J458" s="113"/>
      <c r="Y458" s="113"/>
      <c r="Z458" s="113"/>
    </row>
    <row r="459">
      <c r="J459" s="113"/>
      <c r="Y459" s="113"/>
      <c r="Z459" s="113"/>
    </row>
    <row r="460">
      <c r="J460" s="113"/>
      <c r="Y460" s="113"/>
      <c r="Z460" s="113"/>
    </row>
    <row r="461">
      <c r="J461" s="113"/>
      <c r="Y461" s="113"/>
      <c r="Z461" s="113"/>
    </row>
    <row r="462">
      <c r="J462" s="113"/>
      <c r="Y462" s="113"/>
      <c r="Z462" s="113"/>
    </row>
    <row r="463">
      <c r="J463" s="113"/>
      <c r="Y463" s="113"/>
      <c r="Z463" s="113"/>
    </row>
    <row r="464">
      <c r="J464" s="113"/>
      <c r="Y464" s="113"/>
      <c r="Z464" s="113"/>
    </row>
    <row r="465">
      <c r="J465" s="113"/>
      <c r="Y465" s="113"/>
      <c r="Z465" s="113"/>
    </row>
    <row r="466">
      <c r="J466" s="113"/>
      <c r="Y466" s="113"/>
      <c r="Z466" s="113"/>
    </row>
    <row r="467">
      <c r="J467" s="113"/>
      <c r="Y467" s="113"/>
      <c r="Z467" s="113"/>
    </row>
    <row r="468">
      <c r="J468" s="113"/>
      <c r="Y468" s="113"/>
      <c r="Z468" s="113"/>
    </row>
    <row r="469">
      <c r="J469" s="113"/>
      <c r="Y469" s="113"/>
      <c r="Z469" s="113"/>
    </row>
    <row r="470">
      <c r="J470" s="113"/>
      <c r="Y470" s="113"/>
      <c r="Z470" s="113"/>
    </row>
    <row r="471">
      <c r="J471" s="113"/>
      <c r="Y471" s="113"/>
      <c r="Z471" s="113"/>
    </row>
    <row r="472">
      <c r="J472" s="113"/>
      <c r="Y472" s="113"/>
      <c r="Z472" s="113"/>
    </row>
    <row r="473">
      <c r="J473" s="113"/>
      <c r="Y473" s="113"/>
      <c r="Z473" s="113"/>
    </row>
    <row r="474">
      <c r="J474" s="113"/>
      <c r="Y474" s="113"/>
      <c r="Z474" s="113"/>
    </row>
    <row r="475">
      <c r="J475" s="113"/>
      <c r="Y475" s="113"/>
      <c r="Z475" s="113"/>
    </row>
    <row r="476">
      <c r="J476" s="113"/>
      <c r="Y476" s="113"/>
      <c r="Z476" s="113"/>
    </row>
    <row r="477">
      <c r="J477" s="113"/>
      <c r="Y477" s="113"/>
      <c r="Z477" s="113"/>
    </row>
    <row r="478">
      <c r="J478" s="113"/>
      <c r="Y478" s="113"/>
      <c r="Z478" s="113"/>
    </row>
    <row r="479">
      <c r="J479" s="113"/>
      <c r="Y479" s="113"/>
      <c r="Z479" s="113"/>
    </row>
    <row r="480">
      <c r="J480" s="113"/>
      <c r="Y480" s="113"/>
      <c r="Z480" s="113"/>
    </row>
    <row r="481">
      <c r="J481" s="113"/>
      <c r="Y481" s="113"/>
      <c r="Z481" s="113"/>
    </row>
    <row r="482">
      <c r="J482" s="113"/>
      <c r="Y482" s="113"/>
      <c r="Z482" s="113"/>
    </row>
    <row r="483">
      <c r="J483" s="113"/>
      <c r="Y483" s="113"/>
      <c r="Z483" s="113"/>
    </row>
    <row r="484">
      <c r="J484" s="113"/>
      <c r="Y484" s="113"/>
      <c r="Z484" s="113"/>
    </row>
    <row r="485">
      <c r="J485" s="113"/>
      <c r="Y485" s="113"/>
      <c r="Z485" s="113"/>
    </row>
    <row r="486">
      <c r="J486" s="113"/>
      <c r="Y486" s="113"/>
      <c r="Z486" s="113"/>
    </row>
    <row r="487">
      <c r="J487" s="113"/>
      <c r="Y487" s="113"/>
      <c r="Z487" s="113"/>
    </row>
    <row r="488">
      <c r="J488" s="113"/>
      <c r="Y488" s="113"/>
      <c r="Z488" s="113"/>
    </row>
    <row r="489">
      <c r="J489" s="113"/>
      <c r="Y489" s="113"/>
      <c r="Z489" s="113"/>
    </row>
    <row r="490">
      <c r="J490" s="113"/>
      <c r="Y490" s="113"/>
      <c r="Z490" s="113"/>
    </row>
    <row r="491">
      <c r="J491" s="113"/>
      <c r="Y491" s="113"/>
      <c r="Z491" s="113"/>
    </row>
    <row r="492">
      <c r="J492" s="113"/>
      <c r="Y492" s="113"/>
      <c r="Z492" s="113"/>
    </row>
    <row r="493">
      <c r="J493" s="113"/>
      <c r="Y493" s="113"/>
      <c r="Z493" s="113"/>
    </row>
    <row r="494">
      <c r="J494" s="113"/>
      <c r="Y494" s="113"/>
      <c r="Z494" s="113"/>
    </row>
    <row r="495">
      <c r="J495" s="113"/>
      <c r="Y495" s="113"/>
      <c r="Z495" s="113"/>
    </row>
    <row r="496">
      <c r="J496" s="113"/>
      <c r="Y496" s="113"/>
      <c r="Z496" s="113"/>
    </row>
    <row r="497">
      <c r="J497" s="113"/>
      <c r="Y497" s="113"/>
      <c r="Z497" s="113"/>
    </row>
    <row r="498">
      <c r="J498" s="113"/>
      <c r="Y498" s="113"/>
      <c r="Z498" s="113"/>
    </row>
    <row r="499">
      <c r="J499" s="113"/>
      <c r="Y499" s="113"/>
      <c r="Z499" s="113"/>
    </row>
    <row r="500">
      <c r="J500" s="113"/>
      <c r="Y500" s="113"/>
      <c r="Z500" s="113"/>
    </row>
    <row r="501">
      <c r="J501" s="113"/>
      <c r="Y501" s="113"/>
      <c r="Z501" s="113"/>
    </row>
    <row r="502">
      <c r="J502" s="113"/>
      <c r="Y502" s="113"/>
      <c r="Z502" s="113"/>
    </row>
    <row r="503">
      <c r="J503" s="113"/>
      <c r="Y503" s="113"/>
      <c r="Z503" s="113"/>
    </row>
    <row r="504">
      <c r="J504" s="113"/>
      <c r="Y504" s="113"/>
      <c r="Z504" s="113"/>
    </row>
    <row r="505">
      <c r="J505" s="113"/>
      <c r="Y505" s="113"/>
      <c r="Z505" s="113"/>
    </row>
    <row r="506">
      <c r="J506" s="113"/>
      <c r="Y506" s="113"/>
      <c r="Z506" s="113"/>
    </row>
    <row r="507">
      <c r="J507" s="113"/>
      <c r="Y507" s="113"/>
      <c r="Z507" s="113"/>
    </row>
    <row r="508">
      <c r="J508" s="113"/>
      <c r="Y508" s="113"/>
      <c r="Z508" s="113"/>
    </row>
    <row r="509">
      <c r="J509" s="113"/>
      <c r="Y509" s="113"/>
      <c r="Z509" s="113"/>
    </row>
    <row r="510">
      <c r="J510" s="113"/>
      <c r="Y510" s="113"/>
      <c r="Z510" s="113"/>
    </row>
    <row r="511">
      <c r="J511" s="113"/>
      <c r="Y511" s="113"/>
      <c r="Z511" s="113"/>
    </row>
    <row r="512">
      <c r="J512" s="113"/>
      <c r="Y512" s="113"/>
      <c r="Z512" s="113"/>
    </row>
    <row r="513">
      <c r="J513" s="113"/>
      <c r="Y513" s="113"/>
      <c r="Z513" s="113"/>
    </row>
    <row r="514">
      <c r="J514" s="113"/>
      <c r="Y514" s="113"/>
      <c r="Z514" s="113"/>
    </row>
    <row r="515">
      <c r="J515" s="113"/>
      <c r="Y515" s="113"/>
      <c r="Z515" s="113"/>
    </row>
    <row r="516">
      <c r="J516" s="113"/>
      <c r="Y516" s="113"/>
      <c r="Z516" s="113"/>
    </row>
    <row r="517">
      <c r="J517" s="113"/>
      <c r="Y517" s="113"/>
      <c r="Z517" s="113"/>
    </row>
    <row r="518">
      <c r="J518" s="113"/>
      <c r="Y518" s="113"/>
      <c r="Z518" s="113"/>
    </row>
    <row r="519">
      <c r="J519" s="113"/>
      <c r="Y519" s="113"/>
      <c r="Z519" s="113"/>
    </row>
    <row r="520">
      <c r="J520" s="113"/>
      <c r="Y520" s="113"/>
      <c r="Z520" s="113"/>
    </row>
    <row r="521">
      <c r="J521" s="113"/>
      <c r="Y521" s="113"/>
      <c r="Z521" s="113"/>
    </row>
    <row r="522">
      <c r="J522" s="113"/>
      <c r="Y522" s="113"/>
      <c r="Z522" s="113"/>
    </row>
    <row r="523">
      <c r="J523" s="113"/>
      <c r="Y523" s="113"/>
      <c r="Z523" s="113"/>
    </row>
    <row r="524">
      <c r="J524" s="113"/>
      <c r="Y524" s="113"/>
      <c r="Z524" s="113"/>
    </row>
    <row r="525">
      <c r="J525" s="113"/>
      <c r="Y525" s="113"/>
      <c r="Z525" s="113"/>
    </row>
    <row r="526">
      <c r="J526" s="113"/>
      <c r="Y526" s="113"/>
      <c r="Z526" s="113"/>
    </row>
    <row r="527">
      <c r="J527" s="113"/>
      <c r="Y527" s="113"/>
      <c r="Z527" s="113"/>
    </row>
    <row r="528">
      <c r="J528" s="113"/>
      <c r="Y528" s="113"/>
      <c r="Z528" s="113"/>
    </row>
    <row r="529">
      <c r="J529" s="113"/>
      <c r="Y529" s="113"/>
      <c r="Z529" s="113"/>
    </row>
    <row r="530">
      <c r="J530" s="113"/>
      <c r="Y530" s="113"/>
      <c r="Z530" s="113"/>
    </row>
    <row r="531">
      <c r="J531" s="113"/>
      <c r="Y531" s="113"/>
      <c r="Z531" s="113"/>
    </row>
    <row r="532">
      <c r="J532" s="113"/>
      <c r="Y532" s="113"/>
      <c r="Z532" s="113"/>
    </row>
    <row r="533">
      <c r="J533" s="113"/>
      <c r="Y533" s="113"/>
      <c r="Z533" s="113"/>
    </row>
    <row r="534">
      <c r="J534" s="113"/>
      <c r="Y534" s="113"/>
      <c r="Z534" s="113"/>
    </row>
    <row r="535">
      <c r="J535" s="113"/>
      <c r="Y535" s="113"/>
      <c r="Z535" s="113"/>
    </row>
    <row r="536">
      <c r="J536" s="113"/>
      <c r="Y536" s="113"/>
      <c r="Z536" s="113"/>
    </row>
    <row r="537">
      <c r="J537" s="113"/>
      <c r="Y537" s="113"/>
      <c r="Z537" s="113"/>
    </row>
    <row r="538">
      <c r="J538" s="113"/>
      <c r="Y538" s="113"/>
      <c r="Z538" s="113"/>
    </row>
    <row r="539">
      <c r="J539" s="113"/>
      <c r="Y539" s="113"/>
      <c r="Z539" s="113"/>
    </row>
    <row r="540">
      <c r="J540" s="113"/>
      <c r="Y540" s="113"/>
      <c r="Z540" s="113"/>
    </row>
    <row r="541">
      <c r="J541" s="113"/>
      <c r="Y541" s="113"/>
      <c r="Z541" s="113"/>
    </row>
    <row r="542">
      <c r="J542" s="113"/>
      <c r="Y542" s="113"/>
      <c r="Z542" s="113"/>
    </row>
    <row r="543">
      <c r="J543" s="113"/>
      <c r="Y543" s="113"/>
      <c r="Z543" s="113"/>
    </row>
    <row r="544">
      <c r="J544" s="113"/>
      <c r="Y544" s="113"/>
      <c r="Z544" s="113"/>
    </row>
    <row r="545">
      <c r="J545" s="113"/>
      <c r="Y545" s="113"/>
      <c r="Z545" s="113"/>
    </row>
    <row r="546">
      <c r="J546" s="113"/>
      <c r="Y546" s="113"/>
      <c r="Z546" s="113"/>
    </row>
    <row r="547">
      <c r="J547" s="113"/>
      <c r="Y547" s="113"/>
      <c r="Z547" s="113"/>
    </row>
    <row r="548">
      <c r="J548" s="113"/>
      <c r="Y548" s="113"/>
      <c r="Z548" s="113"/>
    </row>
    <row r="549">
      <c r="J549" s="113"/>
      <c r="Y549" s="113"/>
      <c r="Z549" s="113"/>
    </row>
    <row r="550">
      <c r="J550" s="113"/>
      <c r="Y550" s="113"/>
      <c r="Z550" s="113"/>
    </row>
    <row r="551">
      <c r="J551" s="113"/>
      <c r="Y551" s="113"/>
      <c r="Z551" s="113"/>
    </row>
    <row r="552">
      <c r="J552" s="113"/>
      <c r="Y552" s="113"/>
      <c r="Z552" s="113"/>
    </row>
    <row r="553">
      <c r="J553" s="113"/>
      <c r="Y553" s="113"/>
      <c r="Z553" s="113"/>
    </row>
    <row r="554">
      <c r="J554" s="113"/>
      <c r="Y554" s="113"/>
      <c r="Z554" s="113"/>
    </row>
    <row r="555">
      <c r="J555" s="113"/>
      <c r="Y555" s="113"/>
      <c r="Z555" s="113"/>
    </row>
    <row r="556">
      <c r="J556" s="113"/>
      <c r="Y556" s="113"/>
      <c r="Z556" s="113"/>
    </row>
    <row r="557">
      <c r="J557" s="113"/>
      <c r="Y557" s="113"/>
      <c r="Z557" s="113"/>
    </row>
    <row r="558">
      <c r="J558" s="113"/>
      <c r="Y558" s="113"/>
      <c r="Z558" s="113"/>
    </row>
    <row r="559">
      <c r="J559" s="113"/>
      <c r="Y559" s="113"/>
      <c r="Z559" s="113"/>
    </row>
    <row r="560">
      <c r="J560" s="113"/>
      <c r="Y560" s="113"/>
      <c r="Z560" s="113"/>
    </row>
    <row r="561">
      <c r="J561" s="113"/>
      <c r="Y561" s="113"/>
      <c r="Z561" s="113"/>
    </row>
    <row r="562">
      <c r="J562" s="113"/>
      <c r="Y562" s="113"/>
      <c r="Z562" s="113"/>
    </row>
    <row r="563">
      <c r="J563" s="113"/>
      <c r="Y563" s="113"/>
      <c r="Z563" s="113"/>
    </row>
    <row r="564">
      <c r="J564" s="113"/>
      <c r="Y564" s="113"/>
      <c r="Z564" s="113"/>
    </row>
    <row r="565">
      <c r="J565" s="113"/>
      <c r="Y565" s="113"/>
      <c r="Z565" s="113"/>
    </row>
    <row r="566">
      <c r="J566" s="113"/>
      <c r="Y566" s="113"/>
      <c r="Z566" s="113"/>
    </row>
    <row r="567">
      <c r="J567" s="113"/>
      <c r="Y567" s="113"/>
      <c r="Z567" s="113"/>
    </row>
    <row r="568">
      <c r="J568" s="113"/>
      <c r="Y568" s="113"/>
      <c r="Z568" s="113"/>
    </row>
    <row r="569">
      <c r="J569" s="113"/>
      <c r="Y569" s="113"/>
      <c r="Z569" s="113"/>
    </row>
    <row r="570">
      <c r="J570" s="113"/>
      <c r="Y570" s="113"/>
      <c r="Z570" s="113"/>
    </row>
    <row r="571">
      <c r="J571" s="113"/>
      <c r="Y571" s="113"/>
      <c r="Z571" s="113"/>
    </row>
    <row r="572">
      <c r="J572" s="113"/>
      <c r="Y572" s="113"/>
      <c r="Z572" s="113"/>
    </row>
    <row r="573">
      <c r="J573" s="113"/>
      <c r="Y573" s="113"/>
      <c r="Z573" s="113"/>
    </row>
    <row r="574">
      <c r="J574" s="113"/>
      <c r="Y574" s="113"/>
      <c r="Z574" s="113"/>
    </row>
    <row r="575">
      <c r="J575" s="113"/>
      <c r="Y575" s="113"/>
      <c r="Z575" s="113"/>
    </row>
    <row r="576">
      <c r="J576" s="113"/>
      <c r="Y576" s="113"/>
      <c r="Z576" s="113"/>
    </row>
    <row r="577">
      <c r="J577" s="113"/>
      <c r="Y577" s="113"/>
      <c r="Z577" s="113"/>
    </row>
    <row r="578">
      <c r="J578" s="113"/>
      <c r="Y578" s="113"/>
      <c r="Z578" s="113"/>
    </row>
    <row r="579">
      <c r="J579" s="113"/>
      <c r="Y579" s="113"/>
      <c r="Z579" s="113"/>
    </row>
    <row r="580">
      <c r="J580" s="113"/>
      <c r="Y580" s="113"/>
      <c r="Z580" s="113"/>
    </row>
    <row r="581">
      <c r="J581" s="113"/>
      <c r="Y581" s="113"/>
      <c r="Z581" s="113"/>
    </row>
    <row r="582">
      <c r="J582" s="113"/>
      <c r="Y582" s="113"/>
      <c r="Z582" s="113"/>
    </row>
    <row r="583">
      <c r="J583" s="113"/>
      <c r="Y583" s="113"/>
      <c r="Z583" s="113"/>
    </row>
    <row r="584">
      <c r="J584" s="113"/>
      <c r="Y584" s="113"/>
      <c r="Z584" s="113"/>
    </row>
    <row r="585">
      <c r="J585" s="113"/>
      <c r="Y585" s="113"/>
      <c r="Z585" s="113"/>
    </row>
    <row r="586">
      <c r="J586" s="113"/>
      <c r="Y586" s="113"/>
      <c r="Z586" s="113"/>
    </row>
    <row r="587">
      <c r="J587" s="113"/>
      <c r="Y587" s="113"/>
      <c r="Z587" s="113"/>
    </row>
    <row r="588">
      <c r="J588" s="113"/>
      <c r="Y588" s="113"/>
      <c r="Z588" s="113"/>
    </row>
    <row r="589">
      <c r="J589" s="113"/>
      <c r="Y589" s="113"/>
      <c r="Z589" s="113"/>
    </row>
    <row r="590">
      <c r="J590" s="113"/>
      <c r="Y590" s="113"/>
      <c r="Z590" s="113"/>
    </row>
    <row r="591">
      <c r="J591" s="113"/>
      <c r="Y591" s="113"/>
      <c r="Z591" s="113"/>
    </row>
    <row r="592">
      <c r="J592" s="113"/>
      <c r="Y592" s="113"/>
      <c r="Z592" s="113"/>
    </row>
    <row r="593">
      <c r="J593" s="113"/>
      <c r="Y593" s="113"/>
      <c r="Z593" s="113"/>
    </row>
    <row r="594">
      <c r="J594" s="113"/>
      <c r="Y594" s="113"/>
      <c r="Z594" s="113"/>
    </row>
    <row r="595">
      <c r="J595" s="113"/>
      <c r="Y595" s="113"/>
      <c r="Z595" s="113"/>
    </row>
    <row r="596">
      <c r="J596" s="113"/>
      <c r="Y596" s="113"/>
      <c r="Z596" s="113"/>
    </row>
    <row r="597">
      <c r="J597" s="113"/>
      <c r="Y597" s="113"/>
      <c r="Z597" s="113"/>
    </row>
    <row r="598">
      <c r="J598" s="113"/>
      <c r="Y598" s="113"/>
      <c r="Z598" s="113"/>
    </row>
    <row r="599">
      <c r="J599" s="113"/>
      <c r="Y599" s="113"/>
      <c r="Z599" s="113"/>
    </row>
    <row r="600">
      <c r="J600" s="113"/>
      <c r="Y600" s="113"/>
      <c r="Z600" s="113"/>
    </row>
    <row r="601">
      <c r="J601" s="113"/>
      <c r="Y601" s="113"/>
      <c r="Z601" s="113"/>
    </row>
    <row r="602">
      <c r="J602" s="113"/>
      <c r="Y602" s="113"/>
      <c r="Z602" s="113"/>
    </row>
    <row r="603">
      <c r="J603" s="113"/>
      <c r="Y603" s="113"/>
      <c r="Z603" s="113"/>
    </row>
    <row r="604">
      <c r="J604" s="113"/>
      <c r="Y604" s="113"/>
      <c r="Z604" s="113"/>
    </row>
    <row r="605">
      <c r="J605" s="113"/>
      <c r="Y605" s="113"/>
      <c r="Z605" s="113"/>
    </row>
    <row r="606">
      <c r="J606" s="113"/>
      <c r="Y606" s="113"/>
      <c r="Z606" s="113"/>
    </row>
    <row r="607">
      <c r="J607" s="113"/>
      <c r="Y607" s="113"/>
      <c r="Z607" s="113"/>
    </row>
    <row r="608">
      <c r="J608" s="113"/>
      <c r="Y608" s="113"/>
      <c r="Z608" s="113"/>
    </row>
    <row r="609">
      <c r="J609" s="113"/>
      <c r="Y609" s="113"/>
      <c r="Z609" s="113"/>
    </row>
    <row r="610">
      <c r="J610" s="113"/>
      <c r="Y610" s="113"/>
      <c r="Z610" s="113"/>
    </row>
    <row r="611">
      <c r="J611" s="113"/>
      <c r="Y611" s="113"/>
      <c r="Z611" s="113"/>
    </row>
    <row r="612">
      <c r="J612" s="113"/>
      <c r="Y612" s="113"/>
      <c r="Z612" s="113"/>
    </row>
    <row r="613">
      <c r="J613" s="113"/>
      <c r="Y613" s="113"/>
      <c r="Z613" s="113"/>
    </row>
    <row r="614">
      <c r="J614" s="113"/>
      <c r="Y614" s="113"/>
      <c r="Z614" s="113"/>
    </row>
    <row r="615">
      <c r="J615" s="113"/>
      <c r="Y615" s="113"/>
      <c r="Z615" s="113"/>
    </row>
    <row r="616">
      <c r="J616" s="113"/>
      <c r="Y616" s="113"/>
      <c r="Z616" s="113"/>
    </row>
    <row r="617">
      <c r="J617" s="113"/>
      <c r="Y617" s="113"/>
      <c r="Z617" s="113"/>
    </row>
    <row r="618">
      <c r="J618" s="113"/>
      <c r="Y618" s="113"/>
      <c r="Z618" s="113"/>
    </row>
    <row r="619">
      <c r="J619" s="113"/>
      <c r="Y619" s="113"/>
      <c r="Z619" s="113"/>
    </row>
    <row r="620">
      <c r="J620" s="113"/>
      <c r="Y620" s="113"/>
      <c r="Z620" s="113"/>
    </row>
    <row r="621">
      <c r="J621" s="113"/>
      <c r="Y621" s="113"/>
      <c r="Z621" s="113"/>
    </row>
    <row r="622">
      <c r="J622" s="113"/>
      <c r="Y622" s="113"/>
      <c r="Z622" s="113"/>
    </row>
    <row r="623">
      <c r="J623" s="113"/>
      <c r="Y623" s="113"/>
      <c r="Z623" s="113"/>
    </row>
    <row r="624">
      <c r="J624" s="113"/>
      <c r="Y624" s="113"/>
      <c r="Z624" s="113"/>
    </row>
    <row r="625">
      <c r="J625" s="113"/>
      <c r="Y625" s="113"/>
      <c r="Z625" s="113"/>
    </row>
    <row r="626">
      <c r="J626" s="113"/>
      <c r="Y626" s="113"/>
      <c r="Z626" s="113"/>
    </row>
    <row r="627">
      <c r="J627" s="113"/>
      <c r="Y627" s="113"/>
      <c r="Z627" s="113"/>
    </row>
    <row r="628">
      <c r="J628" s="113"/>
      <c r="Y628" s="113"/>
      <c r="Z628" s="113"/>
    </row>
    <row r="629">
      <c r="J629" s="113"/>
      <c r="Y629" s="113"/>
      <c r="Z629" s="113"/>
    </row>
    <row r="630">
      <c r="J630" s="113"/>
      <c r="Y630" s="113"/>
      <c r="Z630" s="113"/>
    </row>
    <row r="631">
      <c r="J631" s="113"/>
      <c r="Y631" s="113"/>
      <c r="Z631" s="113"/>
    </row>
    <row r="632">
      <c r="J632" s="113"/>
      <c r="Y632" s="113"/>
      <c r="Z632" s="113"/>
    </row>
    <row r="633">
      <c r="J633" s="113"/>
      <c r="Y633" s="113"/>
      <c r="Z633" s="113"/>
    </row>
    <row r="634">
      <c r="J634" s="113"/>
      <c r="Y634" s="113"/>
      <c r="Z634" s="113"/>
    </row>
    <row r="635">
      <c r="J635" s="113"/>
      <c r="Y635" s="113"/>
      <c r="Z635" s="113"/>
    </row>
    <row r="636">
      <c r="J636" s="113"/>
      <c r="Y636" s="113"/>
      <c r="Z636" s="113"/>
    </row>
    <row r="637">
      <c r="J637" s="113"/>
      <c r="Y637" s="113"/>
      <c r="Z637" s="113"/>
    </row>
    <row r="638">
      <c r="J638" s="113"/>
      <c r="Y638" s="113"/>
      <c r="Z638" s="113"/>
    </row>
    <row r="639">
      <c r="J639" s="113"/>
      <c r="Y639" s="113"/>
      <c r="Z639" s="113"/>
    </row>
    <row r="640">
      <c r="J640" s="113"/>
      <c r="Y640" s="113"/>
      <c r="Z640" s="113"/>
    </row>
    <row r="641">
      <c r="J641" s="113"/>
      <c r="Y641" s="113"/>
      <c r="Z641" s="113"/>
    </row>
    <row r="642">
      <c r="J642" s="113"/>
      <c r="Y642" s="113"/>
      <c r="Z642" s="113"/>
    </row>
    <row r="643">
      <c r="J643" s="113"/>
      <c r="Y643" s="113"/>
      <c r="Z643" s="113"/>
    </row>
    <row r="644">
      <c r="J644" s="113"/>
      <c r="Y644" s="113"/>
      <c r="Z644" s="113"/>
    </row>
    <row r="645">
      <c r="J645" s="113"/>
      <c r="Y645" s="113"/>
      <c r="Z645" s="113"/>
    </row>
    <row r="646">
      <c r="J646" s="113"/>
      <c r="Y646" s="113"/>
      <c r="Z646" s="113"/>
    </row>
    <row r="647">
      <c r="J647" s="113"/>
      <c r="Y647" s="113"/>
      <c r="Z647" s="113"/>
    </row>
    <row r="648">
      <c r="J648" s="113"/>
      <c r="Y648" s="113"/>
      <c r="Z648" s="113"/>
    </row>
    <row r="649">
      <c r="J649" s="113"/>
      <c r="Y649" s="113"/>
      <c r="Z649" s="113"/>
    </row>
    <row r="650">
      <c r="J650" s="113"/>
      <c r="Y650" s="113"/>
      <c r="Z650" s="113"/>
    </row>
    <row r="651">
      <c r="J651" s="113"/>
      <c r="Y651" s="113"/>
      <c r="Z651" s="113"/>
    </row>
    <row r="652">
      <c r="J652" s="113"/>
      <c r="Y652" s="113"/>
      <c r="Z652" s="113"/>
    </row>
    <row r="653">
      <c r="J653" s="113"/>
      <c r="Y653" s="113"/>
      <c r="Z653" s="113"/>
    </row>
    <row r="654">
      <c r="J654" s="113"/>
      <c r="Y654" s="113"/>
      <c r="Z654" s="113"/>
    </row>
    <row r="655">
      <c r="J655" s="113"/>
      <c r="Y655" s="113"/>
      <c r="Z655" s="113"/>
    </row>
    <row r="656">
      <c r="J656" s="113"/>
      <c r="Y656" s="113"/>
      <c r="Z656" s="113"/>
    </row>
    <row r="657">
      <c r="J657" s="113"/>
      <c r="Y657" s="113"/>
      <c r="Z657" s="113"/>
    </row>
    <row r="658">
      <c r="J658" s="113"/>
      <c r="Y658" s="113"/>
      <c r="Z658" s="113"/>
    </row>
    <row r="659">
      <c r="J659" s="113"/>
      <c r="Y659" s="113"/>
      <c r="Z659" s="113"/>
    </row>
    <row r="660">
      <c r="J660" s="113"/>
      <c r="Y660" s="113"/>
      <c r="Z660" s="113"/>
    </row>
    <row r="661">
      <c r="J661" s="113"/>
      <c r="Y661" s="113"/>
      <c r="Z661" s="113"/>
    </row>
    <row r="662">
      <c r="J662" s="113"/>
      <c r="Y662" s="113"/>
      <c r="Z662" s="113"/>
    </row>
    <row r="663">
      <c r="J663" s="113"/>
      <c r="Y663" s="113"/>
      <c r="Z663" s="113"/>
    </row>
    <row r="664">
      <c r="J664" s="113"/>
      <c r="Y664" s="113"/>
      <c r="Z664" s="113"/>
    </row>
    <row r="665">
      <c r="J665" s="113"/>
      <c r="Y665" s="113"/>
      <c r="Z665" s="113"/>
    </row>
    <row r="666">
      <c r="J666" s="113"/>
      <c r="Y666" s="113"/>
      <c r="Z666" s="113"/>
    </row>
    <row r="667">
      <c r="J667" s="113"/>
      <c r="Y667" s="113"/>
      <c r="Z667" s="113"/>
    </row>
    <row r="668">
      <c r="J668" s="113"/>
      <c r="Y668" s="113"/>
      <c r="Z668" s="113"/>
    </row>
    <row r="669">
      <c r="J669" s="113"/>
      <c r="Y669" s="113"/>
      <c r="Z669" s="113"/>
    </row>
    <row r="670">
      <c r="J670" s="113"/>
      <c r="Y670" s="113"/>
      <c r="Z670" s="113"/>
    </row>
    <row r="671">
      <c r="J671" s="113"/>
      <c r="Y671" s="113"/>
      <c r="Z671" s="113"/>
    </row>
    <row r="672">
      <c r="J672" s="113"/>
      <c r="Y672" s="113"/>
      <c r="Z672" s="113"/>
    </row>
    <row r="673">
      <c r="J673" s="113"/>
      <c r="Y673" s="113"/>
      <c r="Z673" s="113"/>
    </row>
    <row r="674">
      <c r="J674" s="113"/>
      <c r="Y674" s="113"/>
      <c r="Z674" s="113"/>
    </row>
    <row r="675">
      <c r="J675" s="113"/>
      <c r="Y675" s="113"/>
      <c r="Z675" s="113"/>
    </row>
    <row r="676">
      <c r="J676" s="113"/>
      <c r="Y676" s="113"/>
      <c r="Z676" s="113"/>
    </row>
    <row r="677">
      <c r="J677" s="113"/>
      <c r="Y677" s="113"/>
      <c r="Z677" s="113"/>
    </row>
    <row r="678">
      <c r="J678" s="113"/>
      <c r="Y678" s="113"/>
      <c r="Z678" s="113"/>
    </row>
    <row r="679">
      <c r="J679" s="113"/>
      <c r="Y679" s="113"/>
      <c r="Z679" s="113"/>
    </row>
    <row r="680">
      <c r="J680" s="113"/>
      <c r="Y680" s="113"/>
      <c r="Z680" s="113"/>
    </row>
    <row r="681">
      <c r="J681" s="113"/>
      <c r="Y681" s="113"/>
      <c r="Z681" s="113"/>
    </row>
    <row r="682">
      <c r="J682" s="113"/>
      <c r="Y682" s="113"/>
      <c r="Z682" s="113"/>
    </row>
    <row r="683">
      <c r="J683" s="113"/>
      <c r="Y683" s="113"/>
      <c r="Z683" s="113"/>
    </row>
    <row r="684">
      <c r="J684" s="113"/>
      <c r="Y684" s="113"/>
      <c r="Z684" s="113"/>
    </row>
    <row r="685">
      <c r="J685" s="113"/>
      <c r="Y685" s="113"/>
      <c r="Z685" s="113"/>
    </row>
    <row r="686">
      <c r="J686" s="113"/>
      <c r="Y686" s="113"/>
      <c r="Z686" s="113"/>
    </row>
    <row r="687">
      <c r="J687" s="113"/>
      <c r="Y687" s="113"/>
      <c r="Z687" s="113"/>
    </row>
    <row r="688">
      <c r="J688" s="113"/>
      <c r="Y688" s="113"/>
      <c r="Z688" s="113"/>
    </row>
    <row r="689">
      <c r="J689" s="113"/>
      <c r="Y689" s="113"/>
      <c r="Z689" s="113"/>
    </row>
    <row r="690">
      <c r="J690" s="113"/>
      <c r="Y690" s="113"/>
      <c r="Z690" s="113"/>
    </row>
    <row r="691">
      <c r="J691" s="113"/>
      <c r="Y691" s="113"/>
      <c r="Z691" s="113"/>
    </row>
    <row r="692">
      <c r="J692" s="113"/>
      <c r="Y692" s="113"/>
      <c r="Z692" s="113"/>
    </row>
    <row r="693">
      <c r="J693" s="113"/>
      <c r="Y693" s="113"/>
      <c r="Z693" s="113"/>
    </row>
    <row r="694">
      <c r="J694" s="113"/>
      <c r="Y694" s="113"/>
      <c r="Z694" s="113"/>
    </row>
    <row r="695">
      <c r="J695" s="113"/>
      <c r="Y695" s="113"/>
      <c r="Z695" s="113"/>
    </row>
    <row r="696">
      <c r="J696" s="113"/>
      <c r="Y696" s="113"/>
      <c r="Z696" s="113"/>
    </row>
    <row r="697">
      <c r="J697" s="113"/>
      <c r="Y697" s="113"/>
      <c r="Z697" s="113"/>
    </row>
    <row r="698">
      <c r="J698" s="113"/>
      <c r="Y698" s="113"/>
      <c r="Z698" s="113"/>
    </row>
    <row r="699">
      <c r="J699" s="113"/>
      <c r="Y699" s="113"/>
      <c r="Z699" s="113"/>
    </row>
    <row r="700">
      <c r="J700" s="113"/>
      <c r="Y700" s="113"/>
      <c r="Z700" s="113"/>
    </row>
    <row r="701">
      <c r="J701" s="113"/>
      <c r="Y701" s="113"/>
      <c r="Z701" s="113"/>
    </row>
    <row r="702">
      <c r="J702" s="113"/>
      <c r="Y702" s="113"/>
      <c r="Z702" s="113"/>
    </row>
    <row r="703">
      <c r="J703" s="113"/>
      <c r="Y703" s="113"/>
      <c r="Z703" s="113"/>
    </row>
    <row r="704">
      <c r="J704" s="113"/>
      <c r="Y704" s="113"/>
      <c r="Z704" s="113"/>
    </row>
    <row r="705">
      <c r="J705" s="113"/>
      <c r="Y705" s="113"/>
      <c r="Z705" s="113"/>
    </row>
    <row r="706">
      <c r="J706" s="113"/>
      <c r="Y706" s="113"/>
      <c r="Z706" s="113"/>
    </row>
    <row r="707">
      <c r="J707" s="113"/>
      <c r="Y707" s="113"/>
      <c r="Z707" s="113"/>
    </row>
    <row r="708">
      <c r="J708" s="113"/>
      <c r="Y708" s="113"/>
      <c r="Z708" s="113"/>
    </row>
    <row r="709">
      <c r="J709" s="113"/>
      <c r="Y709" s="113"/>
      <c r="Z709" s="113"/>
    </row>
    <row r="710">
      <c r="J710" s="113"/>
      <c r="Y710" s="113"/>
      <c r="Z710" s="113"/>
    </row>
    <row r="711">
      <c r="J711" s="113"/>
      <c r="Y711" s="113"/>
      <c r="Z711" s="113"/>
    </row>
    <row r="712">
      <c r="J712" s="113"/>
      <c r="Y712" s="113"/>
      <c r="Z712" s="113"/>
    </row>
    <row r="713">
      <c r="J713" s="113"/>
      <c r="Y713" s="113"/>
      <c r="Z713" s="113"/>
    </row>
    <row r="714">
      <c r="J714" s="113"/>
      <c r="Y714" s="113"/>
      <c r="Z714" s="113"/>
    </row>
    <row r="715">
      <c r="J715" s="113"/>
      <c r="Y715" s="113"/>
      <c r="Z715" s="113"/>
    </row>
    <row r="716">
      <c r="J716" s="113"/>
      <c r="Y716" s="113"/>
      <c r="Z716" s="113"/>
    </row>
    <row r="717">
      <c r="J717" s="113"/>
      <c r="Y717" s="113"/>
      <c r="Z717" s="113"/>
    </row>
    <row r="718">
      <c r="J718" s="113"/>
      <c r="Y718" s="113"/>
      <c r="Z718" s="113"/>
    </row>
    <row r="719">
      <c r="J719" s="113"/>
      <c r="Y719" s="113"/>
      <c r="Z719" s="113"/>
    </row>
    <row r="720">
      <c r="J720" s="113"/>
      <c r="Y720" s="113"/>
      <c r="Z720" s="113"/>
    </row>
    <row r="721">
      <c r="J721" s="113"/>
      <c r="Y721" s="113"/>
      <c r="Z721" s="113"/>
    </row>
    <row r="722">
      <c r="J722" s="113"/>
      <c r="Y722" s="113"/>
      <c r="Z722" s="113"/>
    </row>
    <row r="723">
      <c r="J723" s="113"/>
      <c r="Y723" s="113"/>
      <c r="Z723" s="113"/>
    </row>
    <row r="724">
      <c r="J724" s="113"/>
      <c r="Y724" s="113"/>
      <c r="Z724" s="113"/>
    </row>
    <row r="725">
      <c r="J725" s="113"/>
      <c r="Y725" s="113"/>
      <c r="Z725" s="113"/>
    </row>
    <row r="726">
      <c r="J726" s="113"/>
      <c r="Y726" s="113"/>
      <c r="Z726" s="113"/>
    </row>
    <row r="727">
      <c r="J727" s="113"/>
      <c r="Y727" s="113"/>
      <c r="Z727" s="113"/>
    </row>
    <row r="728">
      <c r="J728" s="113"/>
      <c r="Y728" s="113"/>
      <c r="Z728" s="113"/>
    </row>
    <row r="729">
      <c r="J729" s="113"/>
      <c r="Y729" s="113"/>
      <c r="Z729" s="113"/>
    </row>
    <row r="730">
      <c r="J730" s="113"/>
      <c r="Y730" s="113"/>
      <c r="Z730" s="113"/>
    </row>
    <row r="731">
      <c r="J731" s="113"/>
      <c r="Y731" s="113"/>
      <c r="Z731" s="113"/>
    </row>
    <row r="732">
      <c r="J732" s="113"/>
      <c r="Y732" s="113"/>
      <c r="Z732" s="113"/>
    </row>
    <row r="733">
      <c r="J733" s="113"/>
      <c r="Y733" s="113"/>
      <c r="Z733" s="113"/>
    </row>
    <row r="734">
      <c r="J734" s="113"/>
      <c r="Y734" s="113"/>
      <c r="Z734" s="113"/>
    </row>
    <row r="735">
      <c r="J735" s="113"/>
      <c r="Y735" s="113"/>
      <c r="Z735" s="113"/>
    </row>
    <row r="736">
      <c r="J736" s="113"/>
      <c r="Y736" s="113"/>
      <c r="Z736" s="113"/>
    </row>
    <row r="737">
      <c r="J737" s="113"/>
      <c r="Y737" s="113"/>
      <c r="Z737" s="113"/>
    </row>
    <row r="738">
      <c r="J738" s="113"/>
      <c r="Y738" s="113"/>
      <c r="Z738" s="113"/>
    </row>
    <row r="739">
      <c r="J739" s="113"/>
      <c r="Y739" s="113"/>
      <c r="Z739" s="113"/>
    </row>
    <row r="740">
      <c r="J740" s="113"/>
      <c r="Y740" s="113"/>
      <c r="Z740" s="113"/>
    </row>
    <row r="741">
      <c r="J741" s="113"/>
      <c r="Y741" s="113"/>
      <c r="Z741" s="113"/>
    </row>
    <row r="742">
      <c r="J742" s="113"/>
      <c r="Y742" s="113"/>
      <c r="Z742" s="113"/>
    </row>
    <row r="743">
      <c r="J743" s="113"/>
      <c r="Y743" s="113"/>
      <c r="Z743" s="113"/>
    </row>
    <row r="744">
      <c r="J744" s="113"/>
      <c r="Y744" s="113"/>
      <c r="Z744" s="113"/>
    </row>
    <row r="745">
      <c r="J745" s="113"/>
      <c r="Y745" s="113"/>
      <c r="Z745" s="113"/>
    </row>
    <row r="746">
      <c r="J746" s="113"/>
      <c r="Y746" s="113"/>
      <c r="Z746" s="113"/>
    </row>
    <row r="747">
      <c r="J747" s="113"/>
      <c r="Y747" s="113"/>
      <c r="Z747" s="113"/>
    </row>
    <row r="748">
      <c r="J748" s="113"/>
      <c r="Y748" s="113"/>
      <c r="Z748" s="113"/>
    </row>
    <row r="749">
      <c r="J749" s="113"/>
      <c r="Y749" s="113"/>
      <c r="Z749" s="113"/>
    </row>
    <row r="750">
      <c r="J750" s="113"/>
      <c r="Y750" s="113"/>
      <c r="Z750" s="113"/>
    </row>
    <row r="751">
      <c r="J751" s="113"/>
      <c r="Y751" s="113"/>
      <c r="Z751" s="113"/>
    </row>
    <row r="752">
      <c r="J752" s="113"/>
      <c r="Y752" s="113"/>
      <c r="Z752" s="113"/>
    </row>
    <row r="753">
      <c r="J753" s="113"/>
      <c r="Y753" s="113"/>
      <c r="Z753" s="113"/>
    </row>
    <row r="754">
      <c r="J754" s="113"/>
      <c r="Y754" s="113"/>
      <c r="Z754" s="113"/>
    </row>
    <row r="755">
      <c r="J755" s="113"/>
      <c r="Y755" s="113"/>
      <c r="Z755" s="113"/>
    </row>
    <row r="756">
      <c r="J756" s="113"/>
      <c r="Y756" s="113"/>
      <c r="Z756" s="113"/>
    </row>
    <row r="757">
      <c r="J757" s="113"/>
      <c r="Y757" s="113"/>
      <c r="Z757" s="113"/>
    </row>
    <row r="758">
      <c r="J758" s="113"/>
      <c r="Y758" s="113"/>
      <c r="Z758" s="113"/>
    </row>
    <row r="759">
      <c r="J759" s="113"/>
      <c r="Y759" s="113"/>
      <c r="Z759" s="113"/>
    </row>
    <row r="760">
      <c r="J760" s="113"/>
      <c r="Y760" s="113"/>
      <c r="Z760" s="113"/>
    </row>
    <row r="761">
      <c r="J761" s="113"/>
      <c r="Y761" s="113"/>
      <c r="Z761" s="113"/>
    </row>
    <row r="762">
      <c r="J762" s="113"/>
      <c r="Y762" s="113"/>
      <c r="Z762" s="113"/>
    </row>
    <row r="763">
      <c r="J763" s="113"/>
      <c r="Y763" s="113"/>
      <c r="Z763" s="113"/>
    </row>
    <row r="764">
      <c r="J764" s="113"/>
      <c r="Y764" s="113"/>
      <c r="Z764" s="113"/>
    </row>
    <row r="765">
      <c r="J765" s="113"/>
      <c r="Y765" s="113"/>
      <c r="Z765" s="113"/>
    </row>
    <row r="766">
      <c r="J766" s="113"/>
      <c r="Y766" s="113"/>
      <c r="Z766" s="113"/>
    </row>
    <row r="767">
      <c r="J767" s="113"/>
      <c r="Y767" s="113"/>
      <c r="Z767" s="113"/>
    </row>
    <row r="768">
      <c r="J768" s="113"/>
      <c r="Y768" s="113"/>
      <c r="Z768" s="113"/>
    </row>
    <row r="769">
      <c r="J769" s="113"/>
      <c r="Y769" s="113"/>
      <c r="Z769" s="113"/>
    </row>
    <row r="770">
      <c r="J770" s="113"/>
      <c r="Y770" s="113"/>
      <c r="Z770" s="113"/>
    </row>
    <row r="771">
      <c r="J771" s="113"/>
      <c r="Y771" s="113"/>
      <c r="Z771" s="113"/>
    </row>
    <row r="772">
      <c r="J772" s="113"/>
      <c r="Y772" s="113"/>
      <c r="Z772" s="113"/>
    </row>
    <row r="773">
      <c r="J773" s="113"/>
      <c r="Y773" s="113"/>
      <c r="Z773" s="113"/>
    </row>
    <row r="774">
      <c r="J774" s="113"/>
      <c r="Y774" s="113"/>
      <c r="Z774" s="113"/>
    </row>
    <row r="775">
      <c r="J775" s="113"/>
      <c r="Y775" s="113"/>
      <c r="Z775" s="113"/>
    </row>
    <row r="776">
      <c r="J776" s="113"/>
      <c r="Y776" s="113"/>
      <c r="Z776" s="113"/>
    </row>
    <row r="777">
      <c r="J777" s="113"/>
      <c r="Y777" s="113"/>
      <c r="Z777" s="113"/>
    </row>
    <row r="778">
      <c r="J778" s="113"/>
      <c r="Y778" s="113"/>
      <c r="Z778" s="113"/>
    </row>
    <row r="779">
      <c r="J779" s="113"/>
      <c r="Y779" s="113"/>
      <c r="Z779" s="113"/>
    </row>
    <row r="780">
      <c r="J780" s="113"/>
      <c r="Y780" s="113"/>
      <c r="Z780" s="113"/>
    </row>
    <row r="781">
      <c r="J781" s="113"/>
      <c r="Y781" s="113"/>
      <c r="Z781" s="113"/>
    </row>
    <row r="782">
      <c r="J782" s="113"/>
      <c r="Y782" s="113"/>
      <c r="Z782" s="113"/>
    </row>
    <row r="783">
      <c r="J783" s="113"/>
      <c r="Y783" s="113"/>
      <c r="Z783" s="113"/>
    </row>
    <row r="784">
      <c r="J784" s="113"/>
      <c r="Y784" s="113"/>
      <c r="Z784" s="113"/>
    </row>
    <row r="785">
      <c r="J785" s="113"/>
      <c r="Y785" s="113"/>
      <c r="Z785" s="113"/>
    </row>
    <row r="786">
      <c r="J786" s="113"/>
      <c r="Y786" s="113"/>
      <c r="Z786" s="113"/>
    </row>
    <row r="787">
      <c r="J787" s="113"/>
      <c r="Y787" s="113"/>
      <c r="Z787" s="113"/>
    </row>
    <row r="788">
      <c r="J788" s="113"/>
      <c r="Y788" s="113"/>
      <c r="Z788" s="113"/>
    </row>
    <row r="789">
      <c r="J789" s="113"/>
      <c r="Y789" s="113"/>
      <c r="Z789" s="113"/>
    </row>
    <row r="790">
      <c r="J790" s="113"/>
      <c r="Y790" s="113"/>
      <c r="Z790" s="113"/>
    </row>
    <row r="791">
      <c r="J791" s="113"/>
      <c r="Y791" s="113"/>
      <c r="Z791" s="113"/>
    </row>
    <row r="792">
      <c r="J792" s="113"/>
      <c r="Y792" s="113"/>
      <c r="Z792" s="113"/>
    </row>
    <row r="793">
      <c r="J793" s="113"/>
      <c r="Y793" s="113"/>
      <c r="Z793" s="113"/>
    </row>
    <row r="794">
      <c r="J794" s="113"/>
      <c r="Y794" s="113"/>
      <c r="Z794" s="113"/>
    </row>
    <row r="795">
      <c r="J795" s="113"/>
      <c r="Y795" s="113"/>
      <c r="Z795" s="113"/>
    </row>
    <row r="796">
      <c r="J796" s="113"/>
      <c r="Y796" s="113"/>
      <c r="Z796" s="113"/>
    </row>
    <row r="797">
      <c r="J797" s="113"/>
      <c r="Y797" s="113"/>
      <c r="Z797" s="113"/>
    </row>
    <row r="798">
      <c r="J798" s="113"/>
      <c r="Y798" s="113"/>
      <c r="Z798" s="113"/>
    </row>
    <row r="799">
      <c r="J799" s="113"/>
      <c r="Y799" s="113"/>
      <c r="Z799" s="113"/>
    </row>
    <row r="800">
      <c r="J800" s="113"/>
      <c r="Y800" s="113"/>
      <c r="Z800" s="113"/>
    </row>
    <row r="801">
      <c r="J801" s="113"/>
      <c r="Y801" s="113"/>
      <c r="Z801" s="113"/>
    </row>
    <row r="802">
      <c r="J802" s="113"/>
      <c r="Y802" s="113"/>
      <c r="Z802" s="113"/>
    </row>
    <row r="803">
      <c r="J803" s="113"/>
      <c r="Y803" s="113"/>
      <c r="Z803" s="113"/>
    </row>
    <row r="804">
      <c r="J804" s="113"/>
      <c r="Y804" s="113"/>
      <c r="Z804" s="113"/>
    </row>
    <row r="805">
      <c r="J805" s="113"/>
      <c r="Y805" s="113"/>
      <c r="Z805" s="113"/>
    </row>
    <row r="806">
      <c r="J806" s="113"/>
      <c r="Y806" s="113"/>
      <c r="Z806" s="113"/>
    </row>
    <row r="807">
      <c r="J807" s="113"/>
      <c r="Y807" s="113"/>
      <c r="Z807" s="113"/>
    </row>
    <row r="808">
      <c r="J808" s="113"/>
      <c r="Y808" s="113"/>
      <c r="Z808" s="113"/>
    </row>
    <row r="809">
      <c r="J809" s="113"/>
      <c r="Y809" s="113"/>
      <c r="Z809" s="113"/>
    </row>
    <row r="810">
      <c r="J810" s="113"/>
      <c r="Y810" s="113"/>
      <c r="Z810" s="113"/>
    </row>
    <row r="811">
      <c r="J811" s="113"/>
      <c r="Y811" s="113"/>
      <c r="Z811" s="113"/>
    </row>
    <row r="812">
      <c r="J812" s="113"/>
      <c r="Y812" s="113"/>
      <c r="Z812" s="113"/>
    </row>
    <row r="813">
      <c r="J813" s="113"/>
      <c r="Y813" s="113"/>
      <c r="Z813" s="113"/>
    </row>
    <row r="814">
      <c r="J814" s="113"/>
      <c r="Y814" s="113"/>
      <c r="Z814" s="113"/>
    </row>
    <row r="815">
      <c r="J815" s="113"/>
      <c r="Y815" s="113"/>
      <c r="Z815" s="113"/>
    </row>
    <row r="816">
      <c r="J816" s="113"/>
      <c r="Y816" s="113"/>
      <c r="Z816" s="113"/>
    </row>
    <row r="817">
      <c r="J817" s="113"/>
      <c r="Y817" s="113"/>
      <c r="Z817" s="113"/>
    </row>
    <row r="818">
      <c r="J818" s="113"/>
      <c r="Y818" s="113"/>
      <c r="Z818" s="113"/>
    </row>
    <row r="819">
      <c r="J819" s="113"/>
      <c r="Y819" s="113"/>
      <c r="Z819" s="113"/>
    </row>
    <row r="820">
      <c r="J820" s="113"/>
      <c r="Y820" s="113"/>
      <c r="Z820" s="113"/>
    </row>
    <row r="821">
      <c r="J821" s="113"/>
      <c r="Y821" s="113"/>
      <c r="Z821" s="113"/>
    </row>
    <row r="822">
      <c r="J822" s="113"/>
      <c r="Y822" s="113"/>
      <c r="Z822" s="113"/>
    </row>
    <row r="823">
      <c r="J823" s="113"/>
      <c r="Y823" s="113"/>
      <c r="Z823" s="113"/>
    </row>
    <row r="824">
      <c r="J824" s="113"/>
      <c r="Y824" s="113"/>
      <c r="Z824" s="113"/>
    </row>
    <row r="825">
      <c r="J825" s="113"/>
      <c r="Y825" s="113"/>
      <c r="Z825" s="113"/>
    </row>
    <row r="826">
      <c r="J826" s="113"/>
      <c r="Y826" s="113"/>
      <c r="Z826" s="113"/>
    </row>
    <row r="827">
      <c r="J827" s="113"/>
      <c r="Y827" s="113"/>
      <c r="Z827" s="113"/>
    </row>
    <row r="828">
      <c r="J828" s="113"/>
      <c r="Y828" s="113"/>
      <c r="Z828" s="113"/>
    </row>
    <row r="829">
      <c r="J829" s="113"/>
      <c r="Y829" s="113"/>
      <c r="Z829" s="113"/>
    </row>
    <row r="830">
      <c r="J830" s="113"/>
      <c r="Y830" s="113"/>
      <c r="Z830" s="113"/>
    </row>
    <row r="831">
      <c r="J831" s="113"/>
      <c r="Y831" s="113"/>
      <c r="Z831" s="113"/>
    </row>
    <row r="832">
      <c r="J832" s="113"/>
      <c r="Y832" s="113"/>
      <c r="Z832" s="113"/>
    </row>
    <row r="833">
      <c r="J833" s="113"/>
      <c r="Y833" s="113"/>
      <c r="Z833" s="113"/>
    </row>
    <row r="834">
      <c r="J834" s="113"/>
      <c r="Y834" s="113"/>
      <c r="Z834" s="113"/>
    </row>
    <row r="835">
      <c r="J835" s="113"/>
      <c r="Y835" s="113"/>
      <c r="Z835" s="113"/>
    </row>
    <row r="836">
      <c r="J836" s="113"/>
      <c r="Y836" s="113"/>
      <c r="Z836" s="113"/>
    </row>
    <row r="837">
      <c r="J837" s="113"/>
      <c r="Y837" s="113"/>
      <c r="Z837" s="113"/>
    </row>
    <row r="838">
      <c r="J838" s="113"/>
      <c r="Y838" s="113"/>
      <c r="Z838" s="113"/>
    </row>
    <row r="839">
      <c r="J839" s="113"/>
      <c r="Y839" s="113"/>
      <c r="Z839" s="113"/>
    </row>
    <row r="840">
      <c r="J840" s="113"/>
      <c r="Y840" s="113"/>
      <c r="Z840" s="113"/>
    </row>
    <row r="841">
      <c r="J841" s="113"/>
      <c r="Y841" s="113"/>
      <c r="Z841" s="113"/>
    </row>
    <row r="842">
      <c r="J842" s="113"/>
      <c r="Y842" s="113"/>
      <c r="Z842" s="113"/>
    </row>
    <row r="843">
      <c r="J843" s="113"/>
      <c r="Y843" s="113"/>
      <c r="Z843" s="113"/>
    </row>
    <row r="844">
      <c r="J844" s="113"/>
      <c r="Y844" s="113"/>
      <c r="Z844" s="113"/>
    </row>
    <row r="845">
      <c r="J845" s="113"/>
      <c r="Y845" s="113"/>
      <c r="Z845" s="113"/>
    </row>
    <row r="846">
      <c r="J846" s="113"/>
      <c r="Y846" s="113"/>
      <c r="Z846" s="113"/>
    </row>
    <row r="847">
      <c r="J847" s="113"/>
      <c r="Y847" s="113"/>
      <c r="Z847" s="113"/>
    </row>
    <row r="848">
      <c r="J848" s="113"/>
      <c r="Y848" s="113"/>
      <c r="Z848" s="113"/>
    </row>
    <row r="849">
      <c r="J849" s="113"/>
      <c r="Y849" s="113"/>
      <c r="Z849" s="113"/>
    </row>
    <row r="850">
      <c r="J850" s="113"/>
      <c r="Y850" s="113"/>
      <c r="Z850" s="113"/>
    </row>
    <row r="851">
      <c r="J851" s="113"/>
      <c r="Y851" s="113"/>
      <c r="Z851" s="113"/>
    </row>
    <row r="852">
      <c r="J852" s="113"/>
      <c r="Y852" s="113"/>
      <c r="Z852" s="113"/>
    </row>
    <row r="853">
      <c r="J853" s="113"/>
      <c r="Y853" s="113"/>
      <c r="Z853" s="113"/>
    </row>
    <row r="854">
      <c r="J854" s="113"/>
      <c r="Y854" s="113"/>
      <c r="Z854" s="113"/>
    </row>
    <row r="855">
      <c r="J855" s="113"/>
      <c r="Y855" s="113"/>
      <c r="Z855" s="113"/>
    </row>
    <row r="856">
      <c r="J856" s="113"/>
      <c r="Y856" s="113"/>
      <c r="Z856" s="113"/>
    </row>
    <row r="857">
      <c r="J857" s="113"/>
      <c r="Y857" s="113"/>
      <c r="Z857" s="113"/>
    </row>
    <row r="858">
      <c r="J858" s="113"/>
      <c r="Y858" s="113"/>
      <c r="Z858" s="113"/>
    </row>
    <row r="859">
      <c r="J859" s="113"/>
      <c r="Y859" s="113"/>
      <c r="Z859" s="113"/>
    </row>
    <row r="860">
      <c r="J860" s="113"/>
      <c r="Y860" s="113"/>
      <c r="Z860" s="113"/>
    </row>
    <row r="861">
      <c r="J861" s="113"/>
      <c r="Y861" s="113"/>
      <c r="Z861" s="113"/>
    </row>
    <row r="862">
      <c r="J862" s="113"/>
      <c r="Y862" s="113"/>
      <c r="Z862" s="113"/>
    </row>
    <row r="863">
      <c r="J863" s="113"/>
      <c r="Y863" s="113"/>
      <c r="Z863" s="113"/>
    </row>
    <row r="864">
      <c r="J864" s="113"/>
      <c r="Y864" s="113"/>
      <c r="Z864" s="113"/>
    </row>
    <row r="865">
      <c r="J865" s="113"/>
      <c r="Y865" s="113"/>
      <c r="Z865" s="113"/>
    </row>
    <row r="866">
      <c r="J866" s="113"/>
      <c r="Y866" s="113"/>
      <c r="Z866" s="113"/>
    </row>
    <row r="867">
      <c r="J867" s="113"/>
      <c r="Y867" s="113"/>
      <c r="Z867" s="113"/>
    </row>
    <row r="868">
      <c r="J868" s="113"/>
      <c r="Y868" s="113"/>
      <c r="Z868" s="113"/>
    </row>
    <row r="869">
      <c r="J869" s="113"/>
      <c r="Y869" s="113"/>
      <c r="Z869" s="113"/>
    </row>
    <row r="870">
      <c r="J870" s="113"/>
      <c r="Y870" s="113"/>
      <c r="Z870" s="113"/>
    </row>
    <row r="871">
      <c r="J871" s="113"/>
      <c r="Y871" s="113"/>
      <c r="Z871" s="113"/>
    </row>
    <row r="872">
      <c r="J872" s="113"/>
      <c r="Y872" s="113"/>
      <c r="Z872" s="113"/>
    </row>
    <row r="873">
      <c r="J873" s="113"/>
      <c r="Y873" s="113"/>
      <c r="Z873" s="113"/>
    </row>
    <row r="874">
      <c r="J874" s="113"/>
      <c r="Y874" s="113"/>
      <c r="Z874" s="113"/>
    </row>
    <row r="875">
      <c r="J875" s="113"/>
      <c r="Y875" s="113"/>
      <c r="Z875" s="113"/>
    </row>
    <row r="876">
      <c r="J876" s="113"/>
      <c r="Y876" s="113"/>
      <c r="Z876" s="113"/>
    </row>
    <row r="877">
      <c r="J877" s="113"/>
      <c r="Y877" s="113"/>
      <c r="Z877" s="113"/>
    </row>
    <row r="878">
      <c r="J878" s="113"/>
      <c r="Y878" s="113"/>
      <c r="Z878" s="113"/>
    </row>
    <row r="879">
      <c r="J879" s="113"/>
      <c r="Y879" s="113"/>
      <c r="Z879" s="113"/>
    </row>
    <row r="880">
      <c r="J880" s="113"/>
      <c r="Y880" s="113"/>
      <c r="Z880" s="113"/>
    </row>
    <row r="881">
      <c r="J881" s="113"/>
      <c r="Y881" s="113"/>
      <c r="Z881" s="113"/>
    </row>
    <row r="882">
      <c r="J882" s="113"/>
      <c r="Y882" s="113"/>
      <c r="Z882" s="113"/>
    </row>
    <row r="883">
      <c r="J883" s="113"/>
      <c r="Y883" s="113"/>
      <c r="Z883" s="113"/>
    </row>
    <row r="884">
      <c r="J884" s="113"/>
      <c r="Y884" s="113"/>
      <c r="Z884" s="113"/>
    </row>
    <row r="885">
      <c r="J885" s="113"/>
      <c r="Y885" s="113"/>
      <c r="Z885" s="113"/>
    </row>
    <row r="886">
      <c r="J886" s="113"/>
      <c r="Y886" s="113"/>
      <c r="Z886" s="113"/>
    </row>
    <row r="887">
      <c r="J887" s="113"/>
      <c r="Y887" s="113"/>
      <c r="Z887" s="113"/>
    </row>
    <row r="888">
      <c r="J888" s="113"/>
      <c r="Y888" s="113"/>
      <c r="Z888" s="113"/>
    </row>
    <row r="889">
      <c r="J889" s="113"/>
      <c r="Y889" s="113"/>
      <c r="Z889" s="113"/>
    </row>
    <row r="890">
      <c r="J890" s="113"/>
      <c r="Y890" s="113"/>
      <c r="Z890" s="113"/>
    </row>
    <row r="891">
      <c r="J891" s="113"/>
      <c r="Y891" s="113"/>
      <c r="Z891" s="113"/>
    </row>
    <row r="892">
      <c r="J892" s="113"/>
      <c r="Y892" s="113"/>
      <c r="Z892" s="113"/>
    </row>
    <row r="893">
      <c r="J893" s="113"/>
      <c r="Y893" s="113"/>
      <c r="Z893" s="113"/>
    </row>
    <row r="894">
      <c r="J894" s="113"/>
      <c r="Y894" s="113"/>
      <c r="Z894" s="113"/>
    </row>
    <row r="895">
      <c r="J895" s="113"/>
      <c r="Y895" s="113"/>
      <c r="Z895" s="113"/>
    </row>
    <row r="896">
      <c r="J896" s="113"/>
      <c r="Y896" s="113"/>
      <c r="Z896" s="113"/>
    </row>
    <row r="897">
      <c r="J897" s="113"/>
      <c r="Y897" s="113"/>
      <c r="Z897" s="113"/>
    </row>
    <row r="898">
      <c r="J898" s="113"/>
      <c r="Y898" s="113"/>
      <c r="Z898" s="113"/>
    </row>
    <row r="899">
      <c r="J899" s="113"/>
      <c r="Y899" s="113"/>
      <c r="Z899" s="113"/>
    </row>
    <row r="900">
      <c r="J900" s="113"/>
      <c r="Y900" s="113"/>
      <c r="Z900" s="113"/>
    </row>
    <row r="901">
      <c r="J901" s="113"/>
      <c r="Y901" s="113"/>
      <c r="Z901" s="113"/>
    </row>
    <row r="902">
      <c r="J902" s="113"/>
      <c r="Y902" s="113"/>
      <c r="Z902" s="113"/>
    </row>
    <row r="903">
      <c r="J903" s="113"/>
      <c r="Y903" s="113"/>
      <c r="Z903" s="113"/>
    </row>
    <row r="904">
      <c r="J904" s="113"/>
      <c r="Y904" s="113"/>
      <c r="Z904" s="113"/>
    </row>
    <row r="905">
      <c r="J905" s="113"/>
      <c r="Y905" s="113"/>
      <c r="Z905" s="113"/>
    </row>
    <row r="906">
      <c r="J906" s="113"/>
      <c r="Y906" s="113"/>
      <c r="Z906" s="113"/>
    </row>
    <row r="907">
      <c r="J907" s="113"/>
      <c r="Y907" s="113"/>
      <c r="Z907" s="113"/>
    </row>
    <row r="908">
      <c r="J908" s="113"/>
      <c r="Y908" s="113"/>
      <c r="Z908" s="113"/>
    </row>
    <row r="909">
      <c r="J909" s="113"/>
      <c r="Y909" s="113"/>
      <c r="Z909" s="113"/>
    </row>
    <row r="910">
      <c r="J910" s="113"/>
      <c r="Y910" s="113"/>
      <c r="Z910" s="113"/>
    </row>
    <row r="911">
      <c r="J911" s="113"/>
      <c r="Y911" s="113"/>
      <c r="Z911" s="113"/>
    </row>
    <row r="912">
      <c r="J912" s="113"/>
      <c r="Y912" s="113"/>
      <c r="Z912" s="113"/>
    </row>
    <row r="913">
      <c r="J913" s="113"/>
      <c r="Y913" s="113"/>
      <c r="Z913" s="113"/>
    </row>
    <row r="914">
      <c r="J914" s="113"/>
      <c r="Y914" s="113"/>
      <c r="Z914" s="113"/>
    </row>
    <row r="915">
      <c r="J915" s="113"/>
      <c r="Y915" s="113"/>
      <c r="Z915" s="113"/>
    </row>
    <row r="916">
      <c r="J916" s="113"/>
      <c r="Y916" s="113"/>
      <c r="Z916" s="113"/>
    </row>
    <row r="917">
      <c r="J917" s="113"/>
      <c r="Y917" s="113"/>
      <c r="Z917" s="113"/>
    </row>
    <row r="918">
      <c r="J918" s="113"/>
      <c r="Y918" s="113"/>
      <c r="Z918" s="113"/>
    </row>
    <row r="919">
      <c r="J919" s="113"/>
      <c r="Y919" s="113"/>
      <c r="Z919" s="113"/>
    </row>
    <row r="920">
      <c r="J920" s="113"/>
      <c r="Y920" s="113"/>
      <c r="Z920" s="113"/>
    </row>
    <row r="921">
      <c r="J921" s="113"/>
      <c r="Y921" s="113"/>
      <c r="Z921" s="113"/>
    </row>
    <row r="922">
      <c r="J922" s="113"/>
      <c r="Y922" s="113"/>
      <c r="Z922" s="113"/>
    </row>
    <row r="923">
      <c r="J923" s="113"/>
      <c r="Y923" s="113"/>
      <c r="Z923" s="113"/>
    </row>
    <row r="924">
      <c r="J924" s="113"/>
      <c r="Y924" s="113"/>
      <c r="Z924" s="113"/>
    </row>
    <row r="925">
      <c r="J925" s="113"/>
      <c r="Y925" s="113"/>
      <c r="Z925" s="113"/>
    </row>
    <row r="926">
      <c r="J926" s="113"/>
      <c r="Y926" s="113"/>
      <c r="Z926" s="113"/>
    </row>
    <row r="927">
      <c r="J927" s="113"/>
      <c r="Y927" s="113"/>
      <c r="Z927" s="113"/>
    </row>
    <row r="928">
      <c r="J928" s="113"/>
      <c r="Y928" s="113"/>
      <c r="Z928" s="113"/>
    </row>
    <row r="929">
      <c r="J929" s="113"/>
      <c r="Y929" s="113"/>
      <c r="Z929" s="113"/>
    </row>
    <row r="930">
      <c r="J930" s="113"/>
      <c r="Y930" s="113"/>
      <c r="Z930" s="113"/>
    </row>
    <row r="931">
      <c r="J931" s="113"/>
      <c r="Y931" s="113"/>
      <c r="Z931" s="113"/>
    </row>
    <row r="932">
      <c r="J932" s="113"/>
      <c r="Y932" s="113"/>
      <c r="Z932" s="113"/>
    </row>
    <row r="933">
      <c r="J933" s="113"/>
      <c r="Y933" s="113"/>
      <c r="Z933" s="113"/>
    </row>
    <row r="934">
      <c r="J934" s="113"/>
      <c r="Y934" s="113"/>
      <c r="Z934" s="113"/>
    </row>
    <row r="935">
      <c r="J935" s="113"/>
      <c r="Y935" s="113"/>
      <c r="Z935" s="113"/>
    </row>
    <row r="936">
      <c r="J936" s="113"/>
      <c r="Y936" s="113"/>
      <c r="Z936" s="113"/>
    </row>
    <row r="937">
      <c r="J937" s="113"/>
      <c r="Y937" s="113"/>
      <c r="Z937" s="113"/>
    </row>
    <row r="938">
      <c r="J938" s="113"/>
      <c r="Y938" s="113"/>
      <c r="Z938" s="113"/>
    </row>
    <row r="939">
      <c r="J939" s="113"/>
      <c r="Y939" s="113"/>
      <c r="Z939" s="113"/>
    </row>
    <row r="940">
      <c r="J940" s="113"/>
      <c r="Y940" s="113"/>
      <c r="Z940" s="113"/>
    </row>
    <row r="941">
      <c r="J941" s="113"/>
      <c r="Y941" s="113"/>
      <c r="Z941" s="113"/>
    </row>
    <row r="942">
      <c r="J942" s="113"/>
      <c r="Y942" s="113"/>
      <c r="Z942" s="113"/>
    </row>
    <row r="943">
      <c r="J943" s="113"/>
      <c r="Y943" s="113"/>
      <c r="Z943" s="113"/>
    </row>
    <row r="944">
      <c r="J944" s="113"/>
      <c r="Y944" s="113"/>
      <c r="Z944" s="113"/>
    </row>
    <row r="945">
      <c r="J945" s="113"/>
      <c r="Y945" s="113"/>
      <c r="Z945" s="113"/>
    </row>
    <row r="946">
      <c r="J946" s="113"/>
      <c r="Y946" s="113"/>
      <c r="Z946" s="113"/>
    </row>
    <row r="947">
      <c r="J947" s="113"/>
      <c r="Y947" s="113"/>
      <c r="Z947" s="113"/>
    </row>
    <row r="948">
      <c r="J948" s="113"/>
      <c r="Y948" s="113"/>
      <c r="Z948" s="113"/>
    </row>
    <row r="949">
      <c r="J949" s="113"/>
      <c r="Y949" s="113"/>
      <c r="Z949" s="113"/>
    </row>
    <row r="950">
      <c r="J950" s="113"/>
      <c r="Y950" s="113"/>
      <c r="Z950" s="113"/>
    </row>
    <row r="951">
      <c r="J951" s="113"/>
      <c r="Y951" s="113"/>
      <c r="Z951" s="113"/>
    </row>
    <row r="952">
      <c r="J952" s="113"/>
      <c r="Y952" s="113"/>
      <c r="Z952" s="113"/>
    </row>
    <row r="953">
      <c r="J953" s="113"/>
      <c r="Y953" s="113"/>
      <c r="Z953" s="113"/>
    </row>
    <row r="954">
      <c r="J954" s="113"/>
      <c r="Y954" s="113"/>
      <c r="Z954" s="113"/>
    </row>
    <row r="955">
      <c r="J955" s="113"/>
      <c r="Y955" s="113"/>
      <c r="Z955" s="113"/>
    </row>
    <row r="956">
      <c r="J956" s="113"/>
      <c r="Y956" s="113"/>
      <c r="Z956" s="113"/>
    </row>
    <row r="957">
      <c r="J957" s="113"/>
      <c r="Y957" s="113"/>
      <c r="Z957" s="113"/>
    </row>
    <row r="958">
      <c r="J958" s="113"/>
      <c r="Y958" s="113"/>
      <c r="Z958" s="113"/>
    </row>
    <row r="959">
      <c r="J959" s="113"/>
      <c r="Y959" s="113"/>
      <c r="Z959" s="113"/>
    </row>
    <row r="960">
      <c r="J960" s="113"/>
      <c r="Y960" s="113"/>
      <c r="Z960" s="113"/>
    </row>
    <row r="961">
      <c r="J961" s="113"/>
      <c r="Y961" s="113"/>
      <c r="Z961" s="113"/>
    </row>
    <row r="962">
      <c r="J962" s="113"/>
      <c r="Y962" s="113"/>
      <c r="Z962" s="113"/>
    </row>
    <row r="963">
      <c r="J963" s="113"/>
      <c r="Y963" s="113"/>
      <c r="Z963" s="113"/>
    </row>
    <row r="964">
      <c r="J964" s="113"/>
      <c r="Y964" s="113"/>
      <c r="Z964" s="113"/>
    </row>
    <row r="965">
      <c r="J965" s="113"/>
      <c r="Y965" s="113"/>
      <c r="Z965" s="113"/>
    </row>
    <row r="966">
      <c r="J966" s="113"/>
      <c r="Y966" s="113"/>
      <c r="Z966" s="113"/>
    </row>
    <row r="967">
      <c r="J967" s="113"/>
      <c r="Y967" s="113"/>
      <c r="Z967" s="113"/>
    </row>
    <row r="968">
      <c r="J968" s="113"/>
      <c r="Y968" s="113"/>
      <c r="Z968" s="113"/>
    </row>
    <row r="969">
      <c r="J969" s="113"/>
      <c r="Y969" s="113"/>
      <c r="Z969" s="113"/>
    </row>
    <row r="970">
      <c r="J970" s="113"/>
      <c r="Y970" s="113"/>
      <c r="Z970" s="113"/>
    </row>
    <row r="971">
      <c r="J971" s="113"/>
      <c r="Y971" s="113"/>
      <c r="Z971" s="113"/>
    </row>
    <row r="972">
      <c r="J972" s="113"/>
      <c r="Y972" s="113"/>
      <c r="Z972" s="113"/>
    </row>
    <row r="973">
      <c r="J973" s="113"/>
      <c r="Y973" s="113"/>
      <c r="Z973" s="113"/>
    </row>
    <row r="974">
      <c r="J974" s="113"/>
      <c r="Y974" s="113"/>
      <c r="Z974" s="113"/>
    </row>
    <row r="975">
      <c r="J975" s="113"/>
      <c r="Y975" s="113"/>
      <c r="Z975" s="113"/>
    </row>
    <row r="976">
      <c r="J976" s="113"/>
      <c r="Y976" s="113"/>
      <c r="Z976" s="113"/>
    </row>
    <row r="977">
      <c r="J977" s="113"/>
      <c r="Y977" s="113"/>
      <c r="Z977" s="113"/>
    </row>
    <row r="978">
      <c r="J978" s="113"/>
      <c r="Y978" s="113"/>
      <c r="Z978" s="113"/>
    </row>
    <row r="979">
      <c r="J979" s="113"/>
      <c r="Y979" s="113"/>
      <c r="Z979" s="113"/>
    </row>
    <row r="980">
      <c r="J980" s="113"/>
      <c r="Y980" s="113"/>
      <c r="Z980" s="113"/>
    </row>
    <row r="981">
      <c r="J981" s="113"/>
      <c r="Y981" s="113"/>
      <c r="Z981" s="113"/>
    </row>
    <row r="982">
      <c r="J982" s="113"/>
      <c r="Y982" s="113"/>
      <c r="Z982" s="113"/>
    </row>
    <row r="983">
      <c r="J983" s="113"/>
      <c r="Y983" s="113"/>
      <c r="Z983" s="113"/>
    </row>
    <row r="984">
      <c r="J984" s="113"/>
      <c r="Y984" s="113"/>
      <c r="Z984" s="113"/>
    </row>
    <row r="985">
      <c r="J985" s="113"/>
      <c r="Y985" s="113"/>
      <c r="Z985" s="113"/>
    </row>
    <row r="986">
      <c r="J986" s="113"/>
      <c r="Y986" s="113"/>
      <c r="Z986" s="113"/>
    </row>
    <row r="987">
      <c r="J987" s="113"/>
      <c r="Y987" s="113"/>
      <c r="Z987" s="113"/>
    </row>
    <row r="988">
      <c r="J988" s="113"/>
      <c r="Y988" s="113"/>
      <c r="Z988" s="113"/>
    </row>
    <row r="989">
      <c r="J989" s="113"/>
      <c r="Y989" s="113"/>
      <c r="Z989" s="113"/>
    </row>
    <row r="990">
      <c r="J990" s="113"/>
      <c r="Y990" s="113"/>
      <c r="Z990" s="113"/>
    </row>
    <row r="991">
      <c r="J991" s="113"/>
      <c r="Y991" s="113"/>
      <c r="Z991" s="113"/>
    </row>
    <row r="992">
      <c r="J992" s="113"/>
      <c r="Y992" s="113"/>
      <c r="Z992" s="113"/>
    </row>
    <row r="993">
      <c r="J993" s="113"/>
      <c r="Y993" s="113"/>
      <c r="Z993" s="113"/>
    </row>
    <row r="994">
      <c r="J994" s="113"/>
      <c r="Y994" s="113"/>
      <c r="Z994" s="113"/>
    </row>
    <row r="995">
      <c r="J995" s="113"/>
      <c r="Y995" s="113"/>
      <c r="Z995" s="113"/>
    </row>
    <row r="996">
      <c r="J996" s="113"/>
      <c r="Y996" s="113"/>
      <c r="Z996" s="113"/>
    </row>
    <row r="997">
      <c r="J997" s="113"/>
      <c r="Y997" s="113"/>
      <c r="Z997" s="113"/>
    </row>
    <row r="998">
      <c r="J998" s="113"/>
      <c r="Y998" s="113"/>
      <c r="Z998" s="113"/>
    </row>
    <row r="999">
      <c r="J999" s="113"/>
      <c r="Y999" s="113"/>
      <c r="Z999" s="113"/>
    </row>
    <row r="1000">
      <c r="J1000" s="113"/>
      <c r="Y1000" s="113"/>
      <c r="Z1000" s="113"/>
    </row>
  </sheetData>
  <mergeCells count="17">
    <mergeCell ref="R2:S2"/>
    <mergeCell ref="T2:Z2"/>
    <mergeCell ref="AA2:AG2"/>
    <mergeCell ref="AH2:AN2"/>
    <mergeCell ref="AO2:AU2"/>
    <mergeCell ref="AV2:BB2"/>
    <mergeCell ref="BC2:BD2"/>
    <mergeCell ref="BE2:BF2"/>
    <mergeCell ref="BG2:BH2"/>
    <mergeCell ref="BI2:BJ2"/>
    <mergeCell ref="A1:BJ1"/>
    <mergeCell ref="A2:A3"/>
    <mergeCell ref="B2:F2"/>
    <mergeCell ref="G2:H2"/>
    <mergeCell ref="I2:J2"/>
    <mergeCell ref="K2:L2"/>
    <mergeCell ref="M2:Q2"/>
  </mergeCells>
  <conditionalFormatting sqref="S9">
    <cfRule type="notContainsBlanks" dxfId="1" priority="1">
      <formula>LEN(TRIM(S9))&gt;0</formula>
    </cfRule>
  </conditionalFormatting>
  <drawing r:id="rId1"/>
</worksheet>
</file>